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tizarya/Downloads/part1_data_cleaning/"/>
    </mc:Choice>
  </mc:AlternateContent>
  <xr:revisionPtr revIDLastSave="0" documentId="13_ncr:1_{BD9BEFFC-BEA3-D147-844D-EF42AA39192D}" xr6:coauthVersionLast="47" xr6:coauthVersionMax="47" xr10:uidLastSave="{00000000-0000-0000-0000-000000000000}"/>
  <bookViews>
    <workbookView xWindow="0" yWindow="0" windowWidth="28800" windowHeight="18000" xr2:uid="{91F2ECE8-E3EF-0F47-AB8D-4B0D7C0579DB}"/>
  </bookViews>
  <sheets>
    <sheet name="Sheet1" sheetId="1" r:id="rId1"/>
  </sheets>
  <definedNames>
    <definedName name="_xlnm._FilterDatabase" localSheetId="0" hidden="1">Sheet1!$A$1:$AK$933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I3" i="1" l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2" i="1"/>
  <c r="AK921" i="1"/>
  <c r="AH921" i="1"/>
  <c r="AG921" i="1"/>
  <c r="AF921" i="1"/>
  <c r="AB921" i="1"/>
  <c r="AC921" i="1" s="1"/>
  <c r="AA921" i="1"/>
  <c r="E921" i="1"/>
  <c r="D921" i="1"/>
  <c r="AK920" i="1"/>
  <c r="AH920" i="1"/>
  <c r="AG920" i="1"/>
  <c r="AF920" i="1"/>
  <c r="AB920" i="1"/>
  <c r="AC920" i="1" s="1"/>
  <c r="AA920" i="1"/>
  <c r="E920" i="1"/>
  <c r="D920" i="1"/>
  <c r="AK919" i="1"/>
  <c r="AH919" i="1"/>
  <c r="AG919" i="1"/>
  <c r="AF919" i="1"/>
  <c r="AB919" i="1"/>
  <c r="AC919" i="1" s="1"/>
  <c r="AD919" i="1" s="1"/>
  <c r="AE919" i="1" s="1"/>
  <c r="AA919" i="1"/>
  <c r="E919" i="1"/>
  <c r="D919" i="1"/>
  <c r="AK918" i="1"/>
  <c r="AH918" i="1"/>
  <c r="AG918" i="1"/>
  <c r="AF918" i="1"/>
  <c r="AB918" i="1"/>
  <c r="AC918" i="1" s="1"/>
  <c r="AA918" i="1"/>
  <c r="E918" i="1"/>
  <c r="D918" i="1"/>
  <c r="AK917" i="1"/>
  <c r="AH917" i="1"/>
  <c r="AG917" i="1"/>
  <c r="AF917" i="1"/>
  <c r="AB917" i="1"/>
  <c r="AC917" i="1" s="1"/>
  <c r="AA917" i="1"/>
  <c r="E917" i="1"/>
  <c r="D917" i="1"/>
  <c r="AK916" i="1"/>
  <c r="AH916" i="1"/>
  <c r="AG916" i="1"/>
  <c r="AF916" i="1"/>
  <c r="AB916" i="1"/>
  <c r="AC916" i="1" s="1"/>
  <c r="AA916" i="1"/>
  <c r="E916" i="1"/>
  <c r="D916" i="1"/>
  <c r="AK915" i="1"/>
  <c r="AH915" i="1"/>
  <c r="AG915" i="1"/>
  <c r="AF915" i="1"/>
  <c r="AB915" i="1"/>
  <c r="AC915" i="1" s="1"/>
  <c r="AA915" i="1"/>
  <c r="E915" i="1"/>
  <c r="D915" i="1"/>
  <c r="AK914" i="1"/>
  <c r="AH914" i="1"/>
  <c r="AG914" i="1"/>
  <c r="AF914" i="1"/>
  <c r="AB914" i="1"/>
  <c r="AC914" i="1" s="1"/>
  <c r="AA914" i="1"/>
  <c r="E914" i="1"/>
  <c r="D914" i="1"/>
  <c r="AK913" i="1"/>
  <c r="AH913" i="1"/>
  <c r="AG913" i="1"/>
  <c r="AF913" i="1"/>
  <c r="AB913" i="1"/>
  <c r="AC913" i="1" s="1"/>
  <c r="AA913" i="1"/>
  <c r="E913" i="1"/>
  <c r="D913" i="1"/>
  <c r="AK912" i="1"/>
  <c r="AH912" i="1"/>
  <c r="AG912" i="1"/>
  <c r="AF912" i="1"/>
  <c r="AB912" i="1"/>
  <c r="AC912" i="1" s="1"/>
  <c r="AA912" i="1"/>
  <c r="E912" i="1"/>
  <c r="D912" i="1"/>
  <c r="AK911" i="1"/>
  <c r="AH911" i="1"/>
  <c r="AG911" i="1"/>
  <c r="AF911" i="1"/>
  <c r="AB911" i="1"/>
  <c r="AC911" i="1" s="1"/>
  <c r="AA911" i="1"/>
  <c r="E911" i="1"/>
  <c r="D911" i="1"/>
  <c r="AK910" i="1"/>
  <c r="AH910" i="1"/>
  <c r="AG910" i="1"/>
  <c r="AF910" i="1"/>
  <c r="AB910" i="1"/>
  <c r="AC910" i="1" s="1"/>
  <c r="AA910" i="1"/>
  <c r="E910" i="1"/>
  <c r="D910" i="1"/>
  <c r="AK909" i="1"/>
  <c r="AH909" i="1"/>
  <c r="AG909" i="1"/>
  <c r="AF909" i="1"/>
  <c r="AB909" i="1"/>
  <c r="AC909" i="1" s="1"/>
  <c r="AA909" i="1"/>
  <c r="E909" i="1"/>
  <c r="D909" i="1"/>
  <c r="AK908" i="1"/>
  <c r="AH908" i="1"/>
  <c r="AG908" i="1"/>
  <c r="AF908" i="1"/>
  <c r="AB908" i="1"/>
  <c r="AC908" i="1" s="1"/>
  <c r="AA908" i="1"/>
  <c r="E908" i="1"/>
  <c r="D908" i="1"/>
  <c r="AK907" i="1"/>
  <c r="AH907" i="1"/>
  <c r="AG907" i="1"/>
  <c r="AF907" i="1"/>
  <c r="AB907" i="1"/>
  <c r="AC907" i="1" s="1"/>
  <c r="AA907" i="1"/>
  <c r="E907" i="1"/>
  <c r="D907" i="1"/>
  <c r="AK906" i="1"/>
  <c r="AH906" i="1"/>
  <c r="AG906" i="1"/>
  <c r="AF906" i="1"/>
  <c r="AB906" i="1"/>
  <c r="AC906" i="1" s="1"/>
  <c r="AA906" i="1"/>
  <c r="E906" i="1"/>
  <c r="D906" i="1"/>
  <c r="AK905" i="1"/>
  <c r="AH905" i="1"/>
  <c r="AG905" i="1"/>
  <c r="AF905" i="1"/>
  <c r="AB905" i="1"/>
  <c r="AC905" i="1" s="1"/>
  <c r="AA905" i="1"/>
  <c r="E905" i="1"/>
  <c r="D905" i="1"/>
  <c r="AK904" i="1"/>
  <c r="AH904" i="1"/>
  <c r="AG904" i="1"/>
  <c r="AF904" i="1"/>
  <c r="AB904" i="1"/>
  <c r="AC904" i="1" s="1"/>
  <c r="AA904" i="1"/>
  <c r="E904" i="1"/>
  <c r="D904" i="1"/>
  <c r="AK903" i="1"/>
  <c r="AH903" i="1"/>
  <c r="AG903" i="1"/>
  <c r="AF903" i="1"/>
  <c r="AB903" i="1"/>
  <c r="AC903" i="1" s="1"/>
  <c r="AA903" i="1"/>
  <c r="E903" i="1"/>
  <c r="D903" i="1"/>
  <c r="AK902" i="1"/>
  <c r="AH902" i="1"/>
  <c r="AG902" i="1"/>
  <c r="AF902" i="1"/>
  <c r="AB902" i="1"/>
  <c r="AC902" i="1" s="1"/>
  <c r="AA902" i="1"/>
  <c r="E902" i="1"/>
  <c r="D90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2" i="1"/>
  <c r="AB2" i="1"/>
  <c r="AC2" i="1" s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22" i="1"/>
  <c r="AF923" i="1"/>
  <c r="AF924" i="1"/>
  <c r="AF925" i="1"/>
  <c r="AF926" i="1"/>
  <c r="AF927" i="1"/>
  <c r="AF928" i="1"/>
  <c r="AF929" i="1"/>
  <c r="AF930" i="1"/>
  <c r="AF931" i="1"/>
  <c r="AF932" i="1"/>
  <c r="AF933" i="1"/>
  <c r="AF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2" i="1"/>
  <c r="D3" i="1"/>
  <c r="D4" i="1"/>
  <c r="D5" i="1"/>
  <c r="D6" i="1"/>
  <c r="D7" i="1"/>
  <c r="D8" i="1"/>
  <c r="X8" i="1" s="1"/>
  <c r="D9" i="1"/>
  <c r="D10" i="1"/>
  <c r="D11" i="1"/>
  <c r="D12" i="1"/>
  <c r="D13" i="1"/>
  <c r="D14" i="1"/>
  <c r="D15" i="1"/>
  <c r="D16" i="1"/>
  <c r="X16" i="1" s="1"/>
  <c r="D17" i="1"/>
  <c r="D18" i="1"/>
  <c r="D19" i="1"/>
  <c r="D20" i="1"/>
  <c r="D21" i="1"/>
  <c r="D22" i="1"/>
  <c r="D23" i="1"/>
  <c r="D24" i="1"/>
  <c r="X24" i="1" s="1"/>
  <c r="D25" i="1"/>
  <c r="D26" i="1"/>
  <c r="D27" i="1"/>
  <c r="D28" i="1"/>
  <c r="D29" i="1"/>
  <c r="D30" i="1"/>
  <c r="D31" i="1"/>
  <c r="D32" i="1"/>
  <c r="X32" i="1" s="1"/>
  <c r="D33" i="1"/>
  <c r="D34" i="1"/>
  <c r="D35" i="1"/>
  <c r="D36" i="1"/>
  <c r="D37" i="1"/>
  <c r="D38" i="1"/>
  <c r="D39" i="1"/>
  <c r="D40" i="1"/>
  <c r="X40" i="1" s="1"/>
  <c r="D41" i="1"/>
  <c r="D42" i="1"/>
  <c r="D43" i="1"/>
  <c r="D44" i="1"/>
  <c r="D45" i="1"/>
  <c r="D46" i="1"/>
  <c r="D47" i="1"/>
  <c r="D48" i="1"/>
  <c r="X48" i="1" s="1"/>
  <c r="D49" i="1"/>
  <c r="D50" i="1"/>
  <c r="D51" i="1"/>
  <c r="D52" i="1"/>
  <c r="D53" i="1"/>
  <c r="D54" i="1"/>
  <c r="D55" i="1"/>
  <c r="D56" i="1"/>
  <c r="X56" i="1" s="1"/>
  <c r="D57" i="1"/>
  <c r="D58" i="1"/>
  <c r="D59" i="1"/>
  <c r="D60" i="1"/>
  <c r="D61" i="1"/>
  <c r="D62" i="1"/>
  <c r="D63" i="1"/>
  <c r="D64" i="1"/>
  <c r="X64" i="1" s="1"/>
  <c r="D65" i="1"/>
  <c r="D66" i="1"/>
  <c r="D67" i="1"/>
  <c r="D68" i="1"/>
  <c r="D69" i="1"/>
  <c r="D70" i="1"/>
  <c r="D71" i="1"/>
  <c r="D72" i="1"/>
  <c r="X72" i="1" s="1"/>
  <c r="D73" i="1"/>
  <c r="D74" i="1"/>
  <c r="D75" i="1"/>
  <c r="D76" i="1"/>
  <c r="D77" i="1"/>
  <c r="D78" i="1"/>
  <c r="D79" i="1"/>
  <c r="D80" i="1"/>
  <c r="X80" i="1" s="1"/>
  <c r="D81" i="1"/>
  <c r="D82" i="1"/>
  <c r="D83" i="1"/>
  <c r="D84" i="1"/>
  <c r="D85" i="1"/>
  <c r="D86" i="1"/>
  <c r="D87" i="1"/>
  <c r="D88" i="1"/>
  <c r="X88" i="1" s="1"/>
  <c r="D89" i="1"/>
  <c r="D90" i="1"/>
  <c r="D91" i="1"/>
  <c r="D92" i="1"/>
  <c r="D93" i="1"/>
  <c r="D94" i="1"/>
  <c r="D95" i="1"/>
  <c r="D96" i="1"/>
  <c r="X96" i="1" s="1"/>
  <c r="D97" i="1"/>
  <c r="D98" i="1"/>
  <c r="D99" i="1"/>
  <c r="D100" i="1"/>
  <c r="D101" i="1"/>
  <c r="D102" i="1"/>
  <c r="D103" i="1"/>
  <c r="D104" i="1"/>
  <c r="X104" i="1" s="1"/>
  <c r="D105" i="1"/>
  <c r="D106" i="1"/>
  <c r="D107" i="1"/>
  <c r="D108" i="1"/>
  <c r="D109" i="1"/>
  <c r="D110" i="1"/>
  <c r="D111" i="1"/>
  <c r="D112" i="1"/>
  <c r="X112" i="1" s="1"/>
  <c r="D113" i="1"/>
  <c r="D114" i="1"/>
  <c r="D115" i="1"/>
  <c r="D116" i="1"/>
  <c r="D117" i="1"/>
  <c r="D118" i="1"/>
  <c r="D119" i="1"/>
  <c r="D120" i="1"/>
  <c r="X120" i="1" s="1"/>
  <c r="D121" i="1"/>
  <c r="D122" i="1"/>
  <c r="D123" i="1"/>
  <c r="D124" i="1"/>
  <c r="D125" i="1"/>
  <c r="D126" i="1"/>
  <c r="D127" i="1"/>
  <c r="D128" i="1"/>
  <c r="X128" i="1" s="1"/>
  <c r="D129" i="1"/>
  <c r="D130" i="1"/>
  <c r="D131" i="1"/>
  <c r="D132" i="1"/>
  <c r="D133" i="1"/>
  <c r="D134" i="1"/>
  <c r="D135" i="1"/>
  <c r="X135" i="1" s="1"/>
  <c r="D136" i="1"/>
  <c r="X136" i="1" s="1"/>
  <c r="D137" i="1"/>
  <c r="D138" i="1"/>
  <c r="D139" i="1"/>
  <c r="D140" i="1"/>
  <c r="D141" i="1"/>
  <c r="D142" i="1"/>
  <c r="D143" i="1"/>
  <c r="D144" i="1"/>
  <c r="X144" i="1" s="1"/>
  <c r="D145" i="1"/>
  <c r="D146" i="1"/>
  <c r="D147" i="1"/>
  <c r="D148" i="1"/>
  <c r="D149" i="1"/>
  <c r="D150" i="1"/>
  <c r="D151" i="1"/>
  <c r="D152" i="1"/>
  <c r="X152" i="1" s="1"/>
  <c r="D153" i="1"/>
  <c r="D154" i="1"/>
  <c r="D155" i="1"/>
  <c r="D156" i="1"/>
  <c r="D157" i="1"/>
  <c r="D158" i="1"/>
  <c r="D159" i="1"/>
  <c r="D160" i="1"/>
  <c r="X160" i="1" s="1"/>
  <c r="D161" i="1"/>
  <c r="D162" i="1"/>
  <c r="D163" i="1"/>
  <c r="D164" i="1"/>
  <c r="D165" i="1"/>
  <c r="D166" i="1"/>
  <c r="D167" i="1"/>
  <c r="D168" i="1"/>
  <c r="X168" i="1" s="1"/>
  <c r="D169" i="1"/>
  <c r="D170" i="1"/>
  <c r="D171" i="1"/>
  <c r="D172" i="1"/>
  <c r="D173" i="1"/>
  <c r="D174" i="1"/>
  <c r="D175" i="1"/>
  <c r="D176" i="1"/>
  <c r="X176" i="1" s="1"/>
  <c r="D177" i="1"/>
  <c r="D178" i="1"/>
  <c r="D179" i="1"/>
  <c r="D180" i="1"/>
  <c r="D181" i="1"/>
  <c r="D182" i="1"/>
  <c r="D183" i="1"/>
  <c r="D184" i="1"/>
  <c r="X184" i="1" s="1"/>
  <c r="D185" i="1"/>
  <c r="D186" i="1"/>
  <c r="D187" i="1"/>
  <c r="D188" i="1"/>
  <c r="D189" i="1"/>
  <c r="D190" i="1"/>
  <c r="D191" i="1"/>
  <c r="D192" i="1"/>
  <c r="X192" i="1" s="1"/>
  <c r="D193" i="1"/>
  <c r="D194" i="1"/>
  <c r="D195" i="1"/>
  <c r="D196" i="1"/>
  <c r="D197" i="1"/>
  <c r="D198" i="1"/>
  <c r="D199" i="1"/>
  <c r="D200" i="1"/>
  <c r="X200" i="1" s="1"/>
  <c r="D201" i="1"/>
  <c r="D202" i="1"/>
  <c r="D203" i="1"/>
  <c r="D204" i="1"/>
  <c r="D205" i="1"/>
  <c r="D206" i="1"/>
  <c r="D207" i="1"/>
  <c r="D208" i="1"/>
  <c r="X208" i="1" s="1"/>
  <c r="D209" i="1"/>
  <c r="D210" i="1"/>
  <c r="D211" i="1"/>
  <c r="D212" i="1"/>
  <c r="D213" i="1"/>
  <c r="D214" i="1"/>
  <c r="D215" i="1"/>
  <c r="D216" i="1"/>
  <c r="X216" i="1" s="1"/>
  <c r="D217" i="1"/>
  <c r="D218" i="1"/>
  <c r="D219" i="1"/>
  <c r="D220" i="1"/>
  <c r="D221" i="1"/>
  <c r="D222" i="1"/>
  <c r="D223" i="1"/>
  <c r="D224" i="1"/>
  <c r="X224" i="1" s="1"/>
  <c r="D225" i="1"/>
  <c r="D226" i="1"/>
  <c r="D227" i="1"/>
  <c r="D228" i="1"/>
  <c r="D229" i="1"/>
  <c r="D230" i="1"/>
  <c r="D231" i="1"/>
  <c r="D232" i="1"/>
  <c r="X232" i="1" s="1"/>
  <c r="D233" i="1"/>
  <c r="D234" i="1"/>
  <c r="D235" i="1"/>
  <c r="D236" i="1"/>
  <c r="D237" i="1"/>
  <c r="D238" i="1"/>
  <c r="D239" i="1"/>
  <c r="D240" i="1"/>
  <c r="X240" i="1" s="1"/>
  <c r="D241" i="1"/>
  <c r="D242" i="1"/>
  <c r="D243" i="1"/>
  <c r="D244" i="1"/>
  <c r="D245" i="1"/>
  <c r="D246" i="1"/>
  <c r="D247" i="1"/>
  <c r="D248" i="1"/>
  <c r="X248" i="1" s="1"/>
  <c r="D249" i="1"/>
  <c r="D250" i="1"/>
  <c r="D251" i="1"/>
  <c r="D252" i="1"/>
  <c r="D253" i="1"/>
  <c r="D254" i="1"/>
  <c r="D255" i="1"/>
  <c r="D256" i="1"/>
  <c r="X256" i="1" s="1"/>
  <c r="D257" i="1"/>
  <c r="D258" i="1"/>
  <c r="D259" i="1"/>
  <c r="D260" i="1"/>
  <c r="D261" i="1"/>
  <c r="D262" i="1"/>
  <c r="D263" i="1"/>
  <c r="D264" i="1"/>
  <c r="X264" i="1" s="1"/>
  <c r="D265" i="1"/>
  <c r="D266" i="1"/>
  <c r="D267" i="1"/>
  <c r="D268" i="1"/>
  <c r="D269" i="1"/>
  <c r="D270" i="1"/>
  <c r="D271" i="1"/>
  <c r="D272" i="1"/>
  <c r="X272" i="1" s="1"/>
  <c r="D273" i="1"/>
  <c r="D274" i="1"/>
  <c r="D275" i="1"/>
  <c r="D276" i="1"/>
  <c r="D277" i="1"/>
  <c r="D278" i="1"/>
  <c r="X278" i="1" s="1"/>
  <c r="D279" i="1"/>
  <c r="D280" i="1"/>
  <c r="X280" i="1" s="1"/>
  <c r="D281" i="1"/>
  <c r="D282" i="1"/>
  <c r="D283" i="1"/>
  <c r="D284" i="1"/>
  <c r="D285" i="1"/>
  <c r="D286" i="1"/>
  <c r="D287" i="1"/>
  <c r="D288" i="1"/>
  <c r="X288" i="1" s="1"/>
  <c r="D289" i="1"/>
  <c r="D290" i="1"/>
  <c r="D291" i="1"/>
  <c r="D292" i="1"/>
  <c r="D293" i="1"/>
  <c r="D294" i="1"/>
  <c r="D295" i="1"/>
  <c r="D296" i="1"/>
  <c r="X296" i="1" s="1"/>
  <c r="D297" i="1"/>
  <c r="D298" i="1"/>
  <c r="D299" i="1"/>
  <c r="D300" i="1"/>
  <c r="D301" i="1"/>
  <c r="D302" i="1"/>
  <c r="D303" i="1"/>
  <c r="D304" i="1"/>
  <c r="X304" i="1" s="1"/>
  <c r="D305" i="1"/>
  <c r="D306" i="1"/>
  <c r="D307" i="1"/>
  <c r="D308" i="1"/>
  <c r="D309" i="1"/>
  <c r="D310" i="1"/>
  <c r="D311" i="1"/>
  <c r="D312" i="1"/>
  <c r="X312" i="1" s="1"/>
  <c r="D313" i="1"/>
  <c r="D314" i="1"/>
  <c r="D315" i="1"/>
  <c r="D316" i="1"/>
  <c r="D317" i="1"/>
  <c r="D318" i="1"/>
  <c r="D319" i="1"/>
  <c r="D320" i="1"/>
  <c r="X320" i="1" s="1"/>
  <c r="D321" i="1"/>
  <c r="D322" i="1"/>
  <c r="D323" i="1"/>
  <c r="D324" i="1"/>
  <c r="D325" i="1"/>
  <c r="D326" i="1"/>
  <c r="D327" i="1"/>
  <c r="D328" i="1"/>
  <c r="X328" i="1" s="1"/>
  <c r="D329" i="1"/>
  <c r="D330" i="1"/>
  <c r="D331" i="1"/>
  <c r="D332" i="1"/>
  <c r="D333" i="1"/>
  <c r="D334" i="1"/>
  <c r="D335" i="1"/>
  <c r="D336" i="1"/>
  <c r="X336" i="1" s="1"/>
  <c r="D337" i="1"/>
  <c r="D338" i="1"/>
  <c r="D339" i="1"/>
  <c r="D340" i="1"/>
  <c r="D341" i="1"/>
  <c r="D342" i="1"/>
  <c r="D343" i="1"/>
  <c r="D344" i="1"/>
  <c r="X344" i="1" s="1"/>
  <c r="D345" i="1"/>
  <c r="D346" i="1"/>
  <c r="D347" i="1"/>
  <c r="D348" i="1"/>
  <c r="D349" i="1"/>
  <c r="D350" i="1"/>
  <c r="D351" i="1"/>
  <c r="D352" i="1"/>
  <c r="X352" i="1" s="1"/>
  <c r="D353" i="1"/>
  <c r="D354" i="1"/>
  <c r="D355" i="1"/>
  <c r="D356" i="1"/>
  <c r="D357" i="1"/>
  <c r="D358" i="1"/>
  <c r="D359" i="1"/>
  <c r="D360" i="1"/>
  <c r="X360" i="1" s="1"/>
  <c r="D361" i="1"/>
  <c r="D362" i="1"/>
  <c r="D363" i="1"/>
  <c r="D364" i="1"/>
  <c r="D365" i="1"/>
  <c r="D366" i="1"/>
  <c r="D367" i="1"/>
  <c r="D368" i="1"/>
  <c r="X368" i="1" s="1"/>
  <c r="D369" i="1"/>
  <c r="D370" i="1"/>
  <c r="D371" i="1"/>
  <c r="D372" i="1"/>
  <c r="D373" i="1"/>
  <c r="D374" i="1"/>
  <c r="D375" i="1"/>
  <c r="D376" i="1"/>
  <c r="X376" i="1" s="1"/>
  <c r="D377" i="1"/>
  <c r="D378" i="1"/>
  <c r="D379" i="1"/>
  <c r="D380" i="1"/>
  <c r="D381" i="1"/>
  <c r="D382" i="1"/>
  <c r="D383" i="1"/>
  <c r="D384" i="1"/>
  <c r="X384" i="1" s="1"/>
  <c r="D385" i="1"/>
  <c r="D386" i="1"/>
  <c r="D387" i="1"/>
  <c r="D388" i="1"/>
  <c r="D389" i="1"/>
  <c r="D390" i="1"/>
  <c r="D391" i="1"/>
  <c r="D392" i="1"/>
  <c r="X392" i="1" s="1"/>
  <c r="D393" i="1"/>
  <c r="D394" i="1"/>
  <c r="D395" i="1"/>
  <c r="D396" i="1"/>
  <c r="D397" i="1"/>
  <c r="D398" i="1"/>
  <c r="D399" i="1"/>
  <c r="D400" i="1"/>
  <c r="X400" i="1" s="1"/>
  <c r="D401" i="1"/>
  <c r="D402" i="1"/>
  <c r="D403" i="1"/>
  <c r="D404" i="1"/>
  <c r="D405" i="1"/>
  <c r="D406" i="1"/>
  <c r="D407" i="1"/>
  <c r="D408" i="1"/>
  <c r="X408" i="1" s="1"/>
  <c r="D409" i="1"/>
  <c r="D410" i="1"/>
  <c r="D411" i="1"/>
  <c r="D412" i="1"/>
  <c r="D413" i="1"/>
  <c r="D414" i="1"/>
  <c r="D415" i="1"/>
  <c r="D416" i="1"/>
  <c r="X416" i="1" s="1"/>
  <c r="D417" i="1"/>
  <c r="D418" i="1"/>
  <c r="D419" i="1"/>
  <c r="D420" i="1"/>
  <c r="D421" i="1"/>
  <c r="D422" i="1"/>
  <c r="D423" i="1"/>
  <c r="D424" i="1"/>
  <c r="X424" i="1" s="1"/>
  <c r="D425" i="1"/>
  <c r="D426" i="1"/>
  <c r="D427" i="1"/>
  <c r="D428" i="1"/>
  <c r="D429" i="1"/>
  <c r="D430" i="1"/>
  <c r="D431" i="1"/>
  <c r="D432" i="1"/>
  <c r="X432" i="1" s="1"/>
  <c r="D433" i="1"/>
  <c r="D434" i="1"/>
  <c r="D435" i="1"/>
  <c r="D436" i="1"/>
  <c r="D437" i="1"/>
  <c r="D438" i="1"/>
  <c r="D439" i="1"/>
  <c r="D440" i="1"/>
  <c r="X440" i="1" s="1"/>
  <c r="D441" i="1"/>
  <c r="D442" i="1"/>
  <c r="D443" i="1"/>
  <c r="D444" i="1"/>
  <c r="D445" i="1"/>
  <c r="D446" i="1"/>
  <c r="D447" i="1"/>
  <c r="D448" i="1"/>
  <c r="X448" i="1" s="1"/>
  <c r="D449" i="1"/>
  <c r="D450" i="1"/>
  <c r="D451" i="1"/>
  <c r="D452" i="1"/>
  <c r="D453" i="1"/>
  <c r="D454" i="1"/>
  <c r="D455" i="1"/>
  <c r="D456" i="1"/>
  <c r="X456" i="1" s="1"/>
  <c r="D457" i="1"/>
  <c r="D458" i="1"/>
  <c r="D459" i="1"/>
  <c r="D460" i="1"/>
  <c r="D461" i="1"/>
  <c r="D462" i="1"/>
  <c r="D463" i="1"/>
  <c r="D464" i="1"/>
  <c r="X464" i="1" s="1"/>
  <c r="D465" i="1"/>
  <c r="D466" i="1"/>
  <c r="D467" i="1"/>
  <c r="D468" i="1"/>
  <c r="D469" i="1"/>
  <c r="D470" i="1"/>
  <c r="D471" i="1"/>
  <c r="D472" i="1"/>
  <c r="X472" i="1" s="1"/>
  <c r="D473" i="1"/>
  <c r="D474" i="1"/>
  <c r="D475" i="1"/>
  <c r="D476" i="1"/>
  <c r="D477" i="1"/>
  <c r="D478" i="1"/>
  <c r="D479" i="1"/>
  <c r="D480" i="1"/>
  <c r="X480" i="1" s="1"/>
  <c r="D481" i="1"/>
  <c r="D482" i="1"/>
  <c r="D483" i="1"/>
  <c r="D484" i="1"/>
  <c r="D485" i="1"/>
  <c r="D486" i="1"/>
  <c r="D487" i="1"/>
  <c r="D488" i="1"/>
  <c r="X488" i="1" s="1"/>
  <c r="D489" i="1"/>
  <c r="D490" i="1"/>
  <c r="D491" i="1"/>
  <c r="D492" i="1"/>
  <c r="D493" i="1"/>
  <c r="D494" i="1"/>
  <c r="D495" i="1"/>
  <c r="D496" i="1"/>
  <c r="X496" i="1" s="1"/>
  <c r="D497" i="1"/>
  <c r="D498" i="1"/>
  <c r="D499" i="1"/>
  <c r="D500" i="1"/>
  <c r="D501" i="1"/>
  <c r="D502" i="1"/>
  <c r="D503" i="1"/>
  <c r="D504" i="1"/>
  <c r="X504" i="1" s="1"/>
  <c r="D505" i="1"/>
  <c r="D506" i="1"/>
  <c r="D507" i="1"/>
  <c r="D508" i="1"/>
  <c r="D509" i="1"/>
  <c r="D510" i="1"/>
  <c r="D511" i="1"/>
  <c r="D512" i="1"/>
  <c r="X512" i="1" s="1"/>
  <c r="D513" i="1"/>
  <c r="D514" i="1"/>
  <c r="D515" i="1"/>
  <c r="D516" i="1"/>
  <c r="D517" i="1"/>
  <c r="D518" i="1"/>
  <c r="D519" i="1"/>
  <c r="D520" i="1"/>
  <c r="X520" i="1" s="1"/>
  <c r="D521" i="1"/>
  <c r="D522" i="1"/>
  <c r="D523" i="1"/>
  <c r="D524" i="1"/>
  <c r="D525" i="1"/>
  <c r="D526" i="1"/>
  <c r="D527" i="1"/>
  <c r="D528" i="1"/>
  <c r="X528" i="1" s="1"/>
  <c r="D529" i="1"/>
  <c r="D530" i="1"/>
  <c r="D531" i="1"/>
  <c r="D532" i="1"/>
  <c r="D533" i="1"/>
  <c r="D534" i="1"/>
  <c r="D535" i="1"/>
  <c r="D536" i="1"/>
  <c r="X536" i="1" s="1"/>
  <c r="D537" i="1"/>
  <c r="D538" i="1"/>
  <c r="D539" i="1"/>
  <c r="D540" i="1"/>
  <c r="D541" i="1"/>
  <c r="D542" i="1"/>
  <c r="D543" i="1"/>
  <c r="D544" i="1"/>
  <c r="X544" i="1" s="1"/>
  <c r="D545" i="1"/>
  <c r="D546" i="1"/>
  <c r="D547" i="1"/>
  <c r="D548" i="1"/>
  <c r="D549" i="1"/>
  <c r="D550" i="1"/>
  <c r="D551" i="1"/>
  <c r="X551" i="1" s="1"/>
  <c r="D552" i="1"/>
  <c r="X552" i="1" s="1"/>
  <c r="D553" i="1"/>
  <c r="D554" i="1"/>
  <c r="D555" i="1"/>
  <c r="D556" i="1"/>
  <c r="D557" i="1"/>
  <c r="D558" i="1"/>
  <c r="D559" i="1"/>
  <c r="D560" i="1"/>
  <c r="X560" i="1" s="1"/>
  <c r="D561" i="1"/>
  <c r="D562" i="1"/>
  <c r="D563" i="1"/>
  <c r="D564" i="1"/>
  <c r="D565" i="1"/>
  <c r="D566" i="1"/>
  <c r="D567" i="1"/>
  <c r="D568" i="1"/>
  <c r="X568" i="1" s="1"/>
  <c r="D569" i="1"/>
  <c r="D570" i="1"/>
  <c r="D571" i="1"/>
  <c r="D572" i="1"/>
  <c r="D573" i="1"/>
  <c r="D574" i="1"/>
  <c r="D575" i="1"/>
  <c r="D576" i="1"/>
  <c r="X576" i="1" s="1"/>
  <c r="D577" i="1"/>
  <c r="D578" i="1"/>
  <c r="D579" i="1"/>
  <c r="D580" i="1"/>
  <c r="D581" i="1"/>
  <c r="D582" i="1"/>
  <c r="D583" i="1"/>
  <c r="D584" i="1"/>
  <c r="X584" i="1" s="1"/>
  <c r="D585" i="1"/>
  <c r="D586" i="1"/>
  <c r="D587" i="1"/>
  <c r="D588" i="1"/>
  <c r="D589" i="1"/>
  <c r="D590" i="1"/>
  <c r="D591" i="1"/>
  <c r="D592" i="1"/>
  <c r="X592" i="1" s="1"/>
  <c r="D593" i="1"/>
  <c r="D594" i="1"/>
  <c r="D595" i="1"/>
  <c r="D596" i="1"/>
  <c r="D597" i="1"/>
  <c r="D598" i="1"/>
  <c r="D599" i="1"/>
  <c r="D600" i="1"/>
  <c r="X600" i="1" s="1"/>
  <c r="D601" i="1"/>
  <c r="D602" i="1"/>
  <c r="D603" i="1"/>
  <c r="D604" i="1"/>
  <c r="D605" i="1"/>
  <c r="D606" i="1"/>
  <c r="D607" i="1"/>
  <c r="D608" i="1"/>
  <c r="X608" i="1" s="1"/>
  <c r="D609" i="1"/>
  <c r="D610" i="1"/>
  <c r="D611" i="1"/>
  <c r="D612" i="1"/>
  <c r="D613" i="1"/>
  <c r="D614" i="1"/>
  <c r="D615" i="1"/>
  <c r="D616" i="1"/>
  <c r="X616" i="1" s="1"/>
  <c r="D617" i="1"/>
  <c r="D618" i="1"/>
  <c r="D619" i="1"/>
  <c r="D620" i="1"/>
  <c r="D621" i="1"/>
  <c r="D622" i="1"/>
  <c r="D623" i="1"/>
  <c r="D624" i="1"/>
  <c r="X624" i="1" s="1"/>
  <c r="D625" i="1"/>
  <c r="D626" i="1"/>
  <c r="D627" i="1"/>
  <c r="D628" i="1"/>
  <c r="D629" i="1"/>
  <c r="D630" i="1"/>
  <c r="D631" i="1"/>
  <c r="D632" i="1"/>
  <c r="X632" i="1" s="1"/>
  <c r="D633" i="1"/>
  <c r="D634" i="1"/>
  <c r="D635" i="1"/>
  <c r="D636" i="1"/>
  <c r="D637" i="1"/>
  <c r="D638" i="1"/>
  <c r="D639" i="1"/>
  <c r="D640" i="1"/>
  <c r="X640" i="1" s="1"/>
  <c r="D641" i="1"/>
  <c r="D642" i="1"/>
  <c r="D643" i="1"/>
  <c r="D644" i="1"/>
  <c r="D645" i="1"/>
  <c r="D646" i="1"/>
  <c r="D647" i="1"/>
  <c r="D648" i="1"/>
  <c r="X648" i="1" s="1"/>
  <c r="D649" i="1"/>
  <c r="D650" i="1"/>
  <c r="D651" i="1"/>
  <c r="D652" i="1"/>
  <c r="D653" i="1"/>
  <c r="D654" i="1"/>
  <c r="D655" i="1"/>
  <c r="D656" i="1"/>
  <c r="X656" i="1" s="1"/>
  <c r="D657" i="1"/>
  <c r="D658" i="1"/>
  <c r="D659" i="1"/>
  <c r="D660" i="1"/>
  <c r="D661" i="1"/>
  <c r="D662" i="1"/>
  <c r="D663" i="1"/>
  <c r="D664" i="1"/>
  <c r="X664" i="1" s="1"/>
  <c r="D665" i="1"/>
  <c r="D666" i="1"/>
  <c r="D667" i="1"/>
  <c r="D668" i="1"/>
  <c r="D669" i="1"/>
  <c r="D670" i="1"/>
  <c r="D671" i="1"/>
  <c r="D672" i="1"/>
  <c r="X672" i="1" s="1"/>
  <c r="D673" i="1"/>
  <c r="D674" i="1"/>
  <c r="D675" i="1"/>
  <c r="D676" i="1"/>
  <c r="D677" i="1"/>
  <c r="D678" i="1"/>
  <c r="X678" i="1" s="1"/>
  <c r="D679" i="1"/>
  <c r="D680" i="1"/>
  <c r="X680" i="1" s="1"/>
  <c r="D681" i="1"/>
  <c r="D682" i="1"/>
  <c r="D683" i="1"/>
  <c r="D684" i="1"/>
  <c r="D685" i="1"/>
  <c r="D686" i="1"/>
  <c r="D687" i="1"/>
  <c r="D688" i="1"/>
  <c r="X688" i="1" s="1"/>
  <c r="D689" i="1"/>
  <c r="D690" i="1"/>
  <c r="D691" i="1"/>
  <c r="D692" i="1"/>
  <c r="D693" i="1"/>
  <c r="D694" i="1"/>
  <c r="D695" i="1"/>
  <c r="D696" i="1"/>
  <c r="X696" i="1" s="1"/>
  <c r="D697" i="1"/>
  <c r="D698" i="1"/>
  <c r="D699" i="1"/>
  <c r="D700" i="1"/>
  <c r="D701" i="1"/>
  <c r="D702" i="1"/>
  <c r="D703" i="1"/>
  <c r="D704" i="1"/>
  <c r="X704" i="1" s="1"/>
  <c r="D705" i="1"/>
  <c r="D706" i="1"/>
  <c r="D707" i="1"/>
  <c r="D708" i="1"/>
  <c r="D709" i="1"/>
  <c r="D710" i="1"/>
  <c r="D711" i="1"/>
  <c r="D712" i="1"/>
  <c r="X712" i="1" s="1"/>
  <c r="D713" i="1"/>
  <c r="D714" i="1"/>
  <c r="D715" i="1"/>
  <c r="D716" i="1"/>
  <c r="D717" i="1"/>
  <c r="D718" i="1"/>
  <c r="D719" i="1"/>
  <c r="D720" i="1"/>
  <c r="X720" i="1" s="1"/>
  <c r="D721" i="1"/>
  <c r="D722" i="1"/>
  <c r="D723" i="1"/>
  <c r="D724" i="1"/>
  <c r="D725" i="1"/>
  <c r="D726" i="1"/>
  <c r="D727" i="1"/>
  <c r="D728" i="1"/>
  <c r="X728" i="1" s="1"/>
  <c r="D729" i="1"/>
  <c r="D730" i="1"/>
  <c r="D731" i="1"/>
  <c r="D732" i="1"/>
  <c r="D733" i="1"/>
  <c r="D734" i="1"/>
  <c r="D735" i="1"/>
  <c r="D736" i="1"/>
  <c r="X736" i="1" s="1"/>
  <c r="D737" i="1"/>
  <c r="D738" i="1"/>
  <c r="D739" i="1"/>
  <c r="D740" i="1"/>
  <c r="D741" i="1"/>
  <c r="D742" i="1"/>
  <c r="D743" i="1"/>
  <c r="D744" i="1"/>
  <c r="X744" i="1" s="1"/>
  <c r="D745" i="1"/>
  <c r="D746" i="1"/>
  <c r="D747" i="1"/>
  <c r="D748" i="1"/>
  <c r="D749" i="1"/>
  <c r="D750" i="1"/>
  <c r="D751" i="1"/>
  <c r="D752" i="1"/>
  <c r="X752" i="1" s="1"/>
  <c r="D753" i="1"/>
  <c r="D754" i="1"/>
  <c r="D755" i="1"/>
  <c r="D756" i="1"/>
  <c r="D757" i="1"/>
  <c r="D758" i="1"/>
  <c r="D759" i="1"/>
  <c r="D760" i="1"/>
  <c r="X760" i="1" s="1"/>
  <c r="D761" i="1"/>
  <c r="D762" i="1"/>
  <c r="D763" i="1"/>
  <c r="D764" i="1"/>
  <c r="D765" i="1"/>
  <c r="D766" i="1"/>
  <c r="D767" i="1"/>
  <c r="D768" i="1"/>
  <c r="X768" i="1" s="1"/>
  <c r="D769" i="1"/>
  <c r="D770" i="1"/>
  <c r="D771" i="1"/>
  <c r="D772" i="1"/>
  <c r="D773" i="1"/>
  <c r="D774" i="1"/>
  <c r="D775" i="1"/>
  <c r="D776" i="1"/>
  <c r="X776" i="1" s="1"/>
  <c r="D777" i="1"/>
  <c r="D778" i="1"/>
  <c r="D779" i="1"/>
  <c r="D780" i="1"/>
  <c r="D781" i="1"/>
  <c r="D782" i="1"/>
  <c r="D783" i="1"/>
  <c r="D784" i="1"/>
  <c r="X784" i="1" s="1"/>
  <c r="D785" i="1"/>
  <c r="D786" i="1"/>
  <c r="D787" i="1"/>
  <c r="D788" i="1"/>
  <c r="D789" i="1"/>
  <c r="D790" i="1"/>
  <c r="D791" i="1"/>
  <c r="D792" i="1"/>
  <c r="X792" i="1" s="1"/>
  <c r="D793" i="1"/>
  <c r="D794" i="1"/>
  <c r="D795" i="1"/>
  <c r="D796" i="1"/>
  <c r="D797" i="1"/>
  <c r="D798" i="1"/>
  <c r="D799" i="1"/>
  <c r="D800" i="1"/>
  <c r="X800" i="1" s="1"/>
  <c r="D801" i="1"/>
  <c r="D802" i="1"/>
  <c r="D803" i="1"/>
  <c r="D804" i="1"/>
  <c r="D805" i="1"/>
  <c r="D806" i="1"/>
  <c r="D807" i="1"/>
  <c r="D808" i="1"/>
  <c r="X808" i="1" s="1"/>
  <c r="D809" i="1"/>
  <c r="D810" i="1"/>
  <c r="D811" i="1"/>
  <c r="D812" i="1"/>
  <c r="D813" i="1"/>
  <c r="D814" i="1"/>
  <c r="D815" i="1"/>
  <c r="D816" i="1"/>
  <c r="X816" i="1" s="1"/>
  <c r="D817" i="1"/>
  <c r="D818" i="1"/>
  <c r="D819" i="1"/>
  <c r="D820" i="1"/>
  <c r="D821" i="1"/>
  <c r="D822" i="1"/>
  <c r="D823" i="1"/>
  <c r="D824" i="1"/>
  <c r="X824" i="1" s="1"/>
  <c r="D825" i="1"/>
  <c r="D826" i="1"/>
  <c r="D827" i="1"/>
  <c r="D828" i="1"/>
  <c r="D829" i="1"/>
  <c r="D830" i="1"/>
  <c r="D831" i="1"/>
  <c r="D832" i="1"/>
  <c r="X832" i="1" s="1"/>
  <c r="D833" i="1"/>
  <c r="D834" i="1"/>
  <c r="D835" i="1"/>
  <c r="D836" i="1"/>
  <c r="D837" i="1"/>
  <c r="D838" i="1"/>
  <c r="D839" i="1"/>
  <c r="D840" i="1"/>
  <c r="X840" i="1" s="1"/>
  <c r="D841" i="1"/>
  <c r="D842" i="1"/>
  <c r="D843" i="1"/>
  <c r="D844" i="1"/>
  <c r="D845" i="1"/>
  <c r="D846" i="1"/>
  <c r="D847" i="1"/>
  <c r="D848" i="1"/>
  <c r="X848" i="1" s="1"/>
  <c r="D849" i="1"/>
  <c r="D850" i="1"/>
  <c r="D851" i="1"/>
  <c r="D852" i="1"/>
  <c r="D853" i="1"/>
  <c r="D854" i="1"/>
  <c r="D855" i="1"/>
  <c r="D856" i="1"/>
  <c r="X856" i="1" s="1"/>
  <c r="D857" i="1"/>
  <c r="D858" i="1"/>
  <c r="D859" i="1"/>
  <c r="D860" i="1"/>
  <c r="D861" i="1"/>
  <c r="D862" i="1"/>
  <c r="D863" i="1"/>
  <c r="D864" i="1"/>
  <c r="X864" i="1" s="1"/>
  <c r="D865" i="1"/>
  <c r="D866" i="1"/>
  <c r="D867" i="1"/>
  <c r="D868" i="1"/>
  <c r="D869" i="1"/>
  <c r="D870" i="1"/>
  <c r="D871" i="1"/>
  <c r="D872" i="1"/>
  <c r="X872" i="1" s="1"/>
  <c r="D873" i="1"/>
  <c r="D874" i="1"/>
  <c r="D875" i="1"/>
  <c r="D876" i="1"/>
  <c r="D877" i="1"/>
  <c r="D878" i="1"/>
  <c r="D879" i="1"/>
  <c r="D880" i="1"/>
  <c r="X880" i="1" s="1"/>
  <c r="D881" i="1"/>
  <c r="D882" i="1"/>
  <c r="D883" i="1"/>
  <c r="D884" i="1"/>
  <c r="D885" i="1"/>
  <c r="D886" i="1"/>
  <c r="D887" i="1"/>
  <c r="D888" i="1"/>
  <c r="X888" i="1" s="1"/>
  <c r="D889" i="1"/>
  <c r="D890" i="1"/>
  <c r="D891" i="1"/>
  <c r="D892" i="1"/>
  <c r="D893" i="1"/>
  <c r="D894" i="1"/>
  <c r="D895" i="1"/>
  <c r="D896" i="1"/>
  <c r="X896" i="1" s="1"/>
  <c r="D897" i="1"/>
  <c r="D898" i="1"/>
  <c r="D899" i="1"/>
  <c r="D900" i="1"/>
  <c r="D901" i="1"/>
  <c r="D922" i="1"/>
  <c r="D923" i="1"/>
  <c r="D924" i="1"/>
  <c r="D925" i="1"/>
  <c r="D926" i="1"/>
  <c r="D927" i="1"/>
  <c r="D928" i="1"/>
  <c r="X928" i="1" s="1"/>
  <c r="D929" i="1"/>
  <c r="D930" i="1"/>
  <c r="D931" i="1"/>
  <c r="D932" i="1"/>
  <c r="D933" i="1"/>
  <c r="D2" i="1"/>
  <c r="AB3" i="1"/>
  <c r="AC3" i="1" s="1"/>
  <c r="AB4" i="1"/>
  <c r="AC4" i="1" s="1"/>
  <c r="AB5" i="1"/>
  <c r="AC5" i="1" s="1"/>
  <c r="AB6" i="1"/>
  <c r="AC6" i="1" s="1"/>
  <c r="AB7" i="1"/>
  <c r="AC7" i="1" s="1"/>
  <c r="AD7" i="1" s="1"/>
  <c r="AB8" i="1"/>
  <c r="AC8" i="1" s="1"/>
  <c r="AB9" i="1"/>
  <c r="AC9" i="1" s="1"/>
  <c r="AB10" i="1"/>
  <c r="AC10" i="1" s="1"/>
  <c r="AB11" i="1"/>
  <c r="AC11" i="1" s="1"/>
  <c r="AB12" i="1"/>
  <c r="AC12" i="1" s="1"/>
  <c r="AD12" i="1" s="1"/>
  <c r="AB13" i="1"/>
  <c r="AC13" i="1" s="1"/>
  <c r="AB14" i="1"/>
  <c r="AC14" i="1" s="1"/>
  <c r="AB15" i="1"/>
  <c r="AC15" i="1" s="1"/>
  <c r="AB16" i="1"/>
  <c r="AC16" i="1" s="1"/>
  <c r="AB17" i="1"/>
  <c r="AC17" i="1" s="1"/>
  <c r="AB18" i="1"/>
  <c r="AC18" i="1" s="1"/>
  <c r="AB19" i="1"/>
  <c r="AC19" i="1" s="1"/>
  <c r="AB20" i="1"/>
  <c r="AC20" i="1" s="1"/>
  <c r="AB21" i="1"/>
  <c r="AC21" i="1" s="1"/>
  <c r="AB22" i="1"/>
  <c r="AC22" i="1" s="1"/>
  <c r="AB23" i="1"/>
  <c r="AC23" i="1" s="1"/>
  <c r="AE23" i="1" s="1"/>
  <c r="AB24" i="1"/>
  <c r="AC24" i="1" s="1"/>
  <c r="AB25" i="1"/>
  <c r="AC25" i="1" s="1"/>
  <c r="AB26" i="1"/>
  <c r="AC26" i="1" s="1"/>
  <c r="AB27" i="1"/>
  <c r="AC27" i="1" s="1"/>
  <c r="AB28" i="1"/>
  <c r="AC28" i="1" s="1"/>
  <c r="AB29" i="1"/>
  <c r="AC29" i="1" s="1"/>
  <c r="AB30" i="1"/>
  <c r="AC30" i="1" s="1"/>
  <c r="AB31" i="1"/>
  <c r="AC31" i="1" s="1"/>
  <c r="AB32" i="1"/>
  <c r="AC32" i="1" s="1"/>
  <c r="AB33" i="1"/>
  <c r="AC33" i="1" s="1"/>
  <c r="AB34" i="1"/>
  <c r="AC34" i="1" s="1"/>
  <c r="AB35" i="1"/>
  <c r="AC35" i="1" s="1"/>
  <c r="AB36" i="1"/>
  <c r="AC36" i="1" s="1"/>
  <c r="AB37" i="1"/>
  <c r="AC37" i="1" s="1"/>
  <c r="AB38" i="1"/>
  <c r="AC38" i="1" s="1"/>
  <c r="AB39" i="1"/>
  <c r="AC39" i="1" s="1"/>
  <c r="AD39" i="1" s="1"/>
  <c r="AB40" i="1"/>
  <c r="AC40" i="1" s="1"/>
  <c r="AB41" i="1"/>
  <c r="AC41" i="1" s="1"/>
  <c r="AB42" i="1"/>
  <c r="AC42" i="1" s="1"/>
  <c r="AB43" i="1"/>
  <c r="AC43" i="1" s="1"/>
  <c r="AB44" i="1"/>
  <c r="AC44" i="1" s="1"/>
  <c r="AB45" i="1"/>
  <c r="AC45" i="1" s="1"/>
  <c r="AB46" i="1"/>
  <c r="AC46" i="1" s="1"/>
  <c r="AB47" i="1"/>
  <c r="AC47" i="1" s="1"/>
  <c r="AD47" i="1" s="1"/>
  <c r="AB48" i="1"/>
  <c r="AC48" i="1" s="1"/>
  <c r="AB49" i="1"/>
  <c r="AC49" i="1" s="1"/>
  <c r="AB50" i="1"/>
  <c r="AC50" i="1" s="1"/>
  <c r="AB51" i="1"/>
  <c r="AC51" i="1" s="1"/>
  <c r="AB52" i="1"/>
  <c r="AC52" i="1" s="1"/>
  <c r="AB53" i="1"/>
  <c r="AC53" i="1" s="1"/>
  <c r="AB54" i="1"/>
  <c r="AC54" i="1" s="1"/>
  <c r="AB55" i="1"/>
  <c r="AC55" i="1" s="1"/>
  <c r="AB56" i="1"/>
  <c r="AC56" i="1" s="1"/>
  <c r="AB57" i="1"/>
  <c r="AC57" i="1" s="1"/>
  <c r="AB58" i="1"/>
  <c r="AC58" i="1" s="1"/>
  <c r="AB59" i="1"/>
  <c r="AC59" i="1" s="1"/>
  <c r="AB60" i="1"/>
  <c r="AC60" i="1" s="1"/>
  <c r="AB61" i="1"/>
  <c r="AC61" i="1" s="1"/>
  <c r="AB62" i="1"/>
  <c r="AC62" i="1" s="1"/>
  <c r="AB63" i="1"/>
  <c r="AC63" i="1" s="1"/>
  <c r="AD63" i="1" s="1"/>
  <c r="AB64" i="1"/>
  <c r="AC64" i="1" s="1"/>
  <c r="AB65" i="1"/>
  <c r="AC65" i="1" s="1"/>
  <c r="AB66" i="1"/>
  <c r="AC66" i="1" s="1"/>
  <c r="AB67" i="1"/>
  <c r="AC67" i="1" s="1"/>
  <c r="AB68" i="1"/>
  <c r="AC68" i="1" s="1"/>
  <c r="AB69" i="1"/>
  <c r="AC69" i="1" s="1"/>
  <c r="AB70" i="1"/>
  <c r="AC70" i="1" s="1"/>
  <c r="AB71" i="1"/>
  <c r="AC71" i="1" s="1"/>
  <c r="AB72" i="1"/>
  <c r="AC72" i="1" s="1"/>
  <c r="AB73" i="1"/>
  <c r="AC73" i="1" s="1"/>
  <c r="AB74" i="1"/>
  <c r="AC74" i="1" s="1"/>
  <c r="AB75" i="1"/>
  <c r="AC75" i="1" s="1"/>
  <c r="AB76" i="1"/>
  <c r="AC76" i="1" s="1"/>
  <c r="AB77" i="1"/>
  <c r="AC77" i="1" s="1"/>
  <c r="AB78" i="1"/>
  <c r="AC78" i="1" s="1"/>
  <c r="AB79" i="1"/>
  <c r="AC79" i="1" s="1"/>
  <c r="AD79" i="1" s="1"/>
  <c r="AB80" i="1"/>
  <c r="AC80" i="1" s="1"/>
  <c r="AB81" i="1"/>
  <c r="AC81" i="1" s="1"/>
  <c r="AB82" i="1"/>
  <c r="AC82" i="1" s="1"/>
  <c r="AB83" i="1"/>
  <c r="AC83" i="1" s="1"/>
  <c r="AB84" i="1"/>
  <c r="AC84" i="1" s="1"/>
  <c r="AB85" i="1"/>
  <c r="AC85" i="1" s="1"/>
  <c r="AB86" i="1"/>
  <c r="AC86" i="1" s="1"/>
  <c r="AB87" i="1"/>
  <c r="AC87" i="1" s="1"/>
  <c r="AD87" i="1" s="1"/>
  <c r="AB88" i="1"/>
  <c r="AC88" i="1" s="1"/>
  <c r="AB89" i="1"/>
  <c r="AC89" i="1" s="1"/>
  <c r="AB90" i="1"/>
  <c r="AC90" i="1" s="1"/>
  <c r="AB91" i="1"/>
  <c r="AC91" i="1" s="1"/>
  <c r="AB92" i="1"/>
  <c r="AC92" i="1" s="1"/>
  <c r="AB93" i="1"/>
  <c r="AC93" i="1" s="1"/>
  <c r="AB94" i="1"/>
  <c r="AC94" i="1" s="1"/>
  <c r="AB95" i="1"/>
  <c r="AC95" i="1" s="1"/>
  <c r="AD95" i="1" s="1"/>
  <c r="AB96" i="1"/>
  <c r="AC96" i="1" s="1"/>
  <c r="AB97" i="1"/>
  <c r="AC97" i="1" s="1"/>
  <c r="AB98" i="1"/>
  <c r="AC98" i="1" s="1"/>
  <c r="AB99" i="1"/>
  <c r="AC99" i="1" s="1"/>
  <c r="AB100" i="1"/>
  <c r="AC100" i="1" s="1"/>
  <c r="AB101" i="1"/>
  <c r="AC101" i="1" s="1"/>
  <c r="AB102" i="1"/>
  <c r="AC102" i="1" s="1"/>
  <c r="AB103" i="1"/>
  <c r="AC103" i="1" s="1"/>
  <c r="AB104" i="1"/>
  <c r="AC104" i="1" s="1"/>
  <c r="AB105" i="1"/>
  <c r="AC105" i="1" s="1"/>
  <c r="AB106" i="1"/>
  <c r="AC106" i="1" s="1"/>
  <c r="AB107" i="1"/>
  <c r="AC107" i="1" s="1"/>
  <c r="AB108" i="1"/>
  <c r="AC108" i="1" s="1"/>
  <c r="AB109" i="1"/>
  <c r="AC109" i="1" s="1"/>
  <c r="AB110" i="1"/>
  <c r="AC110" i="1" s="1"/>
  <c r="AB111" i="1"/>
  <c r="AC111" i="1" s="1"/>
  <c r="AB112" i="1"/>
  <c r="AC112" i="1" s="1"/>
  <c r="AB113" i="1"/>
  <c r="AC113" i="1" s="1"/>
  <c r="AB114" i="1"/>
  <c r="AC114" i="1" s="1"/>
  <c r="AB115" i="1"/>
  <c r="AC115" i="1" s="1"/>
  <c r="AB116" i="1"/>
  <c r="AC116" i="1" s="1"/>
  <c r="AB117" i="1"/>
  <c r="AC117" i="1" s="1"/>
  <c r="AB118" i="1"/>
  <c r="AC118" i="1" s="1"/>
  <c r="AB119" i="1"/>
  <c r="AC119" i="1" s="1"/>
  <c r="AB120" i="1"/>
  <c r="AC120" i="1" s="1"/>
  <c r="AB121" i="1"/>
  <c r="AC121" i="1" s="1"/>
  <c r="AB122" i="1"/>
  <c r="AC122" i="1" s="1"/>
  <c r="AB123" i="1"/>
  <c r="AC123" i="1" s="1"/>
  <c r="AB124" i="1"/>
  <c r="AC124" i="1" s="1"/>
  <c r="AB125" i="1"/>
  <c r="AC125" i="1" s="1"/>
  <c r="AB126" i="1"/>
  <c r="AC126" i="1" s="1"/>
  <c r="AB127" i="1"/>
  <c r="AC127" i="1" s="1"/>
  <c r="AB128" i="1"/>
  <c r="AC128" i="1" s="1"/>
  <c r="AB129" i="1"/>
  <c r="AC129" i="1" s="1"/>
  <c r="AB130" i="1"/>
  <c r="AC130" i="1" s="1"/>
  <c r="AB131" i="1"/>
  <c r="AC131" i="1" s="1"/>
  <c r="AB132" i="1"/>
  <c r="AC132" i="1" s="1"/>
  <c r="AB133" i="1"/>
  <c r="AC133" i="1" s="1"/>
  <c r="AB134" i="1"/>
  <c r="AC134" i="1" s="1"/>
  <c r="AB135" i="1"/>
  <c r="AC135" i="1" s="1"/>
  <c r="AB136" i="1"/>
  <c r="AC136" i="1" s="1"/>
  <c r="AB137" i="1"/>
  <c r="AC137" i="1" s="1"/>
  <c r="AB138" i="1"/>
  <c r="AC138" i="1" s="1"/>
  <c r="AB139" i="1"/>
  <c r="AC139" i="1" s="1"/>
  <c r="AB140" i="1"/>
  <c r="AC140" i="1" s="1"/>
  <c r="AB141" i="1"/>
  <c r="AC141" i="1" s="1"/>
  <c r="AB142" i="1"/>
  <c r="AC142" i="1" s="1"/>
  <c r="AB143" i="1"/>
  <c r="AC143" i="1" s="1"/>
  <c r="AB144" i="1"/>
  <c r="AC144" i="1" s="1"/>
  <c r="AB145" i="1"/>
  <c r="AC145" i="1" s="1"/>
  <c r="AB146" i="1"/>
  <c r="AC146" i="1" s="1"/>
  <c r="AB147" i="1"/>
  <c r="AC147" i="1" s="1"/>
  <c r="AB148" i="1"/>
  <c r="AC148" i="1" s="1"/>
  <c r="AB149" i="1"/>
  <c r="AC149" i="1" s="1"/>
  <c r="AB150" i="1"/>
  <c r="AC150" i="1" s="1"/>
  <c r="AB151" i="1"/>
  <c r="AC151" i="1" s="1"/>
  <c r="AB152" i="1"/>
  <c r="AC152" i="1" s="1"/>
  <c r="AB153" i="1"/>
  <c r="AC153" i="1" s="1"/>
  <c r="AB154" i="1"/>
  <c r="AC154" i="1" s="1"/>
  <c r="AB155" i="1"/>
  <c r="AC155" i="1" s="1"/>
  <c r="AB156" i="1"/>
  <c r="AC156" i="1" s="1"/>
  <c r="AB157" i="1"/>
  <c r="AC157" i="1" s="1"/>
  <c r="AB158" i="1"/>
  <c r="AC158" i="1" s="1"/>
  <c r="AB159" i="1"/>
  <c r="AC159" i="1" s="1"/>
  <c r="AD159" i="1" s="1"/>
  <c r="AB160" i="1"/>
  <c r="AC160" i="1" s="1"/>
  <c r="AB161" i="1"/>
  <c r="AC161" i="1" s="1"/>
  <c r="AB162" i="1"/>
  <c r="AC162" i="1" s="1"/>
  <c r="AB163" i="1"/>
  <c r="AC163" i="1" s="1"/>
  <c r="AB164" i="1"/>
  <c r="AC164" i="1" s="1"/>
  <c r="AB165" i="1"/>
  <c r="AC165" i="1" s="1"/>
  <c r="AB166" i="1"/>
  <c r="AC166" i="1" s="1"/>
  <c r="AB167" i="1"/>
  <c r="AC167" i="1" s="1"/>
  <c r="AD167" i="1" s="1"/>
  <c r="AB168" i="1"/>
  <c r="AC168" i="1" s="1"/>
  <c r="AB169" i="1"/>
  <c r="AC169" i="1" s="1"/>
  <c r="AB170" i="1"/>
  <c r="AC170" i="1" s="1"/>
  <c r="AB171" i="1"/>
  <c r="AC171" i="1" s="1"/>
  <c r="AB172" i="1"/>
  <c r="AC172" i="1" s="1"/>
  <c r="AB173" i="1"/>
  <c r="AC173" i="1" s="1"/>
  <c r="AB174" i="1"/>
  <c r="AC174" i="1" s="1"/>
  <c r="AB175" i="1"/>
  <c r="AC175" i="1" s="1"/>
  <c r="AD175" i="1" s="1"/>
  <c r="AB176" i="1"/>
  <c r="AC176" i="1" s="1"/>
  <c r="AB177" i="1"/>
  <c r="AC177" i="1" s="1"/>
  <c r="AB178" i="1"/>
  <c r="AC178" i="1" s="1"/>
  <c r="AB179" i="1"/>
  <c r="AC179" i="1" s="1"/>
  <c r="AB180" i="1"/>
  <c r="AC180" i="1" s="1"/>
  <c r="AB181" i="1"/>
  <c r="AC181" i="1" s="1"/>
  <c r="AB182" i="1"/>
  <c r="AC182" i="1" s="1"/>
  <c r="AB183" i="1"/>
  <c r="AC183" i="1" s="1"/>
  <c r="AB184" i="1"/>
  <c r="AC184" i="1" s="1"/>
  <c r="AB185" i="1"/>
  <c r="AC185" i="1" s="1"/>
  <c r="AB186" i="1"/>
  <c r="AC186" i="1" s="1"/>
  <c r="AB187" i="1"/>
  <c r="AC187" i="1" s="1"/>
  <c r="AB188" i="1"/>
  <c r="AC188" i="1" s="1"/>
  <c r="AB189" i="1"/>
  <c r="AC189" i="1" s="1"/>
  <c r="AB190" i="1"/>
  <c r="AC190" i="1" s="1"/>
  <c r="AB191" i="1"/>
  <c r="AC191" i="1" s="1"/>
  <c r="AD191" i="1" s="1"/>
  <c r="AB192" i="1"/>
  <c r="AC192" i="1" s="1"/>
  <c r="AB193" i="1"/>
  <c r="AC193" i="1" s="1"/>
  <c r="AB194" i="1"/>
  <c r="AC194" i="1" s="1"/>
  <c r="AB195" i="1"/>
  <c r="AC195" i="1" s="1"/>
  <c r="AB196" i="1"/>
  <c r="AC196" i="1" s="1"/>
  <c r="AB197" i="1"/>
  <c r="AC197" i="1" s="1"/>
  <c r="AB198" i="1"/>
  <c r="AC198" i="1" s="1"/>
  <c r="AB199" i="1"/>
  <c r="AC199" i="1" s="1"/>
  <c r="AB200" i="1"/>
  <c r="AC200" i="1" s="1"/>
  <c r="AB201" i="1"/>
  <c r="AC201" i="1" s="1"/>
  <c r="AB202" i="1"/>
  <c r="AC202" i="1" s="1"/>
  <c r="AB203" i="1"/>
  <c r="AC203" i="1" s="1"/>
  <c r="AB204" i="1"/>
  <c r="AC204" i="1" s="1"/>
  <c r="AB205" i="1"/>
  <c r="AC205" i="1" s="1"/>
  <c r="AB206" i="1"/>
  <c r="AC206" i="1" s="1"/>
  <c r="AB207" i="1"/>
  <c r="AC207" i="1" s="1"/>
  <c r="AD207" i="1" s="1"/>
  <c r="AB208" i="1"/>
  <c r="AC208" i="1" s="1"/>
  <c r="AB209" i="1"/>
  <c r="AC209" i="1" s="1"/>
  <c r="AB210" i="1"/>
  <c r="AC210" i="1" s="1"/>
  <c r="AB211" i="1"/>
  <c r="AC211" i="1" s="1"/>
  <c r="AB212" i="1"/>
  <c r="AC212" i="1" s="1"/>
  <c r="AB213" i="1"/>
  <c r="AC213" i="1" s="1"/>
  <c r="AB214" i="1"/>
  <c r="AC214" i="1" s="1"/>
  <c r="AB215" i="1"/>
  <c r="AC215" i="1" s="1"/>
  <c r="AD215" i="1" s="1"/>
  <c r="AB216" i="1"/>
  <c r="AC216" i="1" s="1"/>
  <c r="AB217" i="1"/>
  <c r="AC217" i="1" s="1"/>
  <c r="AB218" i="1"/>
  <c r="AC218" i="1" s="1"/>
  <c r="AB219" i="1"/>
  <c r="AC219" i="1" s="1"/>
  <c r="AB220" i="1"/>
  <c r="AC220" i="1" s="1"/>
  <c r="AB221" i="1"/>
  <c r="AC221" i="1" s="1"/>
  <c r="AB222" i="1"/>
  <c r="AC222" i="1" s="1"/>
  <c r="AB223" i="1"/>
  <c r="AC223" i="1" s="1"/>
  <c r="AB224" i="1"/>
  <c r="AC224" i="1" s="1"/>
  <c r="AB225" i="1"/>
  <c r="AC225" i="1" s="1"/>
  <c r="AB226" i="1"/>
  <c r="AC226" i="1" s="1"/>
  <c r="AB227" i="1"/>
  <c r="AC227" i="1" s="1"/>
  <c r="AB228" i="1"/>
  <c r="AC228" i="1" s="1"/>
  <c r="AB229" i="1"/>
  <c r="AC229" i="1" s="1"/>
  <c r="AB230" i="1"/>
  <c r="AC230" i="1" s="1"/>
  <c r="AB231" i="1"/>
  <c r="AC231" i="1" s="1"/>
  <c r="AB232" i="1"/>
  <c r="AC232" i="1" s="1"/>
  <c r="AB233" i="1"/>
  <c r="AC233" i="1" s="1"/>
  <c r="AB234" i="1"/>
  <c r="AC234" i="1" s="1"/>
  <c r="AB235" i="1"/>
  <c r="AC235" i="1" s="1"/>
  <c r="AB236" i="1"/>
  <c r="AC236" i="1" s="1"/>
  <c r="AB237" i="1"/>
  <c r="AC237" i="1" s="1"/>
  <c r="AB238" i="1"/>
  <c r="AC238" i="1" s="1"/>
  <c r="AB239" i="1"/>
  <c r="AC239" i="1" s="1"/>
  <c r="AB240" i="1"/>
  <c r="AC240" i="1" s="1"/>
  <c r="AB241" i="1"/>
  <c r="AC241" i="1" s="1"/>
  <c r="AB242" i="1"/>
  <c r="AC242" i="1" s="1"/>
  <c r="AB243" i="1"/>
  <c r="AC243" i="1" s="1"/>
  <c r="AB244" i="1"/>
  <c r="AC244" i="1" s="1"/>
  <c r="AB245" i="1"/>
  <c r="AC245" i="1" s="1"/>
  <c r="AB246" i="1"/>
  <c r="AC246" i="1" s="1"/>
  <c r="AB247" i="1"/>
  <c r="AC247" i="1" s="1"/>
  <c r="AB248" i="1"/>
  <c r="AC248" i="1" s="1"/>
  <c r="AB249" i="1"/>
  <c r="AC249" i="1" s="1"/>
  <c r="AB250" i="1"/>
  <c r="AC250" i="1" s="1"/>
  <c r="AB251" i="1"/>
  <c r="AC251" i="1" s="1"/>
  <c r="AB252" i="1"/>
  <c r="AC252" i="1" s="1"/>
  <c r="AB253" i="1"/>
  <c r="AC253" i="1" s="1"/>
  <c r="AB254" i="1"/>
  <c r="AC254" i="1" s="1"/>
  <c r="AB255" i="1"/>
  <c r="AC255" i="1" s="1"/>
  <c r="AD255" i="1" s="1"/>
  <c r="AB256" i="1"/>
  <c r="AC256" i="1" s="1"/>
  <c r="AB257" i="1"/>
  <c r="AC257" i="1" s="1"/>
  <c r="AB258" i="1"/>
  <c r="AC258" i="1" s="1"/>
  <c r="AB259" i="1"/>
  <c r="AC259" i="1" s="1"/>
  <c r="AB260" i="1"/>
  <c r="AC260" i="1" s="1"/>
  <c r="AB261" i="1"/>
  <c r="AC261" i="1" s="1"/>
  <c r="AB262" i="1"/>
  <c r="AC262" i="1" s="1"/>
  <c r="AB263" i="1"/>
  <c r="AC263" i="1" s="1"/>
  <c r="AB264" i="1"/>
  <c r="AC264" i="1" s="1"/>
  <c r="AB265" i="1"/>
  <c r="AC265" i="1" s="1"/>
  <c r="AB266" i="1"/>
  <c r="AC266" i="1" s="1"/>
  <c r="AB267" i="1"/>
  <c r="AC267" i="1" s="1"/>
  <c r="AB268" i="1"/>
  <c r="AC268" i="1" s="1"/>
  <c r="AB269" i="1"/>
  <c r="AC269" i="1" s="1"/>
  <c r="AB270" i="1"/>
  <c r="AC270" i="1" s="1"/>
  <c r="AB271" i="1"/>
  <c r="AC271" i="1" s="1"/>
  <c r="AB272" i="1"/>
  <c r="AC272" i="1" s="1"/>
  <c r="AB273" i="1"/>
  <c r="AC273" i="1" s="1"/>
  <c r="AB274" i="1"/>
  <c r="AC274" i="1" s="1"/>
  <c r="AB275" i="1"/>
  <c r="AC275" i="1" s="1"/>
  <c r="AB276" i="1"/>
  <c r="AC276" i="1" s="1"/>
  <c r="AB277" i="1"/>
  <c r="AC277" i="1" s="1"/>
  <c r="AB278" i="1"/>
  <c r="AC278" i="1" s="1"/>
  <c r="AB279" i="1"/>
  <c r="AC279" i="1" s="1"/>
  <c r="AB280" i="1"/>
  <c r="AC280" i="1" s="1"/>
  <c r="AB281" i="1"/>
  <c r="AC281" i="1" s="1"/>
  <c r="AB282" i="1"/>
  <c r="AC282" i="1" s="1"/>
  <c r="AB283" i="1"/>
  <c r="AC283" i="1" s="1"/>
  <c r="AB284" i="1"/>
  <c r="AC284" i="1" s="1"/>
  <c r="AB285" i="1"/>
  <c r="AC285" i="1" s="1"/>
  <c r="AB286" i="1"/>
  <c r="AC286" i="1" s="1"/>
  <c r="AB287" i="1"/>
  <c r="AC287" i="1" s="1"/>
  <c r="AD287" i="1" s="1"/>
  <c r="AB288" i="1"/>
  <c r="AC288" i="1" s="1"/>
  <c r="AB289" i="1"/>
  <c r="AC289" i="1" s="1"/>
  <c r="AB290" i="1"/>
  <c r="AC290" i="1" s="1"/>
  <c r="AB291" i="1"/>
  <c r="AC291" i="1" s="1"/>
  <c r="AD291" i="1" s="1"/>
  <c r="AB292" i="1"/>
  <c r="AC292" i="1" s="1"/>
  <c r="AB293" i="1"/>
  <c r="AC293" i="1" s="1"/>
  <c r="AB294" i="1"/>
  <c r="AC294" i="1" s="1"/>
  <c r="AB295" i="1"/>
  <c r="AC295" i="1" s="1"/>
  <c r="AB296" i="1"/>
  <c r="AC296" i="1" s="1"/>
  <c r="AB297" i="1"/>
  <c r="AC297" i="1" s="1"/>
  <c r="AB298" i="1"/>
  <c r="AC298" i="1" s="1"/>
  <c r="AB299" i="1"/>
  <c r="AC299" i="1" s="1"/>
  <c r="AD299" i="1" s="1"/>
  <c r="AB300" i="1"/>
  <c r="AC300" i="1" s="1"/>
  <c r="AB301" i="1"/>
  <c r="AC301" i="1" s="1"/>
  <c r="AB302" i="1"/>
  <c r="AC302" i="1" s="1"/>
  <c r="AB303" i="1"/>
  <c r="AC303" i="1" s="1"/>
  <c r="AB304" i="1"/>
  <c r="AC304" i="1" s="1"/>
  <c r="AB305" i="1"/>
  <c r="AC305" i="1" s="1"/>
  <c r="AB306" i="1"/>
  <c r="AC306" i="1" s="1"/>
  <c r="AB307" i="1"/>
  <c r="AC307" i="1" s="1"/>
  <c r="AB308" i="1"/>
  <c r="AC308" i="1" s="1"/>
  <c r="AB309" i="1"/>
  <c r="AC309" i="1" s="1"/>
  <c r="AB310" i="1"/>
  <c r="AC310" i="1" s="1"/>
  <c r="AB311" i="1"/>
  <c r="AC311" i="1" s="1"/>
  <c r="AB312" i="1"/>
  <c r="AC312" i="1" s="1"/>
  <c r="AB313" i="1"/>
  <c r="AC313" i="1" s="1"/>
  <c r="AB314" i="1"/>
  <c r="AC314" i="1" s="1"/>
  <c r="AB315" i="1"/>
  <c r="AC315" i="1" s="1"/>
  <c r="AB316" i="1"/>
  <c r="AC316" i="1" s="1"/>
  <c r="AB317" i="1"/>
  <c r="AC317" i="1" s="1"/>
  <c r="AB318" i="1"/>
  <c r="AC318" i="1" s="1"/>
  <c r="AB319" i="1"/>
  <c r="AC319" i="1" s="1"/>
  <c r="AB320" i="1"/>
  <c r="AC320" i="1" s="1"/>
  <c r="AB321" i="1"/>
  <c r="AC321" i="1" s="1"/>
  <c r="AB322" i="1"/>
  <c r="AC322" i="1" s="1"/>
  <c r="AB323" i="1"/>
  <c r="AC323" i="1" s="1"/>
  <c r="AD323" i="1" s="1"/>
  <c r="AB324" i="1"/>
  <c r="AC324" i="1" s="1"/>
  <c r="AB325" i="1"/>
  <c r="AC325" i="1" s="1"/>
  <c r="AB326" i="1"/>
  <c r="AC326" i="1" s="1"/>
  <c r="AB327" i="1"/>
  <c r="AC327" i="1" s="1"/>
  <c r="AB328" i="1"/>
  <c r="AC328" i="1" s="1"/>
  <c r="AB329" i="1"/>
  <c r="AC329" i="1" s="1"/>
  <c r="AB330" i="1"/>
  <c r="AC330" i="1" s="1"/>
  <c r="AB331" i="1"/>
  <c r="AC331" i="1" s="1"/>
  <c r="AD331" i="1" s="1"/>
  <c r="AB332" i="1"/>
  <c r="AC332" i="1" s="1"/>
  <c r="AB333" i="1"/>
  <c r="AC333" i="1" s="1"/>
  <c r="AB334" i="1"/>
  <c r="AC334" i="1" s="1"/>
  <c r="AB335" i="1"/>
  <c r="AC335" i="1" s="1"/>
  <c r="AB336" i="1"/>
  <c r="AC336" i="1" s="1"/>
  <c r="AB337" i="1"/>
  <c r="AC337" i="1" s="1"/>
  <c r="AB338" i="1"/>
  <c r="AC338" i="1" s="1"/>
  <c r="AB339" i="1"/>
  <c r="AC339" i="1" s="1"/>
  <c r="AB340" i="1"/>
  <c r="AC340" i="1" s="1"/>
  <c r="AB341" i="1"/>
  <c r="AC341" i="1" s="1"/>
  <c r="AB342" i="1"/>
  <c r="AC342" i="1" s="1"/>
  <c r="AB343" i="1"/>
  <c r="AC343" i="1" s="1"/>
  <c r="AB344" i="1"/>
  <c r="AC344" i="1" s="1"/>
  <c r="AB345" i="1"/>
  <c r="AC345" i="1" s="1"/>
  <c r="AB346" i="1"/>
  <c r="AC346" i="1" s="1"/>
  <c r="AB347" i="1"/>
  <c r="AC347" i="1" s="1"/>
  <c r="AB348" i="1"/>
  <c r="AC348" i="1" s="1"/>
  <c r="AB349" i="1"/>
  <c r="AC349" i="1" s="1"/>
  <c r="AB350" i="1"/>
  <c r="AC350" i="1" s="1"/>
  <c r="AB351" i="1"/>
  <c r="AC351" i="1" s="1"/>
  <c r="AB352" i="1"/>
  <c r="AC352" i="1" s="1"/>
  <c r="AB353" i="1"/>
  <c r="AC353" i="1" s="1"/>
  <c r="AB354" i="1"/>
  <c r="AC354" i="1" s="1"/>
  <c r="AB355" i="1"/>
  <c r="AC355" i="1" s="1"/>
  <c r="AD355" i="1" s="1"/>
  <c r="AB356" i="1"/>
  <c r="AC356" i="1" s="1"/>
  <c r="AB357" i="1"/>
  <c r="AC357" i="1" s="1"/>
  <c r="AB358" i="1"/>
  <c r="AC358" i="1" s="1"/>
  <c r="AB359" i="1"/>
  <c r="AC359" i="1" s="1"/>
  <c r="AB360" i="1"/>
  <c r="AC360" i="1" s="1"/>
  <c r="AB361" i="1"/>
  <c r="AC361" i="1" s="1"/>
  <c r="AB362" i="1"/>
  <c r="AC362" i="1" s="1"/>
  <c r="AB363" i="1"/>
  <c r="AC363" i="1" s="1"/>
  <c r="AD363" i="1" s="1"/>
  <c r="AB364" i="1"/>
  <c r="AC364" i="1" s="1"/>
  <c r="AB365" i="1"/>
  <c r="AC365" i="1" s="1"/>
  <c r="AB366" i="1"/>
  <c r="AC366" i="1" s="1"/>
  <c r="AB367" i="1"/>
  <c r="AC367" i="1" s="1"/>
  <c r="AB368" i="1"/>
  <c r="AC368" i="1" s="1"/>
  <c r="AB369" i="1"/>
  <c r="AC369" i="1" s="1"/>
  <c r="AB370" i="1"/>
  <c r="AC370" i="1" s="1"/>
  <c r="AB371" i="1"/>
  <c r="AC371" i="1" s="1"/>
  <c r="AB372" i="1"/>
  <c r="AC372" i="1" s="1"/>
  <c r="AB373" i="1"/>
  <c r="AC373" i="1" s="1"/>
  <c r="AB374" i="1"/>
  <c r="AC374" i="1" s="1"/>
  <c r="AB375" i="1"/>
  <c r="AC375" i="1" s="1"/>
  <c r="AB376" i="1"/>
  <c r="AC376" i="1" s="1"/>
  <c r="AB377" i="1"/>
  <c r="AC377" i="1" s="1"/>
  <c r="AB378" i="1"/>
  <c r="AC378" i="1" s="1"/>
  <c r="AB379" i="1"/>
  <c r="AC379" i="1" s="1"/>
  <c r="AB380" i="1"/>
  <c r="AC380" i="1" s="1"/>
  <c r="AB381" i="1"/>
  <c r="AC381" i="1" s="1"/>
  <c r="AB382" i="1"/>
  <c r="AC382" i="1" s="1"/>
  <c r="AB383" i="1"/>
  <c r="AC383" i="1" s="1"/>
  <c r="AB384" i="1"/>
  <c r="AC384" i="1" s="1"/>
  <c r="AB385" i="1"/>
  <c r="AC385" i="1" s="1"/>
  <c r="AB386" i="1"/>
  <c r="AC386" i="1" s="1"/>
  <c r="AB387" i="1"/>
  <c r="AC387" i="1" s="1"/>
  <c r="AD387" i="1" s="1"/>
  <c r="AB388" i="1"/>
  <c r="AC388" i="1" s="1"/>
  <c r="AB389" i="1"/>
  <c r="AC389" i="1" s="1"/>
  <c r="AB390" i="1"/>
  <c r="AC390" i="1" s="1"/>
  <c r="AB391" i="1"/>
  <c r="AC391" i="1" s="1"/>
  <c r="AB392" i="1"/>
  <c r="AC392" i="1" s="1"/>
  <c r="AB393" i="1"/>
  <c r="AC393" i="1" s="1"/>
  <c r="AB394" i="1"/>
  <c r="AC394" i="1" s="1"/>
  <c r="AB395" i="1"/>
  <c r="AC395" i="1" s="1"/>
  <c r="AD395" i="1" s="1"/>
  <c r="AB396" i="1"/>
  <c r="AC396" i="1" s="1"/>
  <c r="AB397" i="1"/>
  <c r="AC397" i="1" s="1"/>
  <c r="AB398" i="1"/>
  <c r="AC398" i="1" s="1"/>
  <c r="AB399" i="1"/>
  <c r="AC399" i="1" s="1"/>
  <c r="AB400" i="1"/>
  <c r="AC400" i="1" s="1"/>
  <c r="AB401" i="1"/>
  <c r="AC401" i="1" s="1"/>
  <c r="AB402" i="1"/>
  <c r="AC402" i="1" s="1"/>
  <c r="AB403" i="1"/>
  <c r="AC403" i="1" s="1"/>
  <c r="AB404" i="1"/>
  <c r="AC404" i="1" s="1"/>
  <c r="AB405" i="1"/>
  <c r="AC405" i="1" s="1"/>
  <c r="AB406" i="1"/>
  <c r="AC406" i="1" s="1"/>
  <c r="AB407" i="1"/>
  <c r="AC407" i="1" s="1"/>
  <c r="AB408" i="1"/>
  <c r="AC408" i="1" s="1"/>
  <c r="AB409" i="1"/>
  <c r="AC409" i="1" s="1"/>
  <c r="AB410" i="1"/>
  <c r="AC410" i="1" s="1"/>
  <c r="AB411" i="1"/>
  <c r="AC411" i="1" s="1"/>
  <c r="AB412" i="1"/>
  <c r="AC412" i="1" s="1"/>
  <c r="AB413" i="1"/>
  <c r="AC413" i="1" s="1"/>
  <c r="AB414" i="1"/>
  <c r="AC414" i="1" s="1"/>
  <c r="AB415" i="1"/>
  <c r="AC415" i="1" s="1"/>
  <c r="AB416" i="1"/>
  <c r="AC416" i="1" s="1"/>
  <c r="AB417" i="1"/>
  <c r="AC417" i="1" s="1"/>
  <c r="AB418" i="1"/>
  <c r="AC418" i="1" s="1"/>
  <c r="AB419" i="1"/>
  <c r="AC419" i="1" s="1"/>
  <c r="AD419" i="1" s="1"/>
  <c r="AB420" i="1"/>
  <c r="AC420" i="1" s="1"/>
  <c r="AB421" i="1"/>
  <c r="AC421" i="1" s="1"/>
  <c r="AB422" i="1"/>
  <c r="AC422" i="1" s="1"/>
  <c r="AB423" i="1"/>
  <c r="AC423" i="1" s="1"/>
  <c r="AB424" i="1"/>
  <c r="AC424" i="1" s="1"/>
  <c r="AB425" i="1"/>
  <c r="AC425" i="1" s="1"/>
  <c r="AB426" i="1"/>
  <c r="AC426" i="1" s="1"/>
  <c r="AB427" i="1"/>
  <c r="AC427" i="1" s="1"/>
  <c r="AD427" i="1" s="1"/>
  <c r="AB428" i="1"/>
  <c r="AC428" i="1" s="1"/>
  <c r="AB429" i="1"/>
  <c r="AC429" i="1" s="1"/>
  <c r="AB430" i="1"/>
  <c r="AC430" i="1" s="1"/>
  <c r="AB431" i="1"/>
  <c r="AC431" i="1" s="1"/>
  <c r="AB432" i="1"/>
  <c r="AC432" i="1" s="1"/>
  <c r="AB433" i="1"/>
  <c r="AC433" i="1" s="1"/>
  <c r="AB434" i="1"/>
  <c r="AC434" i="1" s="1"/>
  <c r="AB435" i="1"/>
  <c r="AC435" i="1" s="1"/>
  <c r="AB436" i="1"/>
  <c r="AC436" i="1" s="1"/>
  <c r="AB437" i="1"/>
  <c r="AC437" i="1" s="1"/>
  <c r="AB438" i="1"/>
  <c r="AC438" i="1" s="1"/>
  <c r="AB439" i="1"/>
  <c r="AC439" i="1" s="1"/>
  <c r="AB440" i="1"/>
  <c r="AC440" i="1" s="1"/>
  <c r="AB441" i="1"/>
  <c r="AC441" i="1" s="1"/>
  <c r="AB442" i="1"/>
  <c r="AC442" i="1" s="1"/>
  <c r="AB443" i="1"/>
  <c r="AC443" i="1" s="1"/>
  <c r="AB444" i="1"/>
  <c r="AC444" i="1" s="1"/>
  <c r="AB445" i="1"/>
  <c r="AC445" i="1" s="1"/>
  <c r="AB446" i="1"/>
  <c r="AC446" i="1" s="1"/>
  <c r="AB447" i="1"/>
  <c r="AC447" i="1" s="1"/>
  <c r="AB448" i="1"/>
  <c r="AC448" i="1" s="1"/>
  <c r="AB449" i="1"/>
  <c r="AC449" i="1" s="1"/>
  <c r="AB450" i="1"/>
  <c r="AC450" i="1" s="1"/>
  <c r="AB451" i="1"/>
  <c r="AC451" i="1" s="1"/>
  <c r="AD451" i="1" s="1"/>
  <c r="AB452" i="1"/>
  <c r="AC452" i="1" s="1"/>
  <c r="AB453" i="1"/>
  <c r="AC453" i="1" s="1"/>
  <c r="AB454" i="1"/>
  <c r="AC454" i="1" s="1"/>
  <c r="AB455" i="1"/>
  <c r="AC455" i="1" s="1"/>
  <c r="AB456" i="1"/>
  <c r="AC456" i="1" s="1"/>
  <c r="AB457" i="1"/>
  <c r="AC457" i="1" s="1"/>
  <c r="AB458" i="1"/>
  <c r="AC458" i="1" s="1"/>
  <c r="AB459" i="1"/>
  <c r="AC459" i="1" s="1"/>
  <c r="AD459" i="1" s="1"/>
  <c r="AB460" i="1"/>
  <c r="AC460" i="1" s="1"/>
  <c r="AB461" i="1"/>
  <c r="AC461" i="1" s="1"/>
  <c r="AB462" i="1"/>
  <c r="AC462" i="1" s="1"/>
  <c r="AB463" i="1"/>
  <c r="AC463" i="1" s="1"/>
  <c r="AB464" i="1"/>
  <c r="AC464" i="1" s="1"/>
  <c r="AB465" i="1"/>
  <c r="AC465" i="1" s="1"/>
  <c r="AB466" i="1"/>
  <c r="AC466" i="1" s="1"/>
  <c r="AB467" i="1"/>
  <c r="AC467" i="1" s="1"/>
  <c r="AB468" i="1"/>
  <c r="AC468" i="1" s="1"/>
  <c r="AB469" i="1"/>
  <c r="AC469" i="1" s="1"/>
  <c r="AB470" i="1"/>
  <c r="AC470" i="1" s="1"/>
  <c r="AB471" i="1"/>
  <c r="AC471" i="1" s="1"/>
  <c r="AB472" i="1"/>
  <c r="AC472" i="1" s="1"/>
  <c r="AB473" i="1"/>
  <c r="AC473" i="1" s="1"/>
  <c r="AB474" i="1"/>
  <c r="AC474" i="1" s="1"/>
  <c r="AB475" i="1"/>
  <c r="AC475" i="1" s="1"/>
  <c r="AB476" i="1"/>
  <c r="AC476" i="1" s="1"/>
  <c r="AB477" i="1"/>
  <c r="AC477" i="1" s="1"/>
  <c r="AB478" i="1"/>
  <c r="AC478" i="1" s="1"/>
  <c r="AB479" i="1"/>
  <c r="AC479" i="1" s="1"/>
  <c r="AB480" i="1"/>
  <c r="AC480" i="1" s="1"/>
  <c r="AB481" i="1"/>
  <c r="AC481" i="1" s="1"/>
  <c r="AB482" i="1"/>
  <c r="AC482" i="1" s="1"/>
  <c r="AB483" i="1"/>
  <c r="AC483" i="1" s="1"/>
  <c r="AB484" i="1"/>
  <c r="AC484" i="1" s="1"/>
  <c r="AB485" i="1"/>
  <c r="AC485" i="1" s="1"/>
  <c r="AB486" i="1"/>
  <c r="AC486" i="1" s="1"/>
  <c r="AB487" i="1"/>
  <c r="AC487" i="1" s="1"/>
  <c r="AB488" i="1"/>
  <c r="AC488" i="1" s="1"/>
  <c r="AB489" i="1"/>
  <c r="AC489" i="1" s="1"/>
  <c r="AB490" i="1"/>
  <c r="AC490" i="1" s="1"/>
  <c r="AB491" i="1"/>
  <c r="AC491" i="1" s="1"/>
  <c r="AD491" i="1" s="1"/>
  <c r="AB492" i="1"/>
  <c r="AC492" i="1" s="1"/>
  <c r="AB493" i="1"/>
  <c r="AC493" i="1" s="1"/>
  <c r="AB494" i="1"/>
  <c r="AC494" i="1" s="1"/>
  <c r="AB495" i="1"/>
  <c r="AC495" i="1" s="1"/>
  <c r="AB496" i="1"/>
  <c r="AC496" i="1" s="1"/>
  <c r="AB497" i="1"/>
  <c r="AC497" i="1" s="1"/>
  <c r="AB498" i="1"/>
  <c r="AC498" i="1" s="1"/>
  <c r="AB499" i="1"/>
  <c r="AC499" i="1" s="1"/>
  <c r="AD499" i="1" s="1"/>
  <c r="AB500" i="1"/>
  <c r="AC500" i="1" s="1"/>
  <c r="AD500" i="1" s="1"/>
  <c r="AB501" i="1"/>
  <c r="AC501" i="1" s="1"/>
  <c r="AB502" i="1"/>
  <c r="AC502" i="1" s="1"/>
  <c r="AB503" i="1"/>
  <c r="AC503" i="1" s="1"/>
  <c r="AB504" i="1"/>
  <c r="AC504" i="1" s="1"/>
  <c r="AB505" i="1"/>
  <c r="AC505" i="1" s="1"/>
  <c r="AB506" i="1"/>
  <c r="AC506" i="1" s="1"/>
  <c r="AB507" i="1"/>
  <c r="AC507" i="1" s="1"/>
  <c r="AD507" i="1" s="1"/>
  <c r="AB508" i="1"/>
  <c r="AC508" i="1" s="1"/>
  <c r="AD508" i="1" s="1"/>
  <c r="AB509" i="1"/>
  <c r="AC509" i="1" s="1"/>
  <c r="AB510" i="1"/>
  <c r="AC510" i="1" s="1"/>
  <c r="AB511" i="1"/>
  <c r="AC511" i="1" s="1"/>
  <c r="AB512" i="1"/>
  <c r="AC512" i="1" s="1"/>
  <c r="AB513" i="1"/>
  <c r="AC513" i="1" s="1"/>
  <c r="AB514" i="1"/>
  <c r="AC514" i="1" s="1"/>
  <c r="AB515" i="1"/>
  <c r="AC515" i="1" s="1"/>
  <c r="AD515" i="1" s="1"/>
  <c r="AB516" i="1"/>
  <c r="AC516" i="1" s="1"/>
  <c r="AD516" i="1" s="1"/>
  <c r="AB517" i="1"/>
  <c r="AC517" i="1" s="1"/>
  <c r="AB518" i="1"/>
  <c r="AC518" i="1" s="1"/>
  <c r="AB519" i="1"/>
  <c r="AC519" i="1" s="1"/>
  <c r="AB520" i="1"/>
  <c r="AC520" i="1" s="1"/>
  <c r="AB521" i="1"/>
  <c r="AC521" i="1" s="1"/>
  <c r="AB522" i="1"/>
  <c r="AC522" i="1" s="1"/>
  <c r="AB523" i="1"/>
  <c r="AC523" i="1" s="1"/>
  <c r="AB524" i="1"/>
  <c r="AC524" i="1" s="1"/>
  <c r="AB525" i="1"/>
  <c r="AC525" i="1" s="1"/>
  <c r="AB526" i="1"/>
  <c r="AC526" i="1" s="1"/>
  <c r="AB527" i="1"/>
  <c r="AC527" i="1" s="1"/>
  <c r="AB528" i="1"/>
  <c r="AC528" i="1" s="1"/>
  <c r="AB529" i="1"/>
  <c r="AC529" i="1" s="1"/>
  <c r="AB530" i="1"/>
  <c r="AC530" i="1" s="1"/>
  <c r="AB531" i="1"/>
  <c r="AC531" i="1" s="1"/>
  <c r="AB532" i="1"/>
  <c r="AC532" i="1" s="1"/>
  <c r="AB533" i="1"/>
  <c r="AC533" i="1" s="1"/>
  <c r="AB534" i="1"/>
  <c r="AC534" i="1" s="1"/>
  <c r="AB535" i="1"/>
  <c r="AC535" i="1" s="1"/>
  <c r="AB536" i="1"/>
  <c r="AC536" i="1" s="1"/>
  <c r="AB537" i="1"/>
  <c r="AC537" i="1" s="1"/>
  <c r="AB538" i="1"/>
  <c r="AC538" i="1" s="1"/>
  <c r="AB539" i="1"/>
  <c r="AC539" i="1" s="1"/>
  <c r="AB540" i="1"/>
  <c r="AC540" i="1" s="1"/>
  <c r="AB541" i="1"/>
  <c r="AC541" i="1" s="1"/>
  <c r="AB542" i="1"/>
  <c r="AC542" i="1" s="1"/>
  <c r="AB543" i="1"/>
  <c r="AC543" i="1" s="1"/>
  <c r="AB544" i="1"/>
  <c r="AC544" i="1" s="1"/>
  <c r="AB545" i="1"/>
  <c r="AC545" i="1" s="1"/>
  <c r="AB546" i="1"/>
  <c r="AC546" i="1" s="1"/>
  <c r="AB547" i="1"/>
  <c r="AC547" i="1" s="1"/>
  <c r="AB548" i="1"/>
  <c r="AC548" i="1" s="1"/>
  <c r="AB549" i="1"/>
  <c r="AC549" i="1" s="1"/>
  <c r="AB550" i="1"/>
  <c r="AC550" i="1" s="1"/>
  <c r="AB551" i="1"/>
  <c r="AC551" i="1" s="1"/>
  <c r="AB552" i="1"/>
  <c r="AC552" i="1" s="1"/>
  <c r="AB553" i="1"/>
  <c r="AC553" i="1" s="1"/>
  <c r="AB554" i="1"/>
  <c r="AC554" i="1" s="1"/>
  <c r="AB555" i="1"/>
  <c r="AC555" i="1" s="1"/>
  <c r="AD555" i="1" s="1"/>
  <c r="AB556" i="1"/>
  <c r="AC556" i="1" s="1"/>
  <c r="AB557" i="1"/>
  <c r="AC557" i="1" s="1"/>
  <c r="AB558" i="1"/>
  <c r="AC558" i="1" s="1"/>
  <c r="AB559" i="1"/>
  <c r="AC559" i="1" s="1"/>
  <c r="AB560" i="1"/>
  <c r="AC560" i="1" s="1"/>
  <c r="AB561" i="1"/>
  <c r="AC561" i="1" s="1"/>
  <c r="AB562" i="1"/>
  <c r="AC562" i="1" s="1"/>
  <c r="AB563" i="1"/>
  <c r="AC563" i="1" s="1"/>
  <c r="AD563" i="1" s="1"/>
  <c r="AB564" i="1"/>
  <c r="AC564" i="1" s="1"/>
  <c r="AD564" i="1" s="1"/>
  <c r="AB565" i="1"/>
  <c r="AC565" i="1" s="1"/>
  <c r="AB566" i="1"/>
  <c r="AC566" i="1" s="1"/>
  <c r="AB567" i="1"/>
  <c r="AC567" i="1" s="1"/>
  <c r="AB568" i="1"/>
  <c r="AC568" i="1" s="1"/>
  <c r="AB569" i="1"/>
  <c r="AC569" i="1" s="1"/>
  <c r="AB570" i="1"/>
  <c r="AC570" i="1" s="1"/>
  <c r="AB571" i="1"/>
  <c r="AC571" i="1" s="1"/>
  <c r="AD571" i="1" s="1"/>
  <c r="AB572" i="1"/>
  <c r="AC572" i="1" s="1"/>
  <c r="AD572" i="1" s="1"/>
  <c r="AB573" i="1"/>
  <c r="AC573" i="1" s="1"/>
  <c r="AB574" i="1"/>
  <c r="AC574" i="1" s="1"/>
  <c r="AB575" i="1"/>
  <c r="AC575" i="1" s="1"/>
  <c r="AB576" i="1"/>
  <c r="AC576" i="1" s="1"/>
  <c r="AB577" i="1"/>
  <c r="AC577" i="1" s="1"/>
  <c r="AB578" i="1"/>
  <c r="AC578" i="1" s="1"/>
  <c r="AB579" i="1"/>
  <c r="AC579" i="1" s="1"/>
  <c r="AB580" i="1"/>
  <c r="AC580" i="1" s="1"/>
  <c r="AB581" i="1"/>
  <c r="AC581" i="1" s="1"/>
  <c r="AB582" i="1"/>
  <c r="AC582" i="1" s="1"/>
  <c r="AB583" i="1"/>
  <c r="AC583" i="1" s="1"/>
  <c r="AB584" i="1"/>
  <c r="AC584" i="1" s="1"/>
  <c r="AB585" i="1"/>
  <c r="AC585" i="1" s="1"/>
  <c r="AB586" i="1"/>
  <c r="AC586" i="1" s="1"/>
  <c r="AB587" i="1"/>
  <c r="AC587" i="1" s="1"/>
  <c r="AB588" i="1"/>
  <c r="AC588" i="1" s="1"/>
  <c r="AD588" i="1" s="1"/>
  <c r="AB589" i="1"/>
  <c r="AC589" i="1" s="1"/>
  <c r="AB590" i="1"/>
  <c r="AC590" i="1" s="1"/>
  <c r="AB591" i="1"/>
  <c r="AC591" i="1" s="1"/>
  <c r="AB592" i="1"/>
  <c r="AC592" i="1" s="1"/>
  <c r="AB593" i="1"/>
  <c r="AC593" i="1" s="1"/>
  <c r="AB594" i="1"/>
  <c r="AC594" i="1" s="1"/>
  <c r="AB595" i="1"/>
  <c r="AC595" i="1" s="1"/>
  <c r="AB596" i="1"/>
  <c r="AC596" i="1" s="1"/>
  <c r="AB597" i="1"/>
  <c r="AC597" i="1" s="1"/>
  <c r="AB598" i="1"/>
  <c r="AC598" i="1" s="1"/>
  <c r="AB599" i="1"/>
  <c r="AC599" i="1" s="1"/>
  <c r="AB600" i="1"/>
  <c r="AC600" i="1" s="1"/>
  <c r="AB601" i="1"/>
  <c r="AC601" i="1" s="1"/>
  <c r="AB602" i="1"/>
  <c r="AC602" i="1" s="1"/>
  <c r="AB603" i="1"/>
  <c r="AC603" i="1" s="1"/>
  <c r="AB604" i="1"/>
  <c r="AC604" i="1" s="1"/>
  <c r="AD604" i="1" s="1"/>
  <c r="AB605" i="1"/>
  <c r="AC605" i="1" s="1"/>
  <c r="AB606" i="1"/>
  <c r="AC606" i="1" s="1"/>
  <c r="AB607" i="1"/>
  <c r="AC607" i="1" s="1"/>
  <c r="AB608" i="1"/>
  <c r="AC608" i="1" s="1"/>
  <c r="AB609" i="1"/>
  <c r="AC609" i="1" s="1"/>
  <c r="AB610" i="1"/>
  <c r="AC610" i="1" s="1"/>
  <c r="AB611" i="1"/>
  <c r="AC611" i="1" s="1"/>
  <c r="AB612" i="1"/>
  <c r="AC612" i="1" s="1"/>
  <c r="AB613" i="1"/>
  <c r="AC613" i="1" s="1"/>
  <c r="AB614" i="1"/>
  <c r="AC614" i="1" s="1"/>
  <c r="AB615" i="1"/>
  <c r="AC615" i="1" s="1"/>
  <c r="AB616" i="1"/>
  <c r="AC616" i="1" s="1"/>
  <c r="AB617" i="1"/>
  <c r="AC617" i="1" s="1"/>
  <c r="AB618" i="1"/>
  <c r="AC618" i="1" s="1"/>
  <c r="AB619" i="1"/>
  <c r="AC619" i="1" s="1"/>
  <c r="AD619" i="1" s="1"/>
  <c r="AB620" i="1"/>
  <c r="AC620" i="1" s="1"/>
  <c r="AD620" i="1" s="1"/>
  <c r="AB621" i="1"/>
  <c r="AC621" i="1" s="1"/>
  <c r="AB622" i="1"/>
  <c r="AC622" i="1" s="1"/>
  <c r="AB623" i="1"/>
  <c r="AC623" i="1" s="1"/>
  <c r="AB624" i="1"/>
  <c r="AC624" i="1" s="1"/>
  <c r="AB625" i="1"/>
  <c r="AC625" i="1" s="1"/>
  <c r="AB626" i="1"/>
  <c r="AC626" i="1" s="1"/>
  <c r="AB627" i="1"/>
  <c r="AC627" i="1" s="1"/>
  <c r="AB628" i="1"/>
  <c r="AC628" i="1" s="1"/>
  <c r="AB629" i="1"/>
  <c r="AC629" i="1" s="1"/>
  <c r="AB630" i="1"/>
  <c r="AC630" i="1" s="1"/>
  <c r="AB631" i="1"/>
  <c r="AC631" i="1" s="1"/>
  <c r="AB632" i="1"/>
  <c r="AC632" i="1" s="1"/>
  <c r="AB633" i="1"/>
  <c r="AC633" i="1" s="1"/>
  <c r="AB634" i="1"/>
  <c r="AC634" i="1" s="1"/>
  <c r="AB635" i="1"/>
  <c r="AC635" i="1" s="1"/>
  <c r="AD635" i="1" s="1"/>
  <c r="AB636" i="1"/>
  <c r="AC636" i="1" s="1"/>
  <c r="AB637" i="1"/>
  <c r="AC637" i="1" s="1"/>
  <c r="AB638" i="1"/>
  <c r="AC638" i="1" s="1"/>
  <c r="AB639" i="1"/>
  <c r="AC639" i="1" s="1"/>
  <c r="AB640" i="1"/>
  <c r="AC640" i="1" s="1"/>
  <c r="AB641" i="1"/>
  <c r="AC641" i="1" s="1"/>
  <c r="AB642" i="1"/>
  <c r="AC642" i="1" s="1"/>
  <c r="AB643" i="1"/>
  <c r="AC643" i="1" s="1"/>
  <c r="AB644" i="1"/>
  <c r="AC644" i="1" s="1"/>
  <c r="AB645" i="1"/>
  <c r="AC645" i="1" s="1"/>
  <c r="AB646" i="1"/>
  <c r="AC646" i="1" s="1"/>
  <c r="AB647" i="1"/>
  <c r="AC647" i="1" s="1"/>
  <c r="AB648" i="1"/>
  <c r="AC648" i="1" s="1"/>
  <c r="AB649" i="1"/>
  <c r="AC649" i="1" s="1"/>
  <c r="AB650" i="1"/>
  <c r="AC650" i="1" s="1"/>
  <c r="AB651" i="1"/>
  <c r="AC651" i="1" s="1"/>
  <c r="AB652" i="1"/>
  <c r="AC652" i="1" s="1"/>
  <c r="AD652" i="1" s="1"/>
  <c r="AB653" i="1"/>
  <c r="AC653" i="1" s="1"/>
  <c r="AB654" i="1"/>
  <c r="AC654" i="1" s="1"/>
  <c r="AB655" i="1"/>
  <c r="AC655" i="1" s="1"/>
  <c r="AB656" i="1"/>
  <c r="AC656" i="1" s="1"/>
  <c r="AB657" i="1"/>
  <c r="AC657" i="1" s="1"/>
  <c r="AB658" i="1"/>
  <c r="AC658" i="1" s="1"/>
  <c r="AB659" i="1"/>
  <c r="AC659" i="1" s="1"/>
  <c r="AB660" i="1"/>
  <c r="AC660" i="1" s="1"/>
  <c r="AB661" i="1"/>
  <c r="AC661" i="1" s="1"/>
  <c r="AB662" i="1"/>
  <c r="AC662" i="1" s="1"/>
  <c r="AB663" i="1"/>
  <c r="AC663" i="1" s="1"/>
  <c r="AB664" i="1"/>
  <c r="AC664" i="1" s="1"/>
  <c r="AB665" i="1"/>
  <c r="AC665" i="1" s="1"/>
  <c r="AB666" i="1"/>
  <c r="AC666" i="1" s="1"/>
  <c r="AB667" i="1"/>
  <c r="AC667" i="1" s="1"/>
  <c r="AB668" i="1"/>
  <c r="AC668" i="1" s="1"/>
  <c r="AD668" i="1" s="1"/>
  <c r="AB669" i="1"/>
  <c r="AC669" i="1" s="1"/>
  <c r="AB670" i="1"/>
  <c r="AC670" i="1" s="1"/>
  <c r="AB671" i="1"/>
  <c r="AC671" i="1" s="1"/>
  <c r="AB672" i="1"/>
  <c r="AC672" i="1" s="1"/>
  <c r="AB673" i="1"/>
  <c r="AC673" i="1" s="1"/>
  <c r="AB674" i="1"/>
  <c r="AC674" i="1" s="1"/>
  <c r="AB675" i="1"/>
  <c r="AC675" i="1" s="1"/>
  <c r="AD675" i="1" s="1"/>
  <c r="AB676" i="1"/>
  <c r="AC676" i="1" s="1"/>
  <c r="AB677" i="1"/>
  <c r="AC677" i="1" s="1"/>
  <c r="AB678" i="1"/>
  <c r="AC678" i="1" s="1"/>
  <c r="AB679" i="1"/>
  <c r="AC679" i="1" s="1"/>
  <c r="AB680" i="1"/>
  <c r="AC680" i="1" s="1"/>
  <c r="AB681" i="1"/>
  <c r="AC681" i="1" s="1"/>
  <c r="AB682" i="1"/>
  <c r="AC682" i="1" s="1"/>
  <c r="AB683" i="1"/>
  <c r="AC683" i="1" s="1"/>
  <c r="AD683" i="1" s="1"/>
  <c r="AB684" i="1"/>
  <c r="AC684" i="1" s="1"/>
  <c r="AB685" i="1"/>
  <c r="AC685" i="1" s="1"/>
  <c r="AB686" i="1"/>
  <c r="AC686" i="1" s="1"/>
  <c r="AB687" i="1"/>
  <c r="AC687" i="1" s="1"/>
  <c r="AB688" i="1"/>
  <c r="AC688" i="1" s="1"/>
  <c r="AB689" i="1"/>
  <c r="AC689" i="1" s="1"/>
  <c r="AB690" i="1"/>
  <c r="AC690" i="1" s="1"/>
  <c r="AB691" i="1"/>
  <c r="AC691" i="1" s="1"/>
  <c r="AD691" i="1" s="1"/>
  <c r="AB692" i="1"/>
  <c r="AC692" i="1" s="1"/>
  <c r="AD692" i="1" s="1"/>
  <c r="AB693" i="1"/>
  <c r="AC693" i="1" s="1"/>
  <c r="AB694" i="1"/>
  <c r="AC694" i="1" s="1"/>
  <c r="AB695" i="1"/>
  <c r="AC695" i="1" s="1"/>
  <c r="AB696" i="1"/>
  <c r="AC696" i="1" s="1"/>
  <c r="AB697" i="1"/>
  <c r="AC697" i="1" s="1"/>
  <c r="AB698" i="1"/>
  <c r="AC698" i="1" s="1"/>
  <c r="AB699" i="1"/>
  <c r="AC699" i="1" s="1"/>
  <c r="AD699" i="1" s="1"/>
  <c r="AB700" i="1"/>
  <c r="AC700" i="1" s="1"/>
  <c r="AB701" i="1"/>
  <c r="AC701" i="1" s="1"/>
  <c r="AB702" i="1"/>
  <c r="AC702" i="1" s="1"/>
  <c r="AB703" i="1"/>
  <c r="AC703" i="1" s="1"/>
  <c r="AB704" i="1"/>
  <c r="AC704" i="1" s="1"/>
  <c r="AB705" i="1"/>
  <c r="AC705" i="1" s="1"/>
  <c r="AB706" i="1"/>
  <c r="AC706" i="1" s="1"/>
  <c r="AB707" i="1"/>
  <c r="AC707" i="1" s="1"/>
  <c r="AD707" i="1" s="1"/>
  <c r="AB708" i="1"/>
  <c r="AC708" i="1" s="1"/>
  <c r="AD708" i="1" s="1"/>
  <c r="AB709" i="1"/>
  <c r="AC709" i="1" s="1"/>
  <c r="AB710" i="1"/>
  <c r="AC710" i="1" s="1"/>
  <c r="AB711" i="1"/>
  <c r="AC711" i="1" s="1"/>
  <c r="AB712" i="1"/>
  <c r="AC712" i="1" s="1"/>
  <c r="AB713" i="1"/>
  <c r="AC713" i="1" s="1"/>
  <c r="AB714" i="1"/>
  <c r="AC714" i="1" s="1"/>
  <c r="AB715" i="1"/>
  <c r="AC715" i="1" s="1"/>
  <c r="AB716" i="1"/>
  <c r="AC716" i="1" s="1"/>
  <c r="AB717" i="1"/>
  <c r="AC717" i="1" s="1"/>
  <c r="AB718" i="1"/>
  <c r="AC718" i="1" s="1"/>
  <c r="AB719" i="1"/>
  <c r="AC719" i="1" s="1"/>
  <c r="AB720" i="1"/>
  <c r="AC720" i="1" s="1"/>
  <c r="AB721" i="1"/>
  <c r="AC721" i="1" s="1"/>
  <c r="AB722" i="1"/>
  <c r="AC722" i="1" s="1"/>
  <c r="AB723" i="1"/>
  <c r="AC723" i="1" s="1"/>
  <c r="AB724" i="1"/>
  <c r="AC724" i="1" s="1"/>
  <c r="AB725" i="1"/>
  <c r="AC725" i="1" s="1"/>
  <c r="AB726" i="1"/>
  <c r="AC726" i="1" s="1"/>
  <c r="AB727" i="1"/>
  <c r="AC727" i="1" s="1"/>
  <c r="AB728" i="1"/>
  <c r="AC728" i="1" s="1"/>
  <c r="AB729" i="1"/>
  <c r="AC729" i="1" s="1"/>
  <c r="AB730" i="1"/>
  <c r="AC730" i="1" s="1"/>
  <c r="AB731" i="1"/>
  <c r="AC731" i="1" s="1"/>
  <c r="AB732" i="1"/>
  <c r="AC732" i="1" s="1"/>
  <c r="AB733" i="1"/>
  <c r="AC733" i="1" s="1"/>
  <c r="AB734" i="1"/>
  <c r="AC734" i="1" s="1"/>
  <c r="AB735" i="1"/>
  <c r="AC735" i="1" s="1"/>
  <c r="AB736" i="1"/>
  <c r="AC736" i="1" s="1"/>
  <c r="AB737" i="1"/>
  <c r="AC737" i="1" s="1"/>
  <c r="AB738" i="1"/>
  <c r="AC738" i="1" s="1"/>
  <c r="AB739" i="1"/>
  <c r="AC739" i="1" s="1"/>
  <c r="AD739" i="1" s="1"/>
  <c r="AB740" i="1"/>
  <c r="AC740" i="1" s="1"/>
  <c r="AB741" i="1"/>
  <c r="AC741" i="1" s="1"/>
  <c r="AB742" i="1"/>
  <c r="AC742" i="1" s="1"/>
  <c r="AB743" i="1"/>
  <c r="AC743" i="1" s="1"/>
  <c r="AB744" i="1"/>
  <c r="AC744" i="1" s="1"/>
  <c r="AB745" i="1"/>
  <c r="AC745" i="1" s="1"/>
  <c r="AB746" i="1"/>
  <c r="AC746" i="1" s="1"/>
  <c r="AB747" i="1"/>
  <c r="AC747" i="1" s="1"/>
  <c r="AD747" i="1" s="1"/>
  <c r="AB748" i="1"/>
  <c r="AC748" i="1" s="1"/>
  <c r="AB749" i="1"/>
  <c r="AC749" i="1" s="1"/>
  <c r="AB750" i="1"/>
  <c r="AC750" i="1" s="1"/>
  <c r="AB751" i="1"/>
  <c r="AC751" i="1" s="1"/>
  <c r="AB752" i="1"/>
  <c r="AC752" i="1" s="1"/>
  <c r="AB753" i="1"/>
  <c r="AC753" i="1" s="1"/>
  <c r="AB754" i="1"/>
  <c r="AC754" i="1" s="1"/>
  <c r="AB755" i="1"/>
  <c r="AC755" i="1" s="1"/>
  <c r="AD755" i="1" s="1"/>
  <c r="AB756" i="1"/>
  <c r="AC756" i="1" s="1"/>
  <c r="AD756" i="1" s="1"/>
  <c r="AB757" i="1"/>
  <c r="AC757" i="1" s="1"/>
  <c r="AB758" i="1"/>
  <c r="AC758" i="1" s="1"/>
  <c r="AB759" i="1"/>
  <c r="AC759" i="1" s="1"/>
  <c r="AB760" i="1"/>
  <c r="AC760" i="1" s="1"/>
  <c r="AB761" i="1"/>
  <c r="AC761" i="1" s="1"/>
  <c r="AB762" i="1"/>
  <c r="AC762" i="1" s="1"/>
  <c r="AB763" i="1"/>
  <c r="AC763" i="1" s="1"/>
  <c r="AD763" i="1" s="1"/>
  <c r="AB764" i="1"/>
  <c r="AC764" i="1" s="1"/>
  <c r="AD764" i="1" s="1"/>
  <c r="AB765" i="1"/>
  <c r="AC765" i="1" s="1"/>
  <c r="AB766" i="1"/>
  <c r="AC766" i="1" s="1"/>
  <c r="AB767" i="1"/>
  <c r="AC767" i="1" s="1"/>
  <c r="AB768" i="1"/>
  <c r="AC768" i="1" s="1"/>
  <c r="AB769" i="1"/>
  <c r="AC769" i="1" s="1"/>
  <c r="AB770" i="1"/>
  <c r="AC770" i="1" s="1"/>
  <c r="AB771" i="1"/>
  <c r="AC771" i="1" s="1"/>
  <c r="AD771" i="1" s="1"/>
  <c r="AB772" i="1"/>
  <c r="AC772" i="1" s="1"/>
  <c r="AD772" i="1" s="1"/>
  <c r="AB773" i="1"/>
  <c r="AC773" i="1" s="1"/>
  <c r="AB774" i="1"/>
  <c r="AC774" i="1" s="1"/>
  <c r="AB775" i="1"/>
  <c r="AC775" i="1" s="1"/>
  <c r="AB776" i="1"/>
  <c r="AC776" i="1" s="1"/>
  <c r="AB777" i="1"/>
  <c r="AC777" i="1" s="1"/>
  <c r="AB778" i="1"/>
  <c r="AC778" i="1" s="1"/>
  <c r="AB779" i="1"/>
  <c r="AC779" i="1" s="1"/>
  <c r="AB780" i="1"/>
  <c r="AC780" i="1" s="1"/>
  <c r="AD780" i="1" s="1"/>
  <c r="AB781" i="1"/>
  <c r="AC781" i="1" s="1"/>
  <c r="AB782" i="1"/>
  <c r="AC782" i="1" s="1"/>
  <c r="AB783" i="1"/>
  <c r="AC783" i="1" s="1"/>
  <c r="AB784" i="1"/>
  <c r="AC784" i="1" s="1"/>
  <c r="AB785" i="1"/>
  <c r="AC785" i="1" s="1"/>
  <c r="AB786" i="1"/>
  <c r="AC786" i="1" s="1"/>
  <c r="AB787" i="1"/>
  <c r="AC787" i="1" s="1"/>
  <c r="AB788" i="1"/>
  <c r="AC788" i="1" s="1"/>
  <c r="AD788" i="1" s="1"/>
  <c r="AB789" i="1"/>
  <c r="AC789" i="1" s="1"/>
  <c r="AB790" i="1"/>
  <c r="AC790" i="1" s="1"/>
  <c r="AB791" i="1"/>
  <c r="AC791" i="1" s="1"/>
  <c r="AB792" i="1"/>
  <c r="AC792" i="1" s="1"/>
  <c r="AB793" i="1"/>
  <c r="AC793" i="1" s="1"/>
  <c r="AB794" i="1"/>
  <c r="AC794" i="1" s="1"/>
  <c r="AB795" i="1"/>
  <c r="AC795" i="1" s="1"/>
  <c r="AB796" i="1"/>
  <c r="AC796" i="1" s="1"/>
  <c r="AB797" i="1"/>
  <c r="AC797" i="1" s="1"/>
  <c r="AB798" i="1"/>
  <c r="AC798" i="1" s="1"/>
  <c r="AB799" i="1"/>
  <c r="AC799" i="1" s="1"/>
  <c r="AB800" i="1"/>
  <c r="AC800" i="1" s="1"/>
  <c r="AB801" i="1"/>
  <c r="AC801" i="1" s="1"/>
  <c r="AB802" i="1"/>
  <c r="AC802" i="1" s="1"/>
  <c r="AB803" i="1"/>
  <c r="AC803" i="1" s="1"/>
  <c r="AD803" i="1" s="1"/>
  <c r="AB804" i="1"/>
  <c r="AC804" i="1" s="1"/>
  <c r="AB805" i="1"/>
  <c r="AC805" i="1" s="1"/>
  <c r="AB806" i="1"/>
  <c r="AC806" i="1" s="1"/>
  <c r="AB807" i="1"/>
  <c r="AC807" i="1" s="1"/>
  <c r="AB808" i="1"/>
  <c r="AC808" i="1" s="1"/>
  <c r="AB809" i="1"/>
  <c r="AC809" i="1" s="1"/>
  <c r="AB810" i="1"/>
  <c r="AC810" i="1" s="1"/>
  <c r="AB811" i="1"/>
  <c r="AC811" i="1" s="1"/>
  <c r="AD811" i="1" s="1"/>
  <c r="AB812" i="1"/>
  <c r="AC812" i="1" s="1"/>
  <c r="AB813" i="1"/>
  <c r="AC813" i="1" s="1"/>
  <c r="AB814" i="1"/>
  <c r="AC814" i="1" s="1"/>
  <c r="AB815" i="1"/>
  <c r="AC815" i="1" s="1"/>
  <c r="AB816" i="1"/>
  <c r="AC816" i="1" s="1"/>
  <c r="AB817" i="1"/>
  <c r="AC817" i="1" s="1"/>
  <c r="AB818" i="1"/>
  <c r="AC818" i="1" s="1"/>
  <c r="AB819" i="1"/>
  <c r="AC819" i="1" s="1"/>
  <c r="AD819" i="1" s="1"/>
  <c r="AB820" i="1"/>
  <c r="AC820" i="1" s="1"/>
  <c r="AE820" i="1" s="1"/>
  <c r="AB821" i="1"/>
  <c r="AC821" i="1" s="1"/>
  <c r="AB822" i="1"/>
  <c r="AC822" i="1" s="1"/>
  <c r="AB823" i="1"/>
  <c r="AC823" i="1" s="1"/>
  <c r="AB824" i="1"/>
  <c r="AC824" i="1" s="1"/>
  <c r="AB825" i="1"/>
  <c r="AC825" i="1" s="1"/>
  <c r="AB826" i="1"/>
  <c r="AC826" i="1" s="1"/>
  <c r="AB827" i="1"/>
  <c r="AC827" i="1" s="1"/>
  <c r="AD827" i="1" s="1"/>
  <c r="AB828" i="1"/>
  <c r="AC828" i="1" s="1"/>
  <c r="AB829" i="1"/>
  <c r="AC829" i="1" s="1"/>
  <c r="AB830" i="1"/>
  <c r="AC830" i="1" s="1"/>
  <c r="AB831" i="1"/>
  <c r="AC831" i="1" s="1"/>
  <c r="AB832" i="1"/>
  <c r="AC832" i="1" s="1"/>
  <c r="AB833" i="1"/>
  <c r="AC833" i="1" s="1"/>
  <c r="AB834" i="1"/>
  <c r="AC834" i="1" s="1"/>
  <c r="AB835" i="1"/>
  <c r="AC835" i="1" s="1"/>
  <c r="AD835" i="1" s="1"/>
  <c r="AB836" i="1"/>
  <c r="AC836" i="1" s="1"/>
  <c r="AD836" i="1" s="1"/>
  <c r="AB837" i="1"/>
  <c r="AC837" i="1" s="1"/>
  <c r="AB838" i="1"/>
  <c r="AC838" i="1" s="1"/>
  <c r="AB839" i="1"/>
  <c r="AC839" i="1" s="1"/>
  <c r="AB840" i="1"/>
  <c r="AC840" i="1" s="1"/>
  <c r="AB841" i="1"/>
  <c r="AC841" i="1" s="1"/>
  <c r="AB842" i="1"/>
  <c r="AC842" i="1" s="1"/>
  <c r="AB843" i="1"/>
  <c r="AC843" i="1" s="1"/>
  <c r="AB844" i="1"/>
  <c r="AC844" i="1" s="1"/>
  <c r="AD844" i="1" s="1"/>
  <c r="AB845" i="1"/>
  <c r="AC845" i="1" s="1"/>
  <c r="AB846" i="1"/>
  <c r="AC846" i="1" s="1"/>
  <c r="AB847" i="1"/>
  <c r="AC847" i="1" s="1"/>
  <c r="AB848" i="1"/>
  <c r="AC848" i="1" s="1"/>
  <c r="AB849" i="1"/>
  <c r="AC849" i="1" s="1"/>
  <c r="AB850" i="1"/>
  <c r="AC850" i="1" s="1"/>
  <c r="AB851" i="1"/>
  <c r="AC851" i="1" s="1"/>
  <c r="AD851" i="1" s="1"/>
  <c r="AB852" i="1"/>
  <c r="AC852" i="1" s="1"/>
  <c r="AD852" i="1" s="1"/>
  <c r="AB853" i="1"/>
  <c r="AC853" i="1" s="1"/>
  <c r="AB854" i="1"/>
  <c r="AC854" i="1" s="1"/>
  <c r="AB855" i="1"/>
  <c r="AC855" i="1" s="1"/>
  <c r="AB856" i="1"/>
  <c r="AC856" i="1" s="1"/>
  <c r="AB857" i="1"/>
  <c r="AC857" i="1" s="1"/>
  <c r="AB858" i="1"/>
  <c r="AC858" i="1" s="1"/>
  <c r="AB859" i="1"/>
  <c r="AC859" i="1" s="1"/>
  <c r="AB860" i="1"/>
  <c r="AC860" i="1" s="1"/>
  <c r="AB861" i="1"/>
  <c r="AC861" i="1" s="1"/>
  <c r="AB862" i="1"/>
  <c r="AC862" i="1" s="1"/>
  <c r="AB863" i="1"/>
  <c r="AC863" i="1" s="1"/>
  <c r="AB864" i="1"/>
  <c r="AC864" i="1" s="1"/>
  <c r="AB865" i="1"/>
  <c r="AC865" i="1" s="1"/>
  <c r="AB866" i="1"/>
  <c r="AC866" i="1" s="1"/>
  <c r="AB867" i="1"/>
  <c r="AC867" i="1" s="1"/>
  <c r="AD867" i="1" s="1"/>
  <c r="AB868" i="1"/>
  <c r="AC868" i="1" s="1"/>
  <c r="AD868" i="1" s="1"/>
  <c r="AB869" i="1"/>
  <c r="AC869" i="1" s="1"/>
  <c r="AB870" i="1"/>
  <c r="AC870" i="1" s="1"/>
  <c r="AB871" i="1"/>
  <c r="AC871" i="1" s="1"/>
  <c r="AB872" i="1"/>
  <c r="AC872" i="1" s="1"/>
  <c r="AB873" i="1"/>
  <c r="AC873" i="1" s="1"/>
  <c r="AB874" i="1"/>
  <c r="AC874" i="1" s="1"/>
  <c r="AB875" i="1"/>
  <c r="AC875" i="1" s="1"/>
  <c r="AB876" i="1"/>
  <c r="AC876" i="1" s="1"/>
  <c r="AD876" i="1" s="1"/>
  <c r="AB877" i="1"/>
  <c r="AC877" i="1" s="1"/>
  <c r="AB878" i="1"/>
  <c r="AC878" i="1" s="1"/>
  <c r="AB879" i="1"/>
  <c r="AC879" i="1" s="1"/>
  <c r="AB880" i="1"/>
  <c r="AC880" i="1" s="1"/>
  <c r="AB881" i="1"/>
  <c r="AC881" i="1" s="1"/>
  <c r="AB882" i="1"/>
  <c r="AC882" i="1" s="1"/>
  <c r="AB883" i="1"/>
  <c r="AC883" i="1" s="1"/>
  <c r="AD883" i="1" s="1"/>
  <c r="AB884" i="1"/>
  <c r="AC884" i="1" s="1"/>
  <c r="AD884" i="1" s="1"/>
  <c r="AB885" i="1"/>
  <c r="AC885" i="1" s="1"/>
  <c r="AB886" i="1"/>
  <c r="AC886" i="1" s="1"/>
  <c r="AB887" i="1"/>
  <c r="AC887" i="1" s="1"/>
  <c r="AB888" i="1"/>
  <c r="AC888" i="1" s="1"/>
  <c r="AB889" i="1"/>
  <c r="AC889" i="1" s="1"/>
  <c r="AB890" i="1"/>
  <c r="AC890" i="1" s="1"/>
  <c r="AB891" i="1"/>
  <c r="AC891" i="1" s="1"/>
  <c r="AD891" i="1" s="1"/>
  <c r="AB892" i="1"/>
  <c r="AC892" i="1" s="1"/>
  <c r="AD892" i="1" s="1"/>
  <c r="AB893" i="1"/>
  <c r="AC893" i="1" s="1"/>
  <c r="AB894" i="1"/>
  <c r="AC894" i="1" s="1"/>
  <c r="AB895" i="1"/>
  <c r="AC895" i="1" s="1"/>
  <c r="AB896" i="1"/>
  <c r="AC896" i="1" s="1"/>
  <c r="AB897" i="1"/>
  <c r="AC897" i="1" s="1"/>
  <c r="AB898" i="1"/>
  <c r="AC898" i="1" s="1"/>
  <c r="AB899" i="1"/>
  <c r="AC899" i="1" s="1"/>
  <c r="AD899" i="1" s="1"/>
  <c r="AB900" i="1"/>
  <c r="AC900" i="1" s="1"/>
  <c r="AD900" i="1" s="1"/>
  <c r="AB901" i="1"/>
  <c r="AC901" i="1" s="1"/>
  <c r="AB922" i="1"/>
  <c r="AC922" i="1" s="1"/>
  <c r="AB923" i="1"/>
  <c r="AC923" i="1" s="1"/>
  <c r="AB924" i="1"/>
  <c r="AC924" i="1" s="1"/>
  <c r="AB925" i="1"/>
  <c r="AC925" i="1" s="1"/>
  <c r="AB926" i="1"/>
  <c r="AC926" i="1" s="1"/>
  <c r="AB927" i="1"/>
  <c r="AC927" i="1" s="1"/>
  <c r="AB928" i="1"/>
  <c r="AC928" i="1" s="1"/>
  <c r="AB929" i="1"/>
  <c r="AC929" i="1" s="1"/>
  <c r="AB930" i="1"/>
  <c r="AC930" i="1" s="1"/>
  <c r="AB931" i="1"/>
  <c r="AC931" i="1" s="1"/>
  <c r="AB932" i="1"/>
  <c r="AC932" i="1" s="1"/>
  <c r="AD932" i="1" s="1"/>
  <c r="AB933" i="1"/>
  <c r="AC933" i="1" s="1"/>
  <c r="AJ918" i="1" l="1"/>
  <c r="AJ906" i="1"/>
  <c r="AJ914" i="1"/>
  <c r="AJ902" i="1"/>
  <c r="AJ910" i="1"/>
  <c r="AJ903" i="1"/>
  <c r="AJ904" i="1"/>
  <c r="AJ908" i="1"/>
  <c r="AJ911" i="1"/>
  <c r="AJ912" i="1"/>
  <c r="AJ916" i="1"/>
  <c r="AJ920" i="1"/>
  <c r="AJ905" i="1"/>
  <c r="AJ909" i="1"/>
  <c r="AJ913" i="1"/>
  <c r="AJ917" i="1"/>
  <c r="AJ921" i="1"/>
  <c r="AD904" i="1"/>
  <c r="AE904" i="1" s="1"/>
  <c r="AD908" i="1"/>
  <c r="AE908" i="1" s="1"/>
  <c r="AD912" i="1"/>
  <c r="AE912" i="1" s="1"/>
  <c r="AD916" i="1"/>
  <c r="AE916" i="1" s="1"/>
  <c r="AJ907" i="1"/>
  <c r="AJ915" i="1"/>
  <c r="AJ919" i="1"/>
  <c r="AE906" i="1"/>
  <c r="AD906" i="1"/>
  <c r="AD910" i="1"/>
  <c r="AE910" i="1" s="1"/>
  <c r="AD914" i="1"/>
  <c r="AE914" i="1" s="1"/>
  <c r="AD918" i="1"/>
  <c r="AE918" i="1" s="1"/>
  <c r="AD902" i="1"/>
  <c r="AE902" i="1" s="1"/>
  <c r="AD903" i="1"/>
  <c r="AE903" i="1" s="1"/>
  <c r="AD907" i="1"/>
  <c r="AE907" i="1" s="1"/>
  <c r="AD911" i="1"/>
  <c r="AE911" i="1" s="1"/>
  <c r="AD915" i="1"/>
  <c r="AE915" i="1" s="1"/>
  <c r="AD905" i="1"/>
  <c r="AE905" i="1" s="1"/>
  <c r="AD913" i="1"/>
  <c r="AE913" i="1" s="1"/>
  <c r="AD921" i="1"/>
  <c r="AE921" i="1" s="1"/>
  <c r="AD920" i="1"/>
  <c r="AE920" i="1" s="1"/>
  <c r="AD909" i="1"/>
  <c r="AE909" i="1" s="1"/>
  <c r="AD917" i="1"/>
  <c r="AE917" i="1" s="1"/>
  <c r="X847" i="1"/>
  <c r="X759" i="1"/>
  <c r="X679" i="1"/>
  <c r="X575" i="1"/>
  <c r="X471" i="1"/>
  <c r="X391" i="1"/>
  <c r="X295" i="1"/>
  <c r="X223" i="1"/>
  <c r="X167" i="1"/>
  <c r="X103" i="1"/>
  <c r="X15" i="1"/>
  <c r="X927" i="1"/>
  <c r="X879" i="1"/>
  <c r="X855" i="1"/>
  <c r="X823" i="1"/>
  <c r="X799" i="1"/>
  <c r="X775" i="1"/>
  <c r="X751" i="1"/>
  <c r="X727" i="1"/>
  <c r="X703" i="1"/>
  <c r="X671" i="1"/>
  <c r="X647" i="1"/>
  <c r="X623" i="1"/>
  <c r="X599" i="1"/>
  <c r="X567" i="1"/>
  <c r="X535" i="1"/>
  <c r="X511" i="1"/>
  <c r="X487" i="1"/>
  <c r="X455" i="1"/>
  <c r="X431" i="1"/>
  <c r="X407" i="1"/>
  <c r="X375" i="1"/>
  <c r="X359" i="1"/>
  <c r="X327" i="1"/>
  <c r="X247" i="1"/>
  <c r="X2" i="1"/>
  <c r="X926" i="1"/>
  <c r="X894" i="1"/>
  <c r="X886" i="1"/>
  <c r="X878" i="1"/>
  <c r="X870" i="1"/>
  <c r="X862" i="1"/>
  <c r="X854" i="1"/>
  <c r="X846" i="1"/>
  <c r="X838" i="1"/>
  <c r="X830" i="1"/>
  <c r="X822" i="1"/>
  <c r="X814" i="1"/>
  <c r="X806" i="1"/>
  <c r="X798" i="1"/>
  <c r="X790" i="1"/>
  <c r="X782" i="1"/>
  <c r="X774" i="1"/>
  <c r="X766" i="1"/>
  <c r="X758" i="1"/>
  <c r="X750" i="1"/>
  <c r="X742" i="1"/>
  <c r="X734" i="1"/>
  <c r="X726" i="1"/>
  <c r="X718" i="1"/>
  <c r="X710" i="1"/>
  <c r="X702" i="1"/>
  <c r="X895" i="1"/>
  <c r="X863" i="1"/>
  <c r="X831" i="1"/>
  <c r="X807" i="1"/>
  <c r="X783" i="1"/>
  <c r="X743" i="1"/>
  <c r="X719" i="1"/>
  <c r="X695" i="1"/>
  <c r="X655" i="1"/>
  <c r="X639" i="1"/>
  <c r="X607" i="1"/>
  <c r="X583" i="1"/>
  <c r="X543" i="1"/>
  <c r="X519" i="1"/>
  <c r="X495" i="1"/>
  <c r="X463" i="1"/>
  <c r="X439" i="1"/>
  <c r="X415" i="1"/>
  <c r="X383" i="1"/>
  <c r="X343" i="1"/>
  <c r="X319" i="1"/>
  <c r="X303" i="1"/>
  <c r="X279" i="1"/>
  <c r="X263" i="1"/>
  <c r="X239" i="1"/>
  <c r="X215" i="1"/>
  <c r="X199" i="1"/>
  <c r="X183" i="1"/>
  <c r="X119" i="1"/>
  <c r="X95" i="1"/>
  <c r="X55" i="1"/>
  <c r="X887" i="1"/>
  <c r="X871" i="1"/>
  <c r="X839" i="1"/>
  <c r="X815" i="1"/>
  <c r="X791" i="1"/>
  <c r="X767" i="1"/>
  <c r="X735" i="1"/>
  <c r="X711" i="1"/>
  <c r="X687" i="1"/>
  <c r="X663" i="1"/>
  <c r="X631" i="1"/>
  <c r="X615" i="1"/>
  <c r="X591" i="1"/>
  <c r="X559" i="1"/>
  <c r="X527" i="1"/>
  <c r="X503" i="1"/>
  <c r="X479" i="1"/>
  <c r="X447" i="1"/>
  <c r="X423" i="1"/>
  <c r="X399" i="1"/>
  <c r="X367" i="1"/>
  <c r="X351" i="1"/>
  <c r="X335" i="1"/>
  <c r="X311" i="1"/>
  <c r="X287" i="1"/>
  <c r="X271" i="1"/>
  <c r="X255" i="1"/>
  <c r="X231" i="1"/>
  <c r="X207" i="1"/>
  <c r="X191" i="1"/>
  <c r="X175" i="1"/>
  <c r="X159" i="1"/>
  <c r="X151" i="1"/>
  <c r="X143" i="1"/>
  <c r="X127" i="1"/>
  <c r="X111" i="1"/>
  <c r="X87" i="1"/>
  <c r="X79" i="1"/>
  <c r="X71" i="1"/>
  <c r="X63" i="1"/>
  <c r="X47" i="1"/>
  <c r="X39" i="1"/>
  <c r="X31" i="1"/>
  <c r="X23" i="1"/>
  <c r="X7" i="1"/>
  <c r="X694" i="1"/>
  <c r="X686" i="1"/>
  <c r="X670" i="1"/>
  <c r="X662" i="1"/>
  <c r="X654" i="1"/>
  <c r="X646" i="1"/>
  <c r="X638" i="1"/>
  <c r="X630" i="1"/>
  <c r="X622" i="1"/>
  <c r="X614" i="1"/>
  <c r="X606" i="1"/>
  <c r="X598" i="1"/>
  <c r="X590" i="1"/>
  <c r="X582" i="1"/>
  <c r="X574" i="1"/>
  <c r="X566" i="1"/>
  <c r="X558" i="1"/>
  <c r="X550" i="1"/>
  <c r="X542" i="1"/>
  <c r="X534" i="1"/>
  <c r="X526" i="1"/>
  <c r="X518" i="1"/>
  <c r="X510" i="1"/>
  <c r="X502" i="1"/>
  <c r="X494" i="1"/>
  <c r="X486" i="1"/>
  <c r="X478" i="1"/>
  <c r="X470" i="1"/>
  <c r="X462" i="1"/>
  <c r="X454" i="1"/>
  <c r="X446" i="1"/>
  <c r="X438" i="1"/>
  <c r="X430" i="1"/>
  <c r="X422" i="1"/>
  <c r="X414" i="1"/>
  <c r="X406" i="1"/>
  <c r="X398" i="1"/>
  <c r="X390" i="1"/>
  <c r="X382" i="1"/>
  <c r="X374" i="1"/>
  <c r="X366" i="1"/>
  <c r="X358" i="1"/>
  <c r="X350" i="1"/>
  <c r="X342" i="1"/>
  <c r="X334" i="1"/>
  <c r="X326" i="1"/>
  <c r="X318" i="1"/>
  <c r="X310" i="1"/>
  <c r="X302" i="1"/>
  <c r="X294" i="1"/>
  <c r="X286" i="1"/>
  <c r="X270" i="1"/>
  <c r="X262" i="1"/>
  <c r="X254" i="1"/>
  <c r="X246" i="1"/>
  <c r="X238" i="1"/>
  <c r="X230" i="1"/>
  <c r="X222" i="1"/>
  <c r="X214" i="1"/>
  <c r="X206" i="1"/>
  <c r="X198" i="1"/>
  <c r="X190" i="1"/>
  <c r="X182" i="1"/>
  <c r="X174" i="1"/>
  <c r="X166" i="1"/>
  <c r="X158" i="1"/>
  <c r="X150" i="1"/>
  <c r="X142" i="1"/>
  <c r="X134" i="1"/>
  <c r="X126" i="1"/>
  <c r="X118" i="1"/>
  <c r="X110" i="1"/>
  <c r="X102" i="1"/>
  <c r="X94" i="1"/>
  <c r="X86" i="1"/>
  <c r="X78" i="1"/>
  <c r="X70" i="1"/>
  <c r="X62" i="1"/>
  <c r="X54" i="1"/>
  <c r="X46" i="1"/>
  <c r="X38" i="1"/>
  <c r="X30" i="1"/>
  <c r="X22" i="1"/>
  <c r="X14" i="1"/>
  <c r="X6" i="1"/>
  <c r="X929" i="1"/>
  <c r="X897" i="1"/>
  <c r="X889" i="1"/>
  <c r="X881" i="1"/>
  <c r="X873" i="1"/>
  <c r="X865" i="1"/>
  <c r="X857" i="1"/>
  <c r="X849" i="1"/>
  <c r="X841" i="1"/>
  <c r="X833" i="1"/>
  <c r="X825" i="1"/>
  <c r="X817" i="1"/>
  <c r="X809" i="1"/>
  <c r="X801" i="1"/>
  <c r="X793" i="1"/>
  <c r="X785" i="1"/>
  <c r="X777" i="1"/>
  <c r="X769" i="1"/>
  <c r="X761" i="1"/>
  <c r="X753" i="1"/>
  <c r="X745" i="1"/>
  <c r="X737" i="1"/>
  <c r="X729" i="1"/>
  <c r="X721" i="1"/>
  <c r="X713" i="1"/>
  <c r="X705" i="1"/>
  <c r="X697" i="1"/>
  <c r="X689" i="1"/>
  <c r="X681" i="1"/>
  <c r="X673" i="1"/>
  <c r="X665" i="1"/>
  <c r="X657" i="1"/>
  <c r="X649" i="1"/>
  <c r="X641" i="1"/>
  <c r="X633" i="1"/>
  <c r="X625" i="1"/>
  <c r="X617" i="1"/>
  <c r="X609" i="1"/>
  <c r="X601" i="1"/>
  <c r="X593" i="1"/>
  <c r="X585" i="1"/>
  <c r="X577" i="1"/>
  <c r="X569" i="1"/>
  <c r="X561" i="1"/>
  <c r="X553" i="1"/>
  <c r="X545" i="1"/>
  <c r="X537" i="1"/>
  <c r="X529" i="1"/>
  <c r="X521" i="1"/>
  <c r="X513" i="1"/>
  <c r="X505" i="1"/>
  <c r="X497" i="1"/>
  <c r="X489" i="1"/>
  <c r="X481" i="1"/>
  <c r="X473" i="1"/>
  <c r="X465" i="1"/>
  <c r="X457" i="1"/>
  <c r="X449" i="1"/>
  <c r="X441" i="1"/>
  <c r="X433" i="1"/>
  <c r="X425" i="1"/>
  <c r="X417" i="1"/>
  <c r="X409" i="1"/>
  <c r="X401" i="1"/>
  <c r="X393" i="1"/>
  <c r="X385" i="1"/>
  <c r="X377" i="1"/>
  <c r="X369" i="1"/>
  <c r="X361" i="1"/>
  <c r="X353" i="1"/>
  <c r="X345" i="1"/>
  <c r="X337" i="1"/>
  <c r="X329" i="1"/>
  <c r="X321" i="1"/>
  <c r="X313" i="1"/>
  <c r="X305" i="1"/>
  <c r="X297" i="1"/>
  <c r="X289" i="1"/>
  <c r="X281" i="1"/>
  <c r="X273" i="1"/>
  <c r="X265" i="1"/>
  <c r="X257" i="1"/>
  <c r="X249" i="1"/>
  <c r="X241" i="1"/>
  <c r="X233" i="1"/>
  <c r="X225" i="1"/>
  <c r="X217" i="1"/>
  <c r="X209" i="1"/>
  <c r="X201" i="1"/>
  <c r="X193" i="1"/>
  <c r="X185" i="1"/>
  <c r="X177" i="1"/>
  <c r="X169" i="1"/>
  <c r="X161" i="1"/>
  <c r="X153" i="1"/>
  <c r="X145" i="1"/>
  <c r="X137" i="1"/>
  <c r="X129" i="1"/>
  <c r="X121" i="1"/>
  <c r="X113" i="1"/>
  <c r="X105" i="1"/>
  <c r="X97" i="1"/>
  <c r="X89" i="1"/>
  <c r="X81" i="1"/>
  <c r="X73" i="1"/>
  <c r="X65" i="1"/>
  <c r="X57" i="1"/>
  <c r="X49" i="1"/>
  <c r="X41" i="1"/>
  <c r="X33" i="1"/>
  <c r="X25" i="1"/>
  <c r="X17" i="1"/>
  <c r="X9" i="1"/>
  <c r="X861" i="1"/>
  <c r="X837" i="1"/>
  <c r="X805" i="1"/>
  <c r="X789" i="1"/>
  <c r="X757" i="1"/>
  <c r="X749" i="1"/>
  <c r="X741" i="1"/>
  <c r="X733" i="1"/>
  <c r="X725" i="1"/>
  <c r="X717" i="1"/>
  <c r="X709" i="1"/>
  <c r="X701" i="1"/>
  <c r="X693" i="1"/>
  <c r="X685" i="1"/>
  <c r="X677" i="1"/>
  <c r="X669" i="1"/>
  <c r="X661" i="1"/>
  <c r="X653" i="1"/>
  <c r="X645" i="1"/>
  <c r="X637" i="1"/>
  <c r="X629" i="1"/>
  <c r="X621" i="1"/>
  <c r="X613" i="1"/>
  <c r="X605" i="1"/>
  <c r="X597" i="1"/>
  <c r="X589" i="1"/>
  <c r="X581" i="1"/>
  <c r="X573" i="1"/>
  <c r="X565" i="1"/>
  <c r="X557" i="1"/>
  <c r="X549" i="1"/>
  <c r="X541" i="1"/>
  <c r="X533" i="1"/>
  <c r="X525" i="1"/>
  <c r="X517" i="1"/>
  <c r="X509" i="1"/>
  <c r="X501" i="1"/>
  <c r="X493" i="1"/>
  <c r="X485" i="1"/>
  <c r="X477" i="1"/>
  <c r="X469" i="1"/>
  <c r="X461" i="1"/>
  <c r="X453" i="1"/>
  <c r="X445" i="1"/>
  <c r="X437" i="1"/>
  <c r="X429" i="1"/>
  <c r="X421" i="1"/>
  <c r="X413" i="1"/>
  <c r="X405" i="1"/>
  <c r="X397" i="1"/>
  <c r="X389" i="1"/>
  <c r="X381" i="1"/>
  <c r="X373" i="1"/>
  <c r="X365" i="1"/>
  <c r="X357" i="1"/>
  <c r="X349" i="1"/>
  <c r="X341" i="1"/>
  <c r="X333" i="1"/>
  <c r="X325" i="1"/>
  <c r="X317" i="1"/>
  <c r="X309" i="1"/>
  <c r="X301" i="1"/>
  <c r="X293" i="1"/>
  <c r="X285" i="1"/>
  <c r="X277" i="1"/>
  <c r="X269" i="1"/>
  <c r="X261" i="1"/>
  <c r="X253" i="1"/>
  <c r="X245" i="1"/>
  <c r="X237" i="1"/>
  <c r="X229" i="1"/>
  <c r="X213" i="1"/>
  <c r="X181" i="1"/>
  <c r="X165" i="1"/>
  <c r="X125" i="1"/>
  <c r="X117" i="1"/>
  <c r="X109" i="1"/>
  <c r="X101" i="1"/>
  <c r="X53" i="1"/>
  <c r="X37" i="1"/>
  <c r="X21" i="1"/>
  <c r="X893" i="1"/>
  <c r="X877" i="1"/>
  <c r="X853" i="1"/>
  <c r="X845" i="1"/>
  <c r="X829" i="1"/>
  <c r="X821" i="1"/>
  <c r="X813" i="1"/>
  <c r="X797" i="1"/>
  <c r="X765" i="1"/>
  <c r="X932" i="1"/>
  <c r="X924" i="1"/>
  <c r="X900" i="1"/>
  <c r="X892" i="1"/>
  <c r="X884" i="1"/>
  <c r="X876" i="1"/>
  <c r="X868" i="1"/>
  <c r="X860" i="1"/>
  <c r="X852" i="1"/>
  <c r="X844" i="1"/>
  <c r="X836" i="1"/>
  <c r="X828" i="1"/>
  <c r="X820" i="1"/>
  <c r="X812" i="1"/>
  <c r="X804" i="1"/>
  <c r="X796" i="1"/>
  <c r="X788" i="1"/>
  <c r="X780" i="1"/>
  <c r="X772" i="1"/>
  <c r="X764" i="1"/>
  <c r="X756" i="1"/>
  <c r="X748" i="1"/>
  <c r="X740" i="1"/>
  <c r="X732" i="1"/>
  <c r="X724" i="1"/>
  <c r="X716" i="1"/>
  <c r="X708" i="1"/>
  <c r="X700" i="1"/>
  <c r="X692" i="1"/>
  <c r="X684" i="1"/>
  <c r="X676" i="1"/>
  <c r="X668" i="1"/>
  <c r="X660" i="1"/>
  <c r="X652" i="1"/>
  <c r="X644" i="1"/>
  <c r="X636" i="1"/>
  <c r="X628" i="1"/>
  <c r="X620" i="1"/>
  <c r="X612" i="1"/>
  <c r="X604" i="1"/>
  <c r="X596" i="1"/>
  <c r="X588" i="1"/>
  <c r="X580" i="1"/>
  <c r="X572" i="1"/>
  <c r="X564" i="1"/>
  <c r="X556" i="1"/>
  <c r="X548" i="1"/>
  <c r="X540" i="1"/>
  <c r="X532" i="1"/>
  <c r="X524" i="1"/>
  <c r="X516" i="1"/>
  <c r="X508" i="1"/>
  <c r="X500" i="1"/>
  <c r="X492" i="1"/>
  <c r="X484" i="1"/>
  <c r="X476" i="1"/>
  <c r="X468" i="1"/>
  <c r="X460" i="1"/>
  <c r="X452" i="1"/>
  <c r="X444" i="1"/>
  <c r="X436" i="1"/>
  <c r="X428" i="1"/>
  <c r="X420" i="1"/>
  <c r="X412" i="1"/>
  <c r="X404" i="1"/>
  <c r="X396" i="1"/>
  <c r="X388" i="1"/>
  <c r="X380" i="1"/>
  <c r="X372" i="1"/>
  <c r="X364" i="1"/>
  <c r="X356" i="1"/>
  <c r="X348" i="1"/>
  <c r="X340" i="1"/>
  <c r="X332" i="1"/>
  <c r="X324" i="1"/>
  <c r="X316" i="1"/>
  <c r="X308" i="1"/>
  <c r="X300" i="1"/>
  <c r="X292" i="1"/>
  <c r="X284" i="1"/>
  <c r="X276" i="1"/>
  <c r="X268" i="1"/>
  <c r="X260" i="1"/>
  <c r="X252" i="1"/>
  <c r="X244" i="1"/>
  <c r="X236" i="1"/>
  <c r="X228" i="1"/>
  <c r="X220" i="1"/>
  <c r="X212" i="1"/>
  <c r="X204" i="1"/>
  <c r="X196" i="1"/>
  <c r="X188" i="1"/>
  <c r="X180" i="1"/>
  <c r="X172" i="1"/>
  <c r="X164" i="1"/>
  <c r="X156" i="1"/>
  <c r="X148" i="1"/>
  <c r="X140" i="1"/>
  <c r="X132" i="1"/>
  <c r="X124" i="1"/>
  <c r="X116" i="1"/>
  <c r="X108" i="1"/>
  <c r="X100" i="1"/>
  <c r="X92" i="1"/>
  <c r="X84" i="1"/>
  <c r="X76" i="1"/>
  <c r="X68" i="1"/>
  <c r="X60" i="1"/>
  <c r="X52" i="1"/>
  <c r="X44" i="1"/>
  <c r="X36" i="1"/>
  <c r="X28" i="1"/>
  <c r="X20" i="1"/>
  <c r="X12" i="1"/>
  <c r="X4" i="1"/>
  <c r="X933" i="1"/>
  <c r="X885" i="1"/>
  <c r="X781" i="1"/>
  <c r="X931" i="1"/>
  <c r="X923" i="1"/>
  <c r="X899" i="1"/>
  <c r="X891" i="1"/>
  <c r="X883" i="1"/>
  <c r="X875" i="1"/>
  <c r="X867" i="1"/>
  <c r="X859" i="1"/>
  <c r="X851" i="1"/>
  <c r="X843" i="1"/>
  <c r="X835" i="1"/>
  <c r="X827" i="1"/>
  <c r="X819" i="1"/>
  <c r="X811" i="1"/>
  <c r="X803" i="1"/>
  <c r="X795" i="1"/>
  <c r="X787" i="1"/>
  <c r="X779" i="1"/>
  <c r="X771" i="1"/>
  <c r="X763" i="1"/>
  <c r="X755" i="1"/>
  <c r="X747" i="1"/>
  <c r="X739" i="1"/>
  <c r="X731" i="1"/>
  <c r="X723" i="1"/>
  <c r="X715" i="1"/>
  <c r="X707" i="1"/>
  <c r="X699" i="1"/>
  <c r="X691" i="1"/>
  <c r="X683" i="1"/>
  <c r="X675" i="1"/>
  <c r="X667" i="1"/>
  <c r="X659" i="1"/>
  <c r="X651" i="1"/>
  <c r="X643" i="1"/>
  <c r="X635" i="1"/>
  <c r="X627" i="1"/>
  <c r="X619" i="1"/>
  <c r="X611" i="1"/>
  <c r="X603" i="1"/>
  <c r="X595" i="1"/>
  <c r="X587" i="1"/>
  <c r="X579" i="1"/>
  <c r="X571" i="1"/>
  <c r="X563" i="1"/>
  <c r="X555" i="1"/>
  <c r="X547" i="1"/>
  <c r="X539" i="1"/>
  <c r="X531" i="1"/>
  <c r="X523" i="1"/>
  <c r="X515" i="1"/>
  <c r="X507" i="1"/>
  <c r="X499" i="1"/>
  <c r="X491" i="1"/>
  <c r="X483" i="1"/>
  <c r="X475" i="1"/>
  <c r="X467" i="1"/>
  <c r="X459" i="1"/>
  <c r="X451" i="1"/>
  <c r="X443" i="1"/>
  <c r="X435" i="1"/>
  <c r="X427" i="1"/>
  <c r="X419" i="1"/>
  <c r="X411" i="1"/>
  <c r="X403" i="1"/>
  <c r="X395" i="1"/>
  <c r="X387" i="1"/>
  <c r="X379" i="1"/>
  <c r="X371" i="1"/>
  <c r="X363" i="1"/>
  <c r="X355" i="1"/>
  <c r="X347" i="1"/>
  <c r="X339" i="1"/>
  <c r="X331" i="1"/>
  <c r="X323" i="1"/>
  <c r="X315" i="1"/>
  <c r="X307" i="1"/>
  <c r="X299" i="1"/>
  <c r="X291" i="1"/>
  <c r="X283" i="1"/>
  <c r="X275" i="1"/>
  <c r="X267" i="1"/>
  <c r="X259" i="1"/>
  <c r="X251" i="1"/>
  <c r="X243" i="1"/>
  <c r="X235" i="1"/>
  <c r="X227" i="1"/>
  <c r="X219" i="1"/>
  <c r="X211" i="1"/>
  <c r="X203" i="1"/>
  <c r="X195" i="1"/>
  <c r="X187" i="1"/>
  <c r="X179" i="1"/>
  <c r="X171" i="1"/>
  <c r="X163" i="1"/>
  <c r="X155" i="1"/>
  <c r="X147" i="1"/>
  <c r="X139" i="1"/>
  <c r="X131" i="1"/>
  <c r="X123" i="1"/>
  <c r="X115" i="1"/>
  <c r="X107" i="1"/>
  <c r="X99" i="1"/>
  <c r="X91" i="1"/>
  <c r="X83" i="1"/>
  <c r="X75" i="1"/>
  <c r="X67" i="1"/>
  <c r="X59" i="1"/>
  <c r="X51" i="1"/>
  <c r="X43" i="1"/>
  <c r="X35" i="1"/>
  <c r="X27" i="1"/>
  <c r="X19" i="1"/>
  <c r="X11" i="1"/>
  <c r="X3" i="1"/>
  <c r="X925" i="1"/>
  <c r="X901" i="1"/>
  <c r="X869" i="1"/>
  <c r="X773" i="1"/>
  <c r="X930" i="1"/>
  <c r="X922" i="1"/>
  <c r="X898" i="1"/>
  <c r="X890" i="1"/>
  <c r="X882" i="1"/>
  <c r="X874" i="1"/>
  <c r="X866" i="1"/>
  <c r="X858" i="1"/>
  <c r="X850" i="1"/>
  <c r="X842" i="1"/>
  <c r="X834" i="1"/>
  <c r="X826" i="1"/>
  <c r="X818" i="1"/>
  <c r="X810" i="1"/>
  <c r="X802" i="1"/>
  <c r="X794" i="1"/>
  <c r="X786" i="1"/>
  <c r="X778" i="1"/>
  <c r="X770" i="1"/>
  <c r="X762" i="1"/>
  <c r="X754" i="1"/>
  <c r="X746" i="1"/>
  <c r="X738" i="1"/>
  <c r="X730" i="1"/>
  <c r="X722" i="1"/>
  <c r="X714" i="1"/>
  <c r="X706" i="1"/>
  <c r="X698" i="1"/>
  <c r="X690" i="1"/>
  <c r="X682" i="1"/>
  <c r="X674" i="1"/>
  <c r="X666" i="1"/>
  <c r="X658" i="1"/>
  <c r="X650" i="1"/>
  <c r="X642" i="1"/>
  <c r="X634" i="1"/>
  <c r="X626" i="1"/>
  <c r="X618" i="1"/>
  <c r="X610" i="1"/>
  <c r="X602" i="1"/>
  <c r="X594" i="1"/>
  <c r="X586" i="1"/>
  <c r="X578" i="1"/>
  <c r="X570" i="1"/>
  <c r="X562" i="1"/>
  <c r="X554" i="1"/>
  <c r="X546" i="1"/>
  <c r="X538" i="1"/>
  <c r="X530" i="1"/>
  <c r="X522" i="1"/>
  <c r="X514" i="1"/>
  <c r="X506" i="1"/>
  <c r="X498" i="1"/>
  <c r="X490" i="1"/>
  <c r="X482" i="1"/>
  <c r="X474" i="1"/>
  <c r="X466" i="1"/>
  <c r="X458" i="1"/>
  <c r="X450" i="1"/>
  <c r="X442" i="1"/>
  <c r="X434" i="1"/>
  <c r="X426" i="1"/>
  <c r="X418" i="1"/>
  <c r="X410" i="1"/>
  <c r="X402" i="1"/>
  <c r="X394" i="1"/>
  <c r="X386" i="1"/>
  <c r="X378" i="1"/>
  <c r="X370" i="1"/>
  <c r="X362" i="1"/>
  <c r="X354" i="1"/>
  <c r="X346" i="1"/>
  <c r="X338" i="1"/>
  <c r="X330" i="1"/>
  <c r="X322" i="1"/>
  <c r="X314" i="1"/>
  <c r="X306" i="1"/>
  <c r="X298" i="1"/>
  <c r="X290" i="1"/>
  <c r="X282" i="1"/>
  <c r="X274" i="1"/>
  <c r="X266" i="1"/>
  <c r="X258" i="1"/>
  <c r="X250" i="1"/>
  <c r="X242" i="1"/>
  <c r="X234" i="1"/>
  <c r="X226" i="1"/>
  <c r="X218" i="1"/>
  <c r="X210" i="1"/>
  <c r="X202" i="1"/>
  <c r="X194" i="1"/>
  <c r="X186" i="1"/>
  <c r="X178" i="1"/>
  <c r="X170" i="1"/>
  <c r="X162" i="1"/>
  <c r="X154" i="1"/>
  <c r="X146" i="1"/>
  <c r="X138" i="1"/>
  <c r="X130" i="1"/>
  <c r="X122" i="1"/>
  <c r="X114" i="1"/>
  <c r="X106" i="1"/>
  <c r="X98" i="1"/>
  <c r="X90" i="1"/>
  <c r="X82" i="1"/>
  <c r="X74" i="1"/>
  <c r="X66" i="1"/>
  <c r="X58" i="1"/>
  <c r="X50" i="1"/>
  <c r="X42" i="1"/>
  <c r="X34" i="1"/>
  <c r="X26" i="1"/>
  <c r="X18" i="1"/>
  <c r="X10" i="1"/>
  <c r="X221" i="1"/>
  <c r="X205" i="1"/>
  <c r="X197" i="1"/>
  <c r="X189" i="1"/>
  <c r="X173" i="1"/>
  <c r="X157" i="1"/>
  <c r="X149" i="1"/>
  <c r="X141" i="1"/>
  <c r="X133" i="1"/>
  <c r="X93" i="1"/>
  <c r="X85" i="1"/>
  <c r="X77" i="1"/>
  <c r="X69" i="1"/>
  <c r="X61" i="1"/>
  <c r="X45" i="1"/>
  <c r="X29" i="1"/>
  <c r="X13" i="1"/>
  <c r="X5" i="1"/>
  <c r="AD890" i="1"/>
  <c r="AE890" i="1" s="1"/>
  <c r="AD818" i="1"/>
  <c r="AE818" i="1" s="1"/>
  <c r="AD754" i="1"/>
  <c r="AE754" i="1" s="1"/>
  <c r="AD690" i="1"/>
  <c r="AE690" i="1" s="1"/>
  <c r="AD634" i="1"/>
  <c r="AE634" i="1" s="1"/>
  <c r="AD586" i="1"/>
  <c r="AE586" i="1" s="1"/>
  <c r="AD538" i="1"/>
  <c r="AE538" i="1" s="1"/>
  <c r="AD474" i="1"/>
  <c r="AE474" i="1" s="1"/>
  <c r="AE402" i="1"/>
  <c r="AD402" i="1"/>
  <c r="AD362" i="1"/>
  <c r="AE362" i="1" s="1"/>
  <c r="AD338" i="1"/>
  <c r="AE338" i="1" s="1"/>
  <c r="AD298" i="1"/>
  <c r="AE298" i="1" s="1"/>
  <c r="AD242" i="1"/>
  <c r="AE242" i="1" s="1"/>
  <c r="AD202" i="1"/>
  <c r="AE202" i="1" s="1"/>
  <c r="AD154" i="1"/>
  <c r="AE154" i="1" s="1"/>
  <c r="AD122" i="1"/>
  <c r="AE122" i="1" s="1"/>
  <c r="AD90" i="1"/>
  <c r="AE90" i="1" s="1"/>
  <c r="AD18" i="1"/>
  <c r="AE18" i="1" s="1"/>
  <c r="AD929" i="1"/>
  <c r="AE929" i="1" s="1"/>
  <c r="AD889" i="1"/>
  <c r="AE889" i="1" s="1"/>
  <c r="AD849" i="1"/>
  <c r="AE849" i="1" s="1"/>
  <c r="AD825" i="1"/>
  <c r="AE825" i="1" s="1"/>
  <c r="AD785" i="1"/>
  <c r="AE785" i="1" s="1"/>
  <c r="AD745" i="1"/>
  <c r="AE745" i="1" s="1"/>
  <c r="AD705" i="1"/>
  <c r="AE705" i="1" s="1"/>
  <c r="AE665" i="1"/>
  <c r="AD665" i="1"/>
  <c r="AD609" i="1"/>
  <c r="AE609" i="1" s="1"/>
  <c r="AD585" i="1"/>
  <c r="AE585" i="1" s="1"/>
  <c r="AD537" i="1"/>
  <c r="AE537" i="1" s="1"/>
  <c r="AD497" i="1"/>
  <c r="AE497" i="1" s="1"/>
  <c r="AD457" i="1"/>
  <c r="AE457" i="1" s="1"/>
  <c r="AD417" i="1"/>
  <c r="AE417" i="1" s="1"/>
  <c r="AD385" i="1"/>
  <c r="AE385" i="1" s="1"/>
  <c r="AD345" i="1"/>
  <c r="AE345" i="1" s="1"/>
  <c r="AD305" i="1"/>
  <c r="AE305" i="1" s="1"/>
  <c r="AD265" i="1"/>
  <c r="AE265" i="1" s="1"/>
  <c r="AD225" i="1"/>
  <c r="AE225" i="1" s="1"/>
  <c r="AD201" i="1"/>
  <c r="AE201" i="1" s="1"/>
  <c r="AD153" i="1"/>
  <c r="AE153" i="1" s="1"/>
  <c r="AD113" i="1"/>
  <c r="AE113" i="1" s="1"/>
  <c r="AD81" i="1"/>
  <c r="AE81" i="1" s="1"/>
  <c r="AD41" i="1"/>
  <c r="AE41" i="1" s="1"/>
  <c r="AD894" i="1"/>
  <c r="AE894" i="1" s="1"/>
  <c r="AD870" i="1"/>
  <c r="AE870" i="1" s="1"/>
  <c r="AD846" i="1"/>
  <c r="AE846" i="1" s="1"/>
  <c r="AD830" i="1"/>
  <c r="AE830" i="1" s="1"/>
  <c r="AD798" i="1"/>
  <c r="AE798" i="1" s="1"/>
  <c r="AD766" i="1"/>
  <c r="AE766" i="1" s="1"/>
  <c r="AD742" i="1"/>
  <c r="AE742" i="1" s="1"/>
  <c r="AD718" i="1"/>
  <c r="AE718" i="1" s="1"/>
  <c r="AD686" i="1"/>
  <c r="AE686" i="1" s="1"/>
  <c r="AD662" i="1"/>
  <c r="AE662" i="1" s="1"/>
  <c r="AD638" i="1"/>
  <c r="AE638" i="1" s="1"/>
  <c r="AD606" i="1"/>
  <c r="AE606" i="1" s="1"/>
  <c r="AD574" i="1"/>
  <c r="AE574" i="1" s="1"/>
  <c r="AD542" i="1"/>
  <c r="AE542" i="1" s="1"/>
  <c r="AD502" i="1"/>
  <c r="AE502" i="1" s="1"/>
  <c r="AD478" i="1"/>
  <c r="AE478" i="1" s="1"/>
  <c r="AD462" i="1"/>
  <c r="AE462" i="1" s="1"/>
  <c r="AD430" i="1"/>
  <c r="AE430" i="1" s="1"/>
  <c r="AD398" i="1"/>
  <c r="AE398" i="1" s="1"/>
  <c r="AD382" i="1"/>
  <c r="AE382" i="1" s="1"/>
  <c r="AD350" i="1"/>
  <c r="AE350" i="1" s="1"/>
  <c r="AD318" i="1"/>
  <c r="AE318" i="1" s="1"/>
  <c r="AD294" i="1"/>
  <c r="AE294" i="1" s="1"/>
  <c r="AD270" i="1"/>
  <c r="AE270" i="1" s="1"/>
  <c r="AD246" i="1"/>
  <c r="AE246" i="1" s="1"/>
  <c r="AD214" i="1"/>
  <c r="AE214" i="1" s="1"/>
  <c r="AD198" i="1"/>
  <c r="AE198" i="1" s="1"/>
  <c r="AD166" i="1"/>
  <c r="AE166" i="1" s="1"/>
  <c r="AD150" i="1"/>
  <c r="AE150" i="1" s="1"/>
  <c r="AD134" i="1"/>
  <c r="AE134" i="1" s="1"/>
  <c r="AD102" i="1"/>
  <c r="AE102" i="1" s="1"/>
  <c r="AD86" i="1"/>
  <c r="AE86" i="1" s="1"/>
  <c r="AD62" i="1"/>
  <c r="AE62" i="1" s="1"/>
  <c r="AD38" i="1"/>
  <c r="AE38" i="1" s="1"/>
  <c r="AD14" i="1"/>
  <c r="AE14" i="1" s="1"/>
  <c r="AD933" i="1"/>
  <c r="AE933" i="1" s="1"/>
  <c r="AD901" i="1"/>
  <c r="AE901" i="1" s="1"/>
  <c r="AD893" i="1"/>
  <c r="AE893" i="1" s="1"/>
  <c r="AD877" i="1"/>
  <c r="AE877" i="1" s="1"/>
  <c r="AD861" i="1"/>
  <c r="AE861" i="1" s="1"/>
  <c r="AE845" i="1"/>
  <c r="AD845" i="1"/>
  <c r="AD829" i="1"/>
  <c r="AE829" i="1" s="1"/>
  <c r="AD813" i="1"/>
  <c r="AE813" i="1" s="1"/>
  <c r="AD789" i="1"/>
  <c r="AE789" i="1" s="1"/>
  <c r="AD773" i="1"/>
  <c r="AE773" i="1" s="1"/>
  <c r="AD749" i="1"/>
  <c r="AE749" i="1" s="1"/>
  <c r="AD725" i="1"/>
  <c r="AE725" i="1" s="1"/>
  <c r="AD709" i="1"/>
  <c r="AE709" i="1" s="1"/>
  <c r="AD693" i="1"/>
  <c r="AE693" i="1" s="1"/>
  <c r="AD669" i="1"/>
  <c r="AE669" i="1" s="1"/>
  <c r="AD661" i="1"/>
  <c r="AE661" i="1" s="1"/>
  <c r="AD637" i="1"/>
  <c r="AE637" i="1" s="1"/>
  <c r="AD629" i="1"/>
  <c r="AE629" i="1" s="1"/>
  <c r="AD621" i="1"/>
  <c r="AE621" i="1" s="1"/>
  <c r="AD597" i="1"/>
  <c r="AE597" i="1" s="1"/>
  <c r="AD589" i="1"/>
  <c r="AE589" i="1" s="1"/>
  <c r="AD581" i="1"/>
  <c r="AE581" i="1" s="1"/>
  <c r="AD557" i="1"/>
  <c r="AE557" i="1" s="1"/>
  <c r="AD549" i="1"/>
  <c r="AE549" i="1" s="1"/>
  <c r="AD541" i="1"/>
  <c r="AE541" i="1" s="1"/>
  <c r="AE517" i="1"/>
  <c r="AD517" i="1"/>
  <c r="AD509" i="1"/>
  <c r="AE509" i="1" s="1"/>
  <c r="AD501" i="1"/>
  <c r="AE501" i="1" s="1"/>
  <c r="AD493" i="1"/>
  <c r="AE493" i="1" s="1"/>
  <c r="AD469" i="1"/>
  <c r="AE469" i="1" s="1"/>
  <c r="AD461" i="1"/>
  <c r="AE461" i="1" s="1"/>
  <c r="AD453" i="1"/>
  <c r="AE453" i="1" s="1"/>
  <c r="AD429" i="1"/>
  <c r="AE429" i="1" s="1"/>
  <c r="AD421" i="1"/>
  <c r="AE421" i="1" s="1"/>
  <c r="AD413" i="1"/>
  <c r="AE413" i="1" s="1"/>
  <c r="AD389" i="1"/>
  <c r="AE389" i="1" s="1"/>
  <c r="AD381" i="1"/>
  <c r="AE381" i="1" s="1"/>
  <c r="AD373" i="1"/>
  <c r="AE373" i="1" s="1"/>
  <c r="AD365" i="1"/>
  <c r="AE365" i="1" s="1"/>
  <c r="AD357" i="1"/>
  <c r="AE357" i="1" s="1"/>
  <c r="AD333" i="1"/>
  <c r="AE333" i="1" s="1"/>
  <c r="AD325" i="1"/>
  <c r="AE325" i="1" s="1"/>
  <c r="AD317" i="1"/>
  <c r="AE317" i="1" s="1"/>
  <c r="AD301" i="1"/>
  <c r="AE301" i="1" s="1"/>
  <c r="AD293" i="1"/>
  <c r="AE293" i="1" s="1"/>
  <c r="AD285" i="1"/>
  <c r="AE285" i="1" s="1"/>
  <c r="AD277" i="1"/>
  <c r="AE277" i="1" s="1"/>
  <c r="AD261" i="1"/>
  <c r="AE261" i="1" s="1"/>
  <c r="AD253" i="1"/>
  <c r="AE253" i="1" s="1"/>
  <c r="AD245" i="1"/>
  <c r="AE245" i="1" s="1"/>
  <c r="AD229" i="1"/>
  <c r="AE229" i="1" s="1"/>
  <c r="AD213" i="1"/>
  <c r="AE213" i="1" s="1"/>
  <c r="AD205" i="1"/>
  <c r="AE205" i="1" s="1"/>
  <c r="AD189" i="1"/>
  <c r="AE189" i="1" s="1"/>
  <c r="AD173" i="1"/>
  <c r="AE173" i="1" s="1"/>
  <c r="AD157" i="1"/>
  <c r="AE157" i="1" s="1"/>
  <c r="AD141" i="1"/>
  <c r="AE141" i="1" s="1"/>
  <c r="AD133" i="1"/>
  <c r="AE133" i="1" s="1"/>
  <c r="AD125" i="1"/>
  <c r="AE125" i="1" s="1"/>
  <c r="AD101" i="1"/>
  <c r="AE101" i="1" s="1"/>
  <c r="AD93" i="1"/>
  <c r="AE93" i="1" s="1"/>
  <c r="AD85" i="1"/>
  <c r="AE85" i="1" s="1"/>
  <c r="AD77" i="1"/>
  <c r="AE77" i="1" s="1"/>
  <c r="AD53" i="1"/>
  <c r="AE53" i="1" s="1"/>
  <c r="AD45" i="1"/>
  <c r="AE45" i="1" s="1"/>
  <c r="AD37" i="1"/>
  <c r="AE37" i="1" s="1"/>
  <c r="AD29" i="1"/>
  <c r="AE29" i="1" s="1"/>
  <c r="AD13" i="1"/>
  <c r="AE13" i="1" s="1"/>
  <c r="AD922" i="1"/>
  <c r="AE922" i="1" s="1"/>
  <c r="AD850" i="1"/>
  <c r="AE850" i="1" s="1"/>
  <c r="AD778" i="1"/>
  <c r="AE778" i="1" s="1"/>
  <c r="AD706" i="1"/>
  <c r="AE706" i="1" s="1"/>
  <c r="AD610" i="1"/>
  <c r="AE610" i="1" s="1"/>
  <c r="AD546" i="1"/>
  <c r="AE546" i="1" s="1"/>
  <c r="AD466" i="1"/>
  <c r="AE466" i="1" s="1"/>
  <c r="AD386" i="1"/>
  <c r="AE386" i="1" s="1"/>
  <c r="AD290" i="1"/>
  <c r="AE290" i="1" s="1"/>
  <c r="AD178" i="1"/>
  <c r="AE178" i="1" s="1"/>
  <c r="AD50" i="1"/>
  <c r="AE50" i="1" s="1"/>
  <c r="AD873" i="1"/>
  <c r="AE873" i="1" s="1"/>
  <c r="AD777" i="1"/>
  <c r="AE777" i="1" s="1"/>
  <c r="AD697" i="1"/>
  <c r="AE697" i="1" s="1"/>
  <c r="AD617" i="1"/>
  <c r="AE617" i="1" s="1"/>
  <c r="AD521" i="1"/>
  <c r="AE521" i="1" s="1"/>
  <c r="AD425" i="1"/>
  <c r="AE425" i="1" s="1"/>
  <c r="AD337" i="1"/>
  <c r="AE337" i="1" s="1"/>
  <c r="AD233" i="1"/>
  <c r="AE233" i="1" s="1"/>
  <c r="AD137" i="1"/>
  <c r="AE137" i="1" s="1"/>
  <c r="AD25" i="1"/>
  <c r="AE25" i="1" s="1"/>
  <c r="AD854" i="1"/>
  <c r="AE854" i="1" s="1"/>
  <c r="AD806" i="1"/>
  <c r="AE806" i="1" s="1"/>
  <c r="AD774" i="1"/>
  <c r="AE774" i="1" s="1"/>
  <c r="AD734" i="1"/>
  <c r="AE734" i="1" s="1"/>
  <c r="AD694" i="1"/>
  <c r="AE694" i="1" s="1"/>
  <c r="AD654" i="1"/>
  <c r="AE654" i="1" s="1"/>
  <c r="AD622" i="1"/>
  <c r="AE622" i="1" s="1"/>
  <c r="AD590" i="1"/>
  <c r="AE590" i="1" s="1"/>
  <c r="AD550" i="1"/>
  <c r="AE550" i="1" s="1"/>
  <c r="AD518" i="1"/>
  <c r="AE518" i="1" s="1"/>
  <c r="AD470" i="1"/>
  <c r="AE470" i="1" s="1"/>
  <c r="AD438" i="1"/>
  <c r="AE438" i="1" s="1"/>
  <c r="AD406" i="1"/>
  <c r="AE406" i="1" s="1"/>
  <c r="AD366" i="1"/>
  <c r="AE366" i="1" s="1"/>
  <c r="AD326" i="1"/>
  <c r="AE326" i="1" s="1"/>
  <c r="AE278" i="1"/>
  <c r="AD278" i="1"/>
  <c r="AD230" i="1"/>
  <c r="AE230" i="1" s="1"/>
  <c r="AD182" i="1"/>
  <c r="AE182" i="1" s="1"/>
  <c r="AD110" i="1"/>
  <c r="AE110" i="1" s="1"/>
  <c r="AD30" i="1"/>
  <c r="AE30" i="1" s="1"/>
  <c r="AD925" i="1"/>
  <c r="AE925" i="1" s="1"/>
  <c r="AD885" i="1"/>
  <c r="AE885" i="1" s="1"/>
  <c r="AD853" i="1"/>
  <c r="AE853" i="1" s="1"/>
  <c r="AD821" i="1"/>
  <c r="AE821" i="1" s="1"/>
  <c r="AD797" i="1"/>
  <c r="AE797" i="1" s="1"/>
  <c r="AD765" i="1"/>
  <c r="AE765" i="1" s="1"/>
  <c r="AD741" i="1"/>
  <c r="AE741" i="1" s="1"/>
  <c r="AD717" i="1"/>
  <c r="AE717" i="1" s="1"/>
  <c r="AD685" i="1"/>
  <c r="AE685" i="1" s="1"/>
  <c r="AD653" i="1"/>
  <c r="AE653" i="1" s="1"/>
  <c r="AD613" i="1"/>
  <c r="AE613" i="1" s="1"/>
  <c r="AD573" i="1"/>
  <c r="AE573" i="1" s="1"/>
  <c r="AD533" i="1"/>
  <c r="AE533" i="1" s="1"/>
  <c r="AD477" i="1"/>
  <c r="AE477" i="1" s="1"/>
  <c r="AD437" i="1"/>
  <c r="AE437" i="1" s="1"/>
  <c r="AD397" i="1"/>
  <c r="AE397" i="1" s="1"/>
  <c r="AD349" i="1"/>
  <c r="AE349" i="1" s="1"/>
  <c r="AD309" i="1"/>
  <c r="AE309" i="1" s="1"/>
  <c r="AD269" i="1"/>
  <c r="AE269" i="1" s="1"/>
  <c r="AD237" i="1"/>
  <c r="AE237" i="1" s="1"/>
  <c r="AD197" i="1"/>
  <c r="AE197" i="1" s="1"/>
  <c r="AD165" i="1"/>
  <c r="AE165" i="1" s="1"/>
  <c r="AD117" i="1"/>
  <c r="AE117" i="1" s="1"/>
  <c r="AD69" i="1"/>
  <c r="AE69" i="1" s="1"/>
  <c r="AD5" i="1"/>
  <c r="AE5" i="1" s="1"/>
  <c r="AD898" i="1"/>
  <c r="AE898" i="1" s="1"/>
  <c r="AD826" i="1"/>
  <c r="AE826" i="1" s="1"/>
  <c r="AD730" i="1"/>
  <c r="AE730" i="1" s="1"/>
  <c r="AD666" i="1"/>
  <c r="AE666" i="1" s="1"/>
  <c r="AD594" i="1"/>
  <c r="AE594" i="1" s="1"/>
  <c r="AD530" i="1"/>
  <c r="AE530" i="1" s="1"/>
  <c r="AD450" i="1"/>
  <c r="AE450" i="1" s="1"/>
  <c r="AD370" i="1"/>
  <c r="AE370" i="1" s="1"/>
  <c r="AD282" i="1"/>
  <c r="AE282" i="1" s="1"/>
  <c r="AD162" i="1"/>
  <c r="AE162" i="1" s="1"/>
  <c r="AD10" i="1"/>
  <c r="AE10" i="1" s="1"/>
  <c r="AD881" i="1"/>
  <c r="AE881" i="1" s="1"/>
  <c r="AD801" i="1"/>
  <c r="AE801" i="1" s="1"/>
  <c r="AD721" i="1"/>
  <c r="AE721" i="1" s="1"/>
  <c r="AD649" i="1"/>
  <c r="AE649" i="1" s="1"/>
  <c r="AD561" i="1"/>
  <c r="AE561" i="1" s="1"/>
  <c r="AD465" i="1"/>
  <c r="AE465" i="1" s="1"/>
  <c r="AD377" i="1"/>
  <c r="AE377" i="1" s="1"/>
  <c r="AD273" i="1"/>
  <c r="AE273" i="1" s="1"/>
  <c r="AD177" i="1"/>
  <c r="AE177" i="1" s="1"/>
  <c r="AD65" i="1"/>
  <c r="AE65" i="1" s="1"/>
  <c r="AD926" i="1"/>
  <c r="AE926" i="1" s="1"/>
  <c r="AD878" i="1"/>
  <c r="AE878" i="1" s="1"/>
  <c r="AD822" i="1"/>
  <c r="AE822" i="1" s="1"/>
  <c r="AD790" i="1"/>
  <c r="AE790" i="1" s="1"/>
  <c r="AD750" i="1"/>
  <c r="AE750" i="1" s="1"/>
  <c r="AD710" i="1"/>
  <c r="AE710" i="1" s="1"/>
  <c r="AD678" i="1"/>
  <c r="AE678" i="1" s="1"/>
  <c r="AD630" i="1"/>
  <c r="AE630" i="1" s="1"/>
  <c r="AD598" i="1"/>
  <c r="AE598" i="1" s="1"/>
  <c r="AD566" i="1"/>
  <c r="AE566" i="1" s="1"/>
  <c r="AD534" i="1"/>
  <c r="AE534" i="1" s="1"/>
  <c r="AD494" i="1"/>
  <c r="AE494" i="1" s="1"/>
  <c r="AD446" i="1"/>
  <c r="AE446" i="1" s="1"/>
  <c r="AD414" i="1"/>
  <c r="AE414" i="1" s="1"/>
  <c r="AD374" i="1"/>
  <c r="AE374" i="1" s="1"/>
  <c r="AD334" i="1"/>
  <c r="AE334" i="1" s="1"/>
  <c r="AD302" i="1"/>
  <c r="AE302" i="1" s="1"/>
  <c r="AD254" i="1"/>
  <c r="AE254" i="1" s="1"/>
  <c r="AD206" i="1"/>
  <c r="AE206" i="1" s="1"/>
  <c r="AE126" i="1"/>
  <c r="AD126" i="1"/>
  <c r="AD70" i="1"/>
  <c r="AE70" i="1" s="1"/>
  <c r="AD6" i="1"/>
  <c r="AE6" i="1" s="1"/>
  <c r="AD869" i="1"/>
  <c r="AE869" i="1" s="1"/>
  <c r="AD837" i="1"/>
  <c r="AE837" i="1" s="1"/>
  <c r="AD805" i="1"/>
  <c r="AE805" i="1" s="1"/>
  <c r="AD781" i="1"/>
  <c r="AE781" i="1" s="1"/>
  <c r="AD757" i="1"/>
  <c r="AE757" i="1" s="1"/>
  <c r="AD733" i="1"/>
  <c r="AE733" i="1" s="1"/>
  <c r="AD701" i="1"/>
  <c r="AE701" i="1" s="1"/>
  <c r="AD677" i="1"/>
  <c r="AE677" i="1" s="1"/>
  <c r="AD645" i="1"/>
  <c r="AE645" i="1" s="1"/>
  <c r="AD605" i="1"/>
  <c r="AE605" i="1" s="1"/>
  <c r="AD565" i="1"/>
  <c r="AE565" i="1" s="1"/>
  <c r="AD525" i="1"/>
  <c r="AE525" i="1" s="1"/>
  <c r="AD485" i="1"/>
  <c r="AE485" i="1" s="1"/>
  <c r="AD445" i="1"/>
  <c r="AE445" i="1" s="1"/>
  <c r="AD405" i="1"/>
  <c r="AE405" i="1" s="1"/>
  <c r="AD341" i="1"/>
  <c r="AE341" i="1" s="1"/>
  <c r="AD221" i="1"/>
  <c r="AE221" i="1" s="1"/>
  <c r="AD181" i="1"/>
  <c r="AE181" i="1" s="1"/>
  <c r="AD149" i="1"/>
  <c r="AE149" i="1" s="1"/>
  <c r="AD109" i="1"/>
  <c r="AE109" i="1" s="1"/>
  <c r="AD61" i="1"/>
  <c r="AE61" i="1" s="1"/>
  <c r="AE21" i="1"/>
  <c r="AD21" i="1"/>
  <c r="AD874" i="1"/>
  <c r="AE874" i="1" s="1"/>
  <c r="AD810" i="1"/>
  <c r="AE810" i="1" s="1"/>
  <c r="AD722" i="1"/>
  <c r="AE722" i="1" s="1"/>
  <c r="AD650" i="1"/>
  <c r="AE650" i="1" s="1"/>
  <c r="AD578" i="1"/>
  <c r="AE578" i="1" s="1"/>
  <c r="AD490" i="1"/>
  <c r="AE490" i="1" s="1"/>
  <c r="AD410" i="1"/>
  <c r="AE410" i="1" s="1"/>
  <c r="AD314" i="1"/>
  <c r="AE314" i="1" s="1"/>
  <c r="AD170" i="1"/>
  <c r="AE170" i="1" s="1"/>
  <c r="AD34" i="1"/>
  <c r="AE34" i="1" s="1"/>
  <c r="AD866" i="1"/>
  <c r="AE866" i="1" s="1"/>
  <c r="AD770" i="1"/>
  <c r="AE770" i="1" s="1"/>
  <c r="AD658" i="1"/>
  <c r="AE658" i="1"/>
  <c r="AD602" i="1"/>
  <c r="AE602" i="1" s="1"/>
  <c r="AD498" i="1"/>
  <c r="AE498" i="1" s="1"/>
  <c r="AD426" i="1"/>
  <c r="AE426" i="1" s="1"/>
  <c r="AD346" i="1"/>
  <c r="AE346" i="1" s="1"/>
  <c r="AD226" i="1"/>
  <c r="AE226" i="1" s="1"/>
  <c r="AD82" i="1"/>
  <c r="AE82" i="1" s="1"/>
  <c r="AD625" i="1"/>
  <c r="AE625" i="1" s="1"/>
  <c r="AE858" i="1"/>
  <c r="AD858" i="1"/>
  <c r="AD794" i="1"/>
  <c r="AE794" i="1" s="1"/>
  <c r="AD762" i="1"/>
  <c r="AE762" i="1" s="1"/>
  <c r="AD714" i="1"/>
  <c r="AE714" i="1" s="1"/>
  <c r="AD682" i="1"/>
  <c r="AE682" i="1" s="1"/>
  <c r="AD642" i="1"/>
  <c r="AE642" i="1" s="1"/>
  <c r="AD554" i="1"/>
  <c r="AE554" i="1" s="1"/>
  <c r="AD514" i="1"/>
  <c r="AE514" i="1" s="1"/>
  <c r="AD482" i="1"/>
  <c r="AE482" i="1" s="1"/>
  <c r="AD458" i="1"/>
  <c r="AE458" i="1" s="1"/>
  <c r="AD434" i="1"/>
  <c r="AE434" i="1" s="1"/>
  <c r="AD378" i="1"/>
  <c r="AE378" i="1" s="1"/>
  <c r="AD330" i="1"/>
  <c r="AE330" i="1" s="1"/>
  <c r="AD274" i="1"/>
  <c r="AE274" i="1" s="1"/>
  <c r="AD250" i="1"/>
  <c r="AE250" i="1" s="1"/>
  <c r="AD210" i="1"/>
  <c r="AE210" i="1" s="1"/>
  <c r="AD186" i="1"/>
  <c r="AE186" i="1" s="1"/>
  <c r="AD130" i="1"/>
  <c r="AE130" i="1" s="1"/>
  <c r="AD98" i="1"/>
  <c r="AE98" i="1" s="1"/>
  <c r="AD66" i="1"/>
  <c r="AE66" i="1" s="1"/>
  <c r="AD42" i="1"/>
  <c r="AE42" i="1" s="1"/>
  <c r="AD857" i="1"/>
  <c r="AE857" i="1" s="1"/>
  <c r="AD833" i="1"/>
  <c r="AE833" i="1" s="1"/>
  <c r="AD793" i="1"/>
  <c r="AE793" i="1" s="1"/>
  <c r="AD753" i="1"/>
  <c r="AE753" i="1" s="1"/>
  <c r="AD713" i="1"/>
  <c r="AE713" i="1" s="1"/>
  <c r="AD673" i="1"/>
  <c r="AE673" i="1" s="1"/>
  <c r="AD641" i="1"/>
  <c r="AE641" i="1" s="1"/>
  <c r="AD593" i="1"/>
  <c r="AE593" i="1" s="1"/>
  <c r="AD553" i="1"/>
  <c r="AE553" i="1" s="1"/>
  <c r="AD513" i="1"/>
  <c r="AE513" i="1" s="1"/>
  <c r="AD473" i="1"/>
  <c r="AE473" i="1" s="1"/>
  <c r="AD433" i="1"/>
  <c r="AE433" i="1" s="1"/>
  <c r="AD393" i="1"/>
  <c r="AE393" i="1" s="1"/>
  <c r="AD369" i="1"/>
  <c r="AE369" i="1" s="1"/>
  <c r="AD329" i="1"/>
  <c r="AE329" i="1" s="1"/>
  <c r="AD289" i="1"/>
  <c r="AE289" i="1" s="1"/>
  <c r="AD257" i="1"/>
  <c r="AE257" i="1" s="1"/>
  <c r="AD217" i="1"/>
  <c r="AE217" i="1" s="1"/>
  <c r="AD185" i="1"/>
  <c r="AE185" i="1" s="1"/>
  <c r="AD145" i="1"/>
  <c r="AE145" i="1" s="1"/>
  <c r="AD105" i="1"/>
  <c r="AE105" i="1" s="1"/>
  <c r="AD73" i="1"/>
  <c r="AE73" i="1" s="1"/>
  <c r="AD33" i="1"/>
  <c r="AE33" i="1" s="1"/>
  <c r="AD888" i="1"/>
  <c r="AE888" i="1" s="1"/>
  <c r="AD872" i="1"/>
  <c r="AE872" i="1" s="1"/>
  <c r="AD856" i="1"/>
  <c r="AE856" i="1" s="1"/>
  <c r="AD832" i="1"/>
  <c r="AE832" i="1" s="1"/>
  <c r="AD816" i="1"/>
  <c r="AE816" i="1" s="1"/>
  <c r="AD808" i="1"/>
  <c r="AE808" i="1" s="1"/>
  <c r="AD792" i="1"/>
  <c r="AE792" i="1" s="1"/>
  <c r="AD776" i="1"/>
  <c r="AE776" i="1" s="1"/>
  <c r="AD760" i="1"/>
  <c r="AE760" i="1" s="1"/>
  <c r="AD736" i="1"/>
  <c r="AE736" i="1" s="1"/>
  <c r="AD720" i="1"/>
  <c r="AE720" i="1" s="1"/>
  <c r="AD712" i="1"/>
  <c r="AE712" i="1" s="1"/>
  <c r="AD696" i="1"/>
  <c r="AE696" i="1" s="1"/>
  <c r="AD680" i="1"/>
  <c r="AE680" i="1" s="1"/>
  <c r="AD664" i="1"/>
  <c r="AE664" i="1" s="1"/>
  <c r="AD648" i="1"/>
  <c r="AE648" i="1" s="1"/>
  <c r="AD632" i="1"/>
  <c r="AE632" i="1" s="1"/>
  <c r="AD624" i="1"/>
  <c r="AE624" i="1" s="1"/>
  <c r="AD608" i="1"/>
  <c r="AE608" i="1" s="1"/>
  <c r="AD592" i="1"/>
  <c r="AE592" i="1" s="1"/>
  <c r="AD576" i="1"/>
  <c r="AE576" i="1" s="1"/>
  <c r="AD560" i="1"/>
  <c r="AE560" i="1" s="1"/>
  <c r="AD544" i="1"/>
  <c r="AE544" i="1" s="1"/>
  <c r="AD528" i="1"/>
  <c r="AE528" i="1" s="1"/>
  <c r="AD512" i="1"/>
  <c r="AE512" i="1" s="1"/>
  <c r="AE496" i="1"/>
  <c r="AD496" i="1"/>
  <c r="AD480" i="1"/>
  <c r="AE480" i="1" s="1"/>
  <c r="AD464" i="1"/>
  <c r="AE464" i="1" s="1"/>
  <c r="AD448" i="1"/>
  <c r="AE448" i="1" s="1"/>
  <c r="AD424" i="1"/>
  <c r="AE424" i="1" s="1"/>
  <c r="AD408" i="1"/>
  <c r="AE408" i="1" s="1"/>
  <c r="AD400" i="1"/>
  <c r="AE400" i="1" s="1"/>
  <c r="AD384" i="1"/>
  <c r="AE384" i="1" s="1"/>
  <c r="AD368" i="1"/>
  <c r="AE368" i="1" s="1"/>
  <c r="AD352" i="1"/>
  <c r="AE352" i="1" s="1"/>
  <c r="AD336" i="1"/>
  <c r="AE336" i="1" s="1"/>
  <c r="AD320" i="1"/>
  <c r="AE320" i="1" s="1"/>
  <c r="AD304" i="1"/>
  <c r="AE304" i="1" s="1"/>
  <c r="AD288" i="1"/>
  <c r="AE288" i="1" s="1"/>
  <c r="AD272" i="1"/>
  <c r="AE272" i="1" s="1"/>
  <c r="AD256" i="1"/>
  <c r="AE256" i="1" s="1"/>
  <c r="AD240" i="1"/>
  <c r="AE240" i="1" s="1"/>
  <c r="AD224" i="1"/>
  <c r="AE224" i="1" s="1"/>
  <c r="AD208" i="1"/>
  <c r="AE208" i="1" s="1"/>
  <c r="AD192" i="1"/>
  <c r="AE192" i="1" s="1"/>
  <c r="AD176" i="1"/>
  <c r="AE176" i="1" s="1"/>
  <c r="AD160" i="1"/>
  <c r="AE160" i="1" s="1"/>
  <c r="AD144" i="1"/>
  <c r="AE144" i="1" s="1"/>
  <c r="AD128" i="1"/>
  <c r="AE128" i="1" s="1"/>
  <c r="AD112" i="1"/>
  <c r="AE112" i="1" s="1"/>
  <c r="AD96" i="1"/>
  <c r="AE96" i="1" s="1"/>
  <c r="AD80" i="1"/>
  <c r="AE80" i="1" s="1"/>
  <c r="AD64" i="1"/>
  <c r="AE64" i="1" s="1"/>
  <c r="AD48" i="1"/>
  <c r="AE48" i="1" s="1"/>
  <c r="AD32" i="1"/>
  <c r="AE32" i="1" s="1"/>
  <c r="AD16" i="1"/>
  <c r="AE16" i="1" s="1"/>
  <c r="AD834" i="1"/>
  <c r="AE834" i="1" s="1"/>
  <c r="AD786" i="1"/>
  <c r="AE786" i="1" s="1"/>
  <c r="AD738" i="1"/>
  <c r="AE738" i="1" s="1"/>
  <c r="AD674" i="1"/>
  <c r="AE674" i="1" s="1"/>
  <c r="AD626" i="1"/>
  <c r="AE626" i="1" s="1"/>
  <c r="AD570" i="1"/>
  <c r="AE570" i="1" s="1"/>
  <c r="AD522" i="1"/>
  <c r="AE522" i="1" s="1"/>
  <c r="AD442" i="1"/>
  <c r="AE442" i="1" s="1"/>
  <c r="AD394" i="1"/>
  <c r="AE394" i="1" s="1"/>
  <c r="AD354" i="1"/>
  <c r="AE354" i="1" s="1"/>
  <c r="AD306" i="1"/>
  <c r="AE306" i="1" s="1"/>
  <c r="AD258" i="1"/>
  <c r="AE258" i="1" s="1"/>
  <c r="AD218" i="1"/>
  <c r="AE218" i="1" s="1"/>
  <c r="AD146" i="1"/>
  <c r="AE146" i="1" s="1"/>
  <c r="AD114" i="1"/>
  <c r="AE114" i="1" s="1"/>
  <c r="AD74" i="1"/>
  <c r="AE74" i="1" s="1"/>
  <c r="AD26" i="1"/>
  <c r="AE26" i="1" s="1"/>
  <c r="AD897" i="1"/>
  <c r="AE897" i="1" s="1"/>
  <c r="AD865" i="1"/>
  <c r="AE865" i="1" s="1"/>
  <c r="AD841" i="1"/>
  <c r="AE841" i="1" s="1"/>
  <c r="AD809" i="1"/>
  <c r="AE809" i="1" s="1"/>
  <c r="AD769" i="1"/>
  <c r="AE769" i="1" s="1"/>
  <c r="AD729" i="1"/>
  <c r="AE729" i="1" s="1"/>
  <c r="AD681" i="1"/>
  <c r="AE681" i="1" s="1"/>
  <c r="AD633" i="1"/>
  <c r="AE633" i="1" s="1"/>
  <c r="AD577" i="1"/>
  <c r="AE577" i="1" s="1"/>
  <c r="AD545" i="1"/>
  <c r="AE545" i="1" s="1"/>
  <c r="AD505" i="1"/>
  <c r="AE505" i="1" s="1"/>
  <c r="AD481" i="1"/>
  <c r="AE481" i="1" s="1"/>
  <c r="AD441" i="1"/>
  <c r="AE441" i="1" s="1"/>
  <c r="AD401" i="1"/>
  <c r="AE401" i="1" s="1"/>
  <c r="AD353" i="1"/>
  <c r="AE353" i="1" s="1"/>
  <c r="AD313" i="1"/>
  <c r="AE313" i="1" s="1"/>
  <c r="AD297" i="1"/>
  <c r="AE297" i="1" s="1"/>
  <c r="AD241" i="1"/>
  <c r="AE241" i="1" s="1"/>
  <c r="AD209" i="1"/>
  <c r="AE209" i="1" s="1"/>
  <c r="AD169" i="1"/>
  <c r="AE169" i="1" s="1"/>
  <c r="AD129" i="1"/>
  <c r="AE129" i="1" s="1"/>
  <c r="AD97" i="1"/>
  <c r="AE97" i="1" s="1"/>
  <c r="AD57" i="1"/>
  <c r="AE57" i="1" s="1"/>
  <c r="AD17" i="1"/>
  <c r="AE17" i="1" s="1"/>
  <c r="AD928" i="1"/>
  <c r="AE928" i="1" s="1"/>
  <c r="AD896" i="1"/>
  <c r="AE896" i="1" s="1"/>
  <c r="AD880" i="1"/>
  <c r="AE880" i="1" s="1"/>
  <c r="AD864" i="1"/>
  <c r="AE864" i="1" s="1"/>
  <c r="AD848" i="1"/>
  <c r="AE848" i="1" s="1"/>
  <c r="AD840" i="1"/>
  <c r="AE840" i="1" s="1"/>
  <c r="AD824" i="1"/>
  <c r="AE824" i="1" s="1"/>
  <c r="AD800" i="1"/>
  <c r="AE800" i="1" s="1"/>
  <c r="AD784" i="1"/>
  <c r="AE784" i="1" s="1"/>
  <c r="AD768" i="1"/>
  <c r="AE768" i="1" s="1"/>
  <c r="AD752" i="1"/>
  <c r="AE752" i="1" s="1"/>
  <c r="AD744" i="1"/>
  <c r="AE744" i="1" s="1"/>
  <c r="AD728" i="1"/>
  <c r="AE728" i="1" s="1"/>
  <c r="AD704" i="1"/>
  <c r="AE704" i="1" s="1"/>
  <c r="AD688" i="1"/>
  <c r="AE688" i="1" s="1"/>
  <c r="AD672" i="1"/>
  <c r="AE672" i="1" s="1"/>
  <c r="AD656" i="1"/>
  <c r="AE656" i="1" s="1"/>
  <c r="AD640" i="1"/>
  <c r="AE640" i="1" s="1"/>
  <c r="AD616" i="1"/>
  <c r="AE616" i="1" s="1"/>
  <c r="AD600" i="1"/>
  <c r="AE600" i="1" s="1"/>
  <c r="AD584" i="1"/>
  <c r="AE584" i="1" s="1"/>
  <c r="AD568" i="1"/>
  <c r="AE568" i="1" s="1"/>
  <c r="AD552" i="1"/>
  <c r="AE552" i="1" s="1"/>
  <c r="AD536" i="1"/>
  <c r="AE536" i="1" s="1"/>
  <c r="AD520" i="1"/>
  <c r="AE520" i="1" s="1"/>
  <c r="AD504" i="1"/>
  <c r="AE504" i="1" s="1"/>
  <c r="AD488" i="1"/>
  <c r="AE488" i="1" s="1"/>
  <c r="AD472" i="1"/>
  <c r="AE472" i="1" s="1"/>
  <c r="AD456" i="1"/>
  <c r="AE456" i="1" s="1"/>
  <c r="AD440" i="1"/>
  <c r="AE440" i="1" s="1"/>
  <c r="AD432" i="1"/>
  <c r="AE432" i="1" s="1"/>
  <c r="AD416" i="1"/>
  <c r="AE416" i="1" s="1"/>
  <c r="AD392" i="1"/>
  <c r="AE392" i="1" s="1"/>
  <c r="AD376" i="1"/>
  <c r="AE376" i="1" s="1"/>
  <c r="AD360" i="1"/>
  <c r="AE360" i="1" s="1"/>
  <c r="AD344" i="1"/>
  <c r="AE344" i="1" s="1"/>
  <c r="AD328" i="1"/>
  <c r="AE328" i="1" s="1"/>
  <c r="AD312" i="1"/>
  <c r="AE312" i="1" s="1"/>
  <c r="AD296" i="1"/>
  <c r="AE296" i="1" s="1"/>
  <c r="AD280" i="1"/>
  <c r="AE280" i="1" s="1"/>
  <c r="AD264" i="1"/>
  <c r="AE264" i="1" s="1"/>
  <c r="AD248" i="1"/>
  <c r="AE248" i="1" s="1"/>
  <c r="AD232" i="1"/>
  <c r="AE232" i="1" s="1"/>
  <c r="AD216" i="1"/>
  <c r="AE216" i="1" s="1"/>
  <c r="AD200" i="1"/>
  <c r="AE200" i="1" s="1"/>
  <c r="AD184" i="1"/>
  <c r="AE184" i="1" s="1"/>
  <c r="AD168" i="1"/>
  <c r="AE168" i="1" s="1"/>
  <c r="AD152" i="1"/>
  <c r="AE152" i="1" s="1"/>
  <c r="AD136" i="1"/>
  <c r="AE136" i="1" s="1"/>
  <c r="AD120" i="1"/>
  <c r="AE120" i="1" s="1"/>
  <c r="AD104" i="1"/>
  <c r="AE104" i="1" s="1"/>
  <c r="AD88" i="1"/>
  <c r="AE88" i="1" s="1"/>
  <c r="AD72" i="1"/>
  <c r="AE72" i="1" s="1"/>
  <c r="AD56" i="1"/>
  <c r="AE56" i="1" s="1"/>
  <c r="AD40" i="1"/>
  <c r="AE40" i="1" s="1"/>
  <c r="AD24" i="1"/>
  <c r="AE24" i="1" s="1"/>
  <c r="AD8" i="1"/>
  <c r="AE8" i="1" s="1"/>
  <c r="AD927" i="1"/>
  <c r="AE927" i="1" s="1"/>
  <c r="AD895" i="1"/>
  <c r="AE895" i="1" s="1"/>
  <c r="AD887" i="1"/>
  <c r="AE887" i="1" s="1"/>
  <c r="AD879" i="1"/>
  <c r="AE879" i="1" s="1"/>
  <c r="AD871" i="1"/>
  <c r="AE871" i="1" s="1"/>
  <c r="AD863" i="1"/>
  <c r="AE863" i="1" s="1"/>
  <c r="AD855" i="1"/>
  <c r="AE855" i="1" s="1"/>
  <c r="AD847" i="1"/>
  <c r="AE847" i="1" s="1"/>
  <c r="AD839" i="1"/>
  <c r="AE839" i="1" s="1"/>
  <c r="AD831" i="1"/>
  <c r="AE831" i="1" s="1"/>
  <c r="AD823" i="1"/>
  <c r="AE823" i="1" s="1"/>
  <c r="AD815" i="1"/>
  <c r="AE815" i="1" s="1"/>
  <c r="AD807" i="1"/>
  <c r="AE807" i="1" s="1"/>
  <c r="AD799" i="1"/>
  <c r="AE799" i="1" s="1"/>
  <c r="AD791" i="1"/>
  <c r="AE791" i="1" s="1"/>
  <c r="AD783" i="1"/>
  <c r="AE783" i="1" s="1"/>
  <c r="AD775" i="1"/>
  <c r="AE775" i="1" s="1"/>
  <c r="AD767" i="1"/>
  <c r="AE767" i="1" s="1"/>
  <c r="AD759" i="1"/>
  <c r="AE759" i="1" s="1"/>
  <c r="AD751" i="1"/>
  <c r="AE751" i="1" s="1"/>
  <c r="AD743" i="1"/>
  <c r="AE743" i="1" s="1"/>
  <c r="AD735" i="1"/>
  <c r="AE735" i="1" s="1"/>
  <c r="AD727" i="1"/>
  <c r="AE727" i="1" s="1"/>
  <c r="AD719" i="1"/>
  <c r="AE719" i="1" s="1"/>
  <c r="AD711" i="1"/>
  <c r="AE711" i="1" s="1"/>
  <c r="AD703" i="1"/>
  <c r="AE703" i="1" s="1"/>
  <c r="AD695" i="1"/>
  <c r="AE695" i="1" s="1"/>
  <c r="AD687" i="1"/>
  <c r="AE687" i="1" s="1"/>
  <c r="AD679" i="1"/>
  <c r="AE679" i="1" s="1"/>
  <c r="AD671" i="1"/>
  <c r="AE671" i="1" s="1"/>
  <c r="AD663" i="1"/>
  <c r="AE663" i="1" s="1"/>
  <c r="AD655" i="1"/>
  <c r="AE655" i="1" s="1"/>
  <c r="AD647" i="1"/>
  <c r="AE647" i="1" s="1"/>
  <c r="AD639" i="1"/>
  <c r="AE639" i="1" s="1"/>
  <c r="AD631" i="1"/>
  <c r="AE631" i="1" s="1"/>
  <c r="AD623" i="1"/>
  <c r="AE623" i="1" s="1"/>
  <c r="AD615" i="1"/>
  <c r="AE615" i="1" s="1"/>
  <c r="AD607" i="1"/>
  <c r="AE607" i="1" s="1"/>
  <c r="AD599" i="1"/>
  <c r="AE599" i="1" s="1"/>
  <c r="AD591" i="1"/>
  <c r="AE591" i="1" s="1"/>
  <c r="AD583" i="1"/>
  <c r="AE583" i="1" s="1"/>
  <c r="AD575" i="1"/>
  <c r="AE575" i="1" s="1"/>
  <c r="AD567" i="1"/>
  <c r="AE567" i="1" s="1"/>
  <c r="AD559" i="1"/>
  <c r="AE559" i="1" s="1"/>
  <c r="AD551" i="1"/>
  <c r="AE551" i="1" s="1"/>
  <c r="AD543" i="1"/>
  <c r="AE543" i="1" s="1"/>
  <c r="AD535" i="1"/>
  <c r="AE535" i="1" s="1"/>
  <c r="AD527" i="1"/>
  <c r="AE527" i="1" s="1"/>
  <c r="AD519" i="1"/>
  <c r="AE519" i="1" s="1"/>
  <c r="AD511" i="1"/>
  <c r="AE511" i="1" s="1"/>
  <c r="AD503" i="1"/>
  <c r="AE503" i="1" s="1"/>
  <c r="AD495" i="1"/>
  <c r="AE495" i="1" s="1"/>
  <c r="AD487" i="1"/>
  <c r="AE487" i="1" s="1"/>
  <c r="AD479" i="1"/>
  <c r="AE479" i="1" s="1"/>
  <c r="AD471" i="1"/>
  <c r="AE471" i="1" s="1"/>
  <c r="AD463" i="1"/>
  <c r="AE463" i="1" s="1"/>
  <c r="AD455" i="1"/>
  <c r="AE455" i="1" s="1"/>
  <c r="AD447" i="1"/>
  <c r="AE447" i="1" s="1"/>
  <c r="AD439" i="1"/>
  <c r="AE439" i="1" s="1"/>
  <c r="AD431" i="1"/>
  <c r="AE431" i="1" s="1"/>
  <c r="AD423" i="1"/>
  <c r="AE423" i="1" s="1"/>
  <c r="AD415" i="1"/>
  <c r="AE415" i="1" s="1"/>
  <c r="AD407" i="1"/>
  <c r="AE407" i="1" s="1"/>
  <c r="AD399" i="1"/>
  <c r="AE399" i="1" s="1"/>
  <c r="AD391" i="1"/>
  <c r="AE391" i="1" s="1"/>
  <c r="AD383" i="1"/>
  <c r="AE383" i="1" s="1"/>
  <c r="AD375" i="1"/>
  <c r="AE375" i="1" s="1"/>
  <c r="AD367" i="1"/>
  <c r="AE367" i="1" s="1"/>
  <c r="AD359" i="1"/>
  <c r="AE359" i="1" s="1"/>
  <c r="AD351" i="1"/>
  <c r="AE351" i="1" s="1"/>
  <c r="AD343" i="1"/>
  <c r="AE343" i="1" s="1"/>
  <c r="AD335" i="1"/>
  <c r="AE335" i="1" s="1"/>
  <c r="AD327" i="1"/>
  <c r="AE327" i="1" s="1"/>
  <c r="AD319" i="1"/>
  <c r="AE319" i="1" s="1"/>
  <c r="AD311" i="1"/>
  <c r="AE311" i="1" s="1"/>
  <c r="AD930" i="1"/>
  <c r="AE930" i="1" s="1"/>
  <c r="AD882" i="1"/>
  <c r="AE882" i="1" s="1"/>
  <c r="AD842" i="1"/>
  <c r="AE842" i="1" s="1"/>
  <c r="AD802" i="1"/>
  <c r="AE802" i="1" s="1"/>
  <c r="AD746" i="1"/>
  <c r="AE746" i="1" s="1"/>
  <c r="AD698" i="1"/>
  <c r="AE698" i="1" s="1"/>
  <c r="AD618" i="1"/>
  <c r="AE618" i="1" s="1"/>
  <c r="AD562" i="1"/>
  <c r="AE562" i="1" s="1"/>
  <c r="AD506" i="1"/>
  <c r="AE506" i="1" s="1"/>
  <c r="AD418" i="1"/>
  <c r="AE418" i="1" s="1"/>
  <c r="AD322" i="1"/>
  <c r="AE322" i="1" s="1"/>
  <c r="AD266" i="1"/>
  <c r="AE266" i="1" s="1"/>
  <c r="AD234" i="1"/>
  <c r="AE234" i="1" s="1"/>
  <c r="AD194" i="1"/>
  <c r="AE194" i="1" s="1"/>
  <c r="AD138" i="1"/>
  <c r="AE138" i="1" s="1"/>
  <c r="AD106" i="1"/>
  <c r="AE106" i="1" s="1"/>
  <c r="AD58" i="1"/>
  <c r="AE58" i="1" s="1"/>
  <c r="AD817" i="1"/>
  <c r="AE817" i="1" s="1"/>
  <c r="AD761" i="1"/>
  <c r="AE761" i="1" s="1"/>
  <c r="AD737" i="1"/>
  <c r="AE737" i="1" s="1"/>
  <c r="AD689" i="1"/>
  <c r="AE689" i="1" s="1"/>
  <c r="AD657" i="1"/>
  <c r="AE657" i="1" s="1"/>
  <c r="AD601" i="1"/>
  <c r="AE601" i="1" s="1"/>
  <c r="AD569" i="1"/>
  <c r="AE569" i="1" s="1"/>
  <c r="AD529" i="1"/>
  <c r="AE529" i="1" s="1"/>
  <c r="AD489" i="1"/>
  <c r="AE489" i="1" s="1"/>
  <c r="AD449" i="1"/>
  <c r="AE449" i="1" s="1"/>
  <c r="AD409" i="1"/>
  <c r="AE409" i="1" s="1"/>
  <c r="AD361" i="1"/>
  <c r="AE361" i="1" s="1"/>
  <c r="AD321" i="1"/>
  <c r="AE321" i="1" s="1"/>
  <c r="AD281" i="1"/>
  <c r="AE281" i="1" s="1"/>
  <c r="AD249" i="1"/>
  <c r="AE249" i="1" s="1"/>
  <c r="AD193" i="1"/>
  <c r="AE193" i="1" s="1"/>
  <c r="AD161" i="1"/>
  <c r="AE161" i="1" s="1"/>
  <c r="AD121" i="1"/>
  <c r="AE121" i="1" s="1"/>
  <c r="AD89" i="1"/>
  <c r="AE89" i="1" s="1"/>
  <c r="AD49" i="1"/>
  <c r="AE49" i="1" s="1"/>
  <c r="AD9" i="1"/>
  <c r="AE9" i="1" s="1"/>
  <c r="AD886" i="1"/>
  <c r="AE886" i="1" s="1"/>
  <c r="AD862" i="1"/>
  <c r="AE862" i="1" s="1"/>
  <c r="AD838" i="1"/>
  <c r="AE838" i="1" s="1"/>
  <c r="AD814" i="1"/>
  <c r="AE814" i="1" s="1"/>
  <c r="AD782" i="1"/>
  <c r="AE782" i="1" s="1"/>
  <c r="AD758" i="1"/>
  <c r="AE758" i="1" s="1"/>
  <c r="AD726" i="1"/>
  <c r="AE726" i="1" s="1"/>
  <c r="AD702" i="1"/>
  <c r="AE702" i="1" s="1"/>
  <c r="AD670" i="1"/>
  <c r="AE670" i="1" s="1"/>
  <c r="AD646" i="1"/>
  <c r="AE646" i="1" s="1"/>
  <c r="AD614" i="1"/>
  <c r="AE614" i="1" s="1"/>
  <c r="AD582" i="1"/>
  <c r="AE582" i="1" s="1"/>
  <c r="AD558" i="1"/>
  <c r="AE558" i="1" s="1"/>
  <c r="AD526" i="1"/>
  <c r="AE526" i="1" s="1"/>
  <c r="AD510" i="1"/>
  <c r="AE510" i="1" s="1"/>
  <c r="AD486" i="1"/>
  <c r="AE486" i="1" s="1"/>
  <c r="AD454" i="1"/>
  <c r="AE454" i="1" s="1"/>
  <c r="AD422" i="1"/>
  <c r="AE422" i="1" s="1"/>
  <c r="AD390" i="1"/>
  <c r="AE390" i="1" s="1"/>
  <c r="AD358" i="1"/>
  <c r="AE358" i="1" s="1"/>
  <c r="AD342" i="1"/>
  <c r="AE342" i="1" s="1"/>
  <c r="AD310" i="1"/>
  <c r="AE310" i="1" s="1"/>
  <c r="AD286" i="1"/>
  <c r="AE286" i="1" s="1"/>
  <c r="AD262" i="1"/>
  <c r="AE262" i="1" s="1"/>
  <c r="AD238" i="1"/>
  <c r="AE238" i="1" s="1"/>
  <c r="AD222" i="1"/>
  <c r="AE222" i="1" s="1"/>
  <c r="AD190" i="1"/>
  <c r="AE190" i="1" s="1"/>
  <c r="AD174" i="1"/>
  <c r="AE174" i="1" s="1"/>
  <c r="AD158" i="1"/>
  <c r="AE158" i="1" s="1"/>
  <c r="AD142" i="1"/>
  <c r="AE142" i="1" s="1"/>
  <c r="AD118" i="1"/>
  <c r="AE118" i="1" s="1"/>
  <c r="AD94" i="1"/>
  <c r="AE94" i="1" s="1"/>
  <c r="AD78" i="1"/>
  <c r="AE78" i="1" s="1"/>
  <c r="AD54" i="1"/>
  <c r="AE54" i="1" s="1"/>
  <c r="AD46" i="1"/>
  <c r="AE46" i="1" s="1"/>
  <c r="AD22" i="1"/>
  <c r="AE22" i="1" s="1"/>
  <c r="AD931" i="1"/>
  <c r="AE931" i="1" s="1"/>
  <c r="AE691" i="1"/>
  <c r="AE255" i="1"/>
  <c r="AE175" i="1"/>
  <c r="AE95" i="1"/>
  <c r="AD828" i="1"/>
  <c r="AE828" i="1" s="1"/>
  <c r="AD812" i="1"/>
  <c r="AE812" i="1" s="1"/>
  <c r="AD636" i="1"/>
  <c r="AE636" i="1" s="1"/>
  <c r="AE932" i="1"/>
  <c r="AE892" i="1"/>
  <c r="AE852" i="1"/>
  <c r="AE159" i="1"/>
  <c r="AE79" i="1"/>
  <c r="AD295" i="1"/>
  <c r="AE295" i="1" s="1"/>
  <c r="AD271" i="1"/>
  <c r="AE271" i="1" s="1"/>
  <c r="AD263" i="1"/>
  <c r="AE263" i="1" s="1"/>
  <c r="AD247" i="1"/>
  <c r="AE247" i="1" s="1"/>
  <c r="AD223" i="1"/>
  <c r="AE223" i="1" s="1"/>
  <c r="AE215" i="1"/>
  <c r="AD199" i="1"/>
  <c r="AE199" i="1" s="1"/>
  <c r="AE191" i="1"/>
  <c r="AD183" i="1"/>
  <c r="AE183" i="1" s="1"/>
  <c r="AE167" i="1"/>
  <c r="AD143" i="1"/>
  <c r="AE143" i="1" s="1"/>
  <c r="AD135" i="1"/>
  <c r="AE135" i="1" s="1"/>
  <c r="AD119" i="1"/>
  <c r="AE119" i="1" s="1"/>
  <c r="AE87" i="1"/>
  <c r="AD71" i="1"/>
  <c r="AE71" i="1" s="1"/>
  <c r="AE63" i="1"/>
  <c r="AD55" i="1"/>
  <c r="AE55" i="1" s="1"/>
  <c r="AE39" i="1"/>
  <c r="AD31" i="1"/>
  <c r="AE31" i="1" s="1"/>
  <c r="AD15" i="1"/>
  <c r="AE15" i="1" s="1"/>
  <c r="AE7" i="1"/>
  <c r="AD239" i="1"/>
  <c r="AE239" i="1" s="1"/>
  <c r="AD111" i="1"/>
  <c r="AE111" i="1" s="1"/>
  <c r="AE891" i="1"/>
  <c r="AE851" i="1"/>
  <c r="AD748" i="1"/>
  <c r="AE748" i="1" s="1"/>
  <c r="AD303" i="1"/>
  <c r="AE303" i="1" s="1"/>
  <c r="AD231" i="1"/>
  <c r="AE231" i="1" s="1"/>
  <c r="AD103" i="1"/>
  <c r="AE103" i="1" s="1"/>
  <c r="AD820" i="1"/>
  <c r="AD127" i="1"/>
  <c r="AE127" i="1" s="1"/>
  <c r="AD23" i="1"/>
  <c r="AE876" i="1"/>
  <c r="AE668" i="1"/>
  <c r="AE287" i="1"/>
  <c r="AE207" i="1"/>
  <c r="AE47" i="1"/>
  <c r="AD924" i="1"/>
  <c r="AE924" i="1" s="1"/>
  <c r="AE900" i="1"/>
  <c r="AE884" i="1"/>
  <c r="AD860" i="1"/>
  <c r="AE860" i="1" s="1"/>
  <c r="AE844" i="1"/>
  <c r="AE836" i="1"/>
  <c r="AD804" i="1"/>
  <c r="AE804" i="1" s="1"/>
  <c r="AD796" i="1"/>
  <c r="AE796" i="1" s="1"/>
  <c r="AE780" i="1"/>
  <c r="AE772" i="1"/>
  <c r="AE764" i="1"/>
  <c r="AE756" i="1"/>
  <c r="AD740" i="1"/>
  <c r="AE740" i="1" s="1"/>
  <c r="AD732" i="1"/>
  <c r="AE732" i="1" s="1"/>
  <c r="AD724" i="1"/>
  <c r="AE724" i="1" s="1"/>
  <c r="AE708" i="1"/>
  <c r="AE692" i="1"/>
  <c r="AD676" i="1"/>
  <c r="AE676" i="1" s="1"/>
  <c r="AD660" i="1"/>
  <c r="AE660" i="1" s="1"/>
  <c r="AE652" i="1"/>
  <c r="AE620" i="1"/>
  <c r="AD612" i="1"/>
  <c r="AE612" i="1" s="1"/>
  <c r="AD596" i="1"/>
  <c r="AE596" i="1" s="1"/>
  <c r="AE588" i="1"/>
  <c r="AE572" i="1"/>
  <c r="AE564" i="1"/>
  <c r="AD556" i="1"/>
  <c r="AE556" i="1" s="1"/>
  <c r="AD548" i="1"/>
  <c r="AE548" i="1" s="1"/>
  <c r="AD540" i="1"/>
  <c r="AE540" i="1" s="1"/>
  <c r="AD532" i="1"/>
  <c r="AE532" i="1" s="1"/>
  <c r="AE516" i="1"/>
  <c r="AE508" i="1"/>
  <c r="AE500" i="1"/>
  <c r="AD492" i="1"/>
  <c r="AE492" i="1" s="1"/>
  <c r="AD484" i="1"/>
  <c r="AE484" i="1" s="1"/>
  <c r="AD476" i="1"/>
  <c r="AE476" i="1" s="1"/>
  <c r="AD468" i="1"/>
  <c r="AE468" i="1" s="1"/>
  <c r="AD460" i="1"/>
  <c r="AE460" i="1" s="1"/>
  <c r="AD452" i="1"/>
  <c r="AE452" i="1" s="1"/>
  <c r="AD444" i="1"/>
  <c r="AE444" i="1" s="1"/>
  <c r="AD436" i="1"/>
  <c r="AE436" i="1" s="1"/>
  <c r="AD428" i="1"/>
  <c r="AE428" i="1" s="1"/>
  <c r="AD420" i="1"/>
  <c r="AE420" i="1" s="1"/>
  <c r="AD412" i="1"/>
  <c r="AE412" i="1" s="1"/>
  <c r="AD404" i="1"/>
  <c r="AE404" i="1" s="1"/>
  <c r="AD396" i="1"/>
  <c r="AE396" i="1" s="1"/>
  <c r="AD388" i="1"/>
  <c r="AE388" i="1" s="1"/>
  <c r="AD380" i="1"/>
  <c r="AE380" i="1" s="1"/>
  <c r="AD372" i="1"/>
  <c r="AE372" i="1" s="1"/>
  <c r="AD364" i="1"/>
  <c r="AE364" i="1" s="1"/>
  <c r="AE356" i="1"/>
  <c r="AD356" i="1"/>
  <c r="AD348" i="1"/>
  <c r="AE348" i="1" s="1"/>
  <c r="AD340" i="1"/>
  <c r="AE340" i="1" s="1"/>
  <c r="AD332" i="1"/>
  <c r="AE332" i="1" s="1"/>
  <c r="AD324" i="1"/>
  <c r="AE324" i="1" s="1"/>
  <c r="AD316" i="1"/>
  <c r="AE316" i="1" s="1"/>
  <c r="AD308" i="1"/>
  <c r="AE308" i="1" s="1"/>
  <c r="AD300" i="1"/>
  <c r="AE300" i="1" s="1"/>
  <c r="AD292" i="1"/>
  <c r="AE292" i="1" s="1"/>
  <c r="AD284" i="1"/>
  <c r="AE284" i="1" s="1"/>
  <c r="AD276" i="1"/>
  <c r="AE276" i="1" s="1"/>
  <c r="AD268" i="1"/>
  <c r="AE268" i="1" s="1"/>
  <c r="AD260" i="1"/>
  <c r="AE260" i="1" s="1"/>
  <c r="AD252" i="1"/>
  <c r="AE252" i="1" s="1"/>
  <c r="AD244" i="1"/>
  <c r="AE244" i="1" s="1"/>
  <c r="AD236" i="1"/>
  <c r="AE236" i="1" s="1"/>
  <c r="AD228" i="1"/>
  <c r="AE228" i="1" s="1"/>
  <c r="AD220" i="1"/>
  <c r="AE220" i="1" s="1"/>
  <c r="AD212" i="1"/>
  <c r="AE212" i="1" s="1"/>
  <c r="AD204" i="1"/>
  <c r="AE204" i="1" s="1"/>
  <c r="AD196" i="1"/>
  <c r="AE196" i="1" s="1"/>
  <c r="AD188" i="1"/>
  <c r="AE188" i="1" s="1"/>
  <c r="AD180" i="1"/>
  <c r="AE180" i="1" s="1"/>
  <c r="AD172" i="1"/>
  <c r="AE172" i="1" s="1"/>
  <c r="AD164" i="1"/>
  <c r="AE164" i="1" s="1"/>
  <c r="AD156" i="1"/>
  <c r="AE156" i="1" s="1"/>
  <c r="AD148" i="1"/>
  <c r="AE148" i="1" s="1"/>
  <c r="AD140" i="1"/>
  <c r="AE140" i="1" s="1"/>
  <c r="AD132" i="1"/>
  <c r="AE132" i="1" s="1"/>
  <c r="AD124" i="1"/>
  <c r="AE124" i="1" s="1"/>
  <c r="AD116" i="1"/>
  <c r="AE116" i="1" s="1"/>
  <c r="AD108" i="1"/>
  <c r="AE108" i="1" s="1"/>
  <c r="AD100" i="1"/>
  <c r="AE100" i="1" s="1"/>
  <c r="AD92" i="1"/>
  <c r="AE92" i="1" s="1"/>
  <c r="AD84" i="1"/>
  <c r="AE84" i="1" s="1"/>
  <c r="AD76" i="1"/>
  <c r="AE76" i="1" s="1"/>
  <c r="AD68" i="1"/>
  <c r="AE68" i="1" s="1"/>
  <c r="AD60" i="1"/>
  <c r="AE60" i="1" s="1"/>
  <c r="AD52" i="1"/>
  <c r="AE52" i="1" s="1"/>
  <c r="AD44" i="1"/>
  <c r="AE44" i="1" s="1"/>
  <c r="AD36" i="1"/>
  <c r="AE36" i="1" s="1"/>
  <c r="AD28" i="1"/>
  <c r="AE28" i="1" s="1"/>
  <c r="AD20" i="1"/>
  <c r="AE20" i="1" s="1"/>
  <c r="AE12" i="1"/>
  <c r="AD4" i="1"/>
  <c r="AE4" i="1" s="1"/>
  <c r="AD644" i="1"/>
  <c r="AE644" i="1" s="1"/>
  <c r="AD628" i="1"/>
  <c r="AE628" i="1" s="1"/>
  <c r="AD580" i="1"/>
  <c r="AE580" i="1" s="1"/>
  <c r="AD279" i="1"/>
  <c r="AE279" i="1" s="1"/>
  <c r="AD151" i="1"/>
  <c r="AE151" i="1" s="1"/>
  <c r="AD923" i="1"/>
  <c r="AE923" i="1" s="1"/>
  <c r="AE899" i="1"/>
  <c r="AE883" i="1"/>
  <c r="AE867" i="1"/>
  <c r="AD859" i="1"/>
  <c r="AE859" i="1" s="1"/>
  <c r="AD843" i="1"/>
  <c r="AE843" i="1" s="1"/>
  <c r="AE835" i="1"/>
  <c r="AE827" i="1"/>
  <c r="AE819" i="1"/>
  <c r="AE811" i="1"/>
  <c r="AE803" i="1"/>
  <c r="AD795" i="1"/>
  <c r="AE795" i="1" s="1"/>
  <c r="AD787" i="1"/>
  <c r="AE787" i="1" s="1"/>
  <c r="AD779" i="1"/>
  <c r="AE779" i="1" s="1"/>
  <c r="AE771" i="1"/>
  <c r="AE763" i="1"/>
  <c r="AE755" i="1"/>
  <c r="AE747" i="1"/>
  <c r="AE739" i="1"/>
  <c r="AD731" i="1"/>
  <c r="AE731" i="1" s="1"/>
  <c r="AD723" i="1"/>
  <c r="AE723" i="1" s="1"/>
  <c r="AD715" i="1"/>
  <c r="AE715" i="1" s="1"/>
  <c r="AE707" i="1"/>
  <c r="AE699" i="1"/>
  <c r="AE683" i="1"/>
  <c r="AE675" i="1"/>
  <c r="AD667" i="1"/>
  <c r="AE667" i="1" s="1"/>
  <c r="AD659" i="1"/>
  <c r="AE659" i="1" s="1"/>
  <c r="AD651" i="1"/>
  <c r="AE651" i="1" s="1"/>
  <c r="AE635" i="1"/>
  <c r="AE619" i="1"/>
  <c r="AD603" i="1"/>
  <c r="AE603" i="1" s="1"/>
  <c r="AD595" i="1"/>
  <c r="AE595" i="1" s="1"/>
  <c r="AD587" i="1"/>
  <c r="AE587" i="1" s="1"/>
  <c r="AE571" i="1"/>
  <c r="AE563" i="1"/>
  <c r="AE555" i="1"/>
  <c r="AD547" i="1"/>
  <c r="AE547" i="1" s="1"/>
  <c r="AD539" i="1"/>
  <c r="AE539" i="1" s="1"/>
  <c r="AD531" i="1"/>
  <c r="AE531" i="1" s="1"/>
  <c r="AD523" i="1"/>
  <c r="AE523" i="1" s="1"/>
  <c r="AE515" i="1"/>
  <c r="AE507" i="1"/>
  <c r="AE499" i="1"/>
  <c r="AE491" i="1"/>
  <c r="AD483" i="1"/>
  <c r="AE483" i="1" s="1"/>
  <c r="AD475" i="1"/>
  <c r="AE475" i="1" s="1"/>
  <c r="AD467" i="1"/>
  <c r="AE467" i="1" s="1"/>
  <c r="AE459" i="1"/>
  <c r="AE451" i="1"/>
  <c r="AD443" i="1"/>
  <c r="AE443" i="1" s="1"/>
  <c r="AD435" i="1"/>
  <c r="AE435" i="1" s="1"/>
  <c r="AE427" i="1"/>
  <c r="AE419" i="1"/>
  <c r="AD411" i="1"/>
  <c r="AE411" i="1" s="1"/>
  <c r="AD403" i="1"/>
  <c r="AE403" i="1" s="1"/>
  <c r="AE395" i="1"/>
  <c r="AE387" i="1"/>
  <c r="AD379" i="1"/>
  <c r="AE379" i="1" s="1"/>
  <c r="AD371" i="1"/>
  <c r="AE371" i="1" s="1"/>
  <c r="AE363" i="1"/>
  <c r="AE355" i="1"/>
  <c r="AD347" i="1"/>
  <c r="AE347" i="1" s="1"/>
  <c r="AD339" i="1"/>
  <c r="AE339" i="1" s="1"/>
  <c r="AE331" i="1"/>
  <c r="AE323" i="1"/>
  <c r="AD315" i="1"/>
  <c r="AE315" i="1" s="1"/>
  <c r="AD307" i="1"/>
  <c r="AE307" i="1" s="1"/>
  <c r="AE299" i="1"/>
  <c r="AE291" i="1"/>
  <c r="AD283" i="1"/>
  <c r="AE283" i="1" s="1"/>
  <c r="AD275" i="1"/>
  <c r="AE275" i="1" s="1"/>
  <c r="AD267" i="1"/>
  <c r="AE267" i="1" s="1"/>
  <c r="AD259" i="1"/>
  <c r="AE259" i="1" s="1"/>
  <c r="AD251" i="1"/>
  <c r="AE251" i="1" s="1"/>
  <c r="AD243" i="1"/>
  <c r="AE243" i="1" s="1"/>
  <c r="AD235" i="1"/>
  <c r="AE235" i="1" s="1"/>
  <c r="AD227" i="1"/>
  <c r="AE227" i="1" s="1"/>
  <c r="AD219" i="1"/>
  <c r="AE219" i="1" s="1"/>
  <c r="AD211" i="1"/>
  <c r="AE211" i="1" s="1"/>
  <c r="AE203" i="1"/>
  <c r="AD203" i="1"/>
  <c r="AD195" i="1"/>
  <c r="AE195" i="1" s="1"/>
  <c r="AD187" i="1"/>
  <c r="AE187" i="1" s="1"/>
  <c r="AD179" i="1"/>
  <c r="AE179" i="1" s="1"/>
  <c r="AD171" i="1"/>
  <c r="AE171" i="1" s="1"/>
  <c r="AD163" i="1"/>
  <c r="AE163" i="1" s="1"/>
  <c r="AD155" i="1"/>
  <c r="AE155" i="1" s="1"/>
  <c r="AD147" i="1"/>
  <c r="AE147" i="1" s="1"/>
  <c r="AD139" i="1"/>
  <c r="AE139" i="1" s="1"/>
  <c r="AD131" i="1"/>
  <c r="AE131" i="1" s="1"/>
  <c r="AD123" i="1"/>
  <c r="AE123" i="1" s="1"/>
  <c r="AD115" i="1"/>
  <c r="AE115" i="1" s="1"/>
  <c r="AD107" i="1"/>
  <c r="AE107" i="1" s="1"/>
  <c r="AD99" i="1"/>
  <c r="AE99" i="1" s="1"/>
  <c r="AD91" i="1"/>
  <c r="AE91" i="1" s="1"/>
  <c r="AD83" i="1"/>
  <c r="AE83" i="1" s="1"/>
  <c r="AD75" i="1"/>
  <c r="AE75" i="1" s="1"/>
  <c r="AD67" i="1"/>
  <c r="AE67" i="1" s="1"/>
  <c r="AD59" i="1"/>
  <c r="AE59" i="1" s="1"/>
  <c r="AD51" i="1"/>
  <c r="AE51" i="1" s="1"/>
  <c r="AD43" i="1"/>
  <c r="AE43" i="1" s="1"/>
  <c r="AD35" i="1"/>
  <c r="AE35" i="1" s="1"/>
  <c r="AD27" i="1"/>
  <c r="AE27" i="1" s="1"/>
  <c r="AD19" i="1"/>
  <c r="AE19" i="1" s="1"/>
  <c r="AD11" i="1"/>
  <c r="AE11" i="1" s="1"/>
  <c r="AD3" i="1"/>
  <c r="AE3" i="1" s="1"/>
  <c r="AD875" i="1"/>
  <c r="AE875" i="1" s="1"/>
  <c r="AD716" i="1"/>
  <c r="AE716" i="1" s="1"/>
  <c r="AD700" i="1"/>
  <c r="AE700" i="1" s="1"/>
  <c r="AD684" i="1"/>
  <c r="AE684" i="1" s="1"/>
  <c r="AD643" i="1"/>
  <c r="AE643" i="1" s="1"/>
  <c r="AD627" i="1"/>
  <c r="AE627" i="1" s="1"/>
  <c r="AD611" i="1"/>
  <c r="AE611" i="1" s="1"/>
  <c r="AD579" i="1"/>
  <c r="AE579" i="1" s="1"/>
  <c r="AD524" i="1"/>
  <c r="AE524" i="1" s="1"/>
  <c r="AE868" i="1"/>
  <c r="AE788" i="1"/>
  <c r="AE604" i="1"/>
  <c r="AD2" i="1"/>
  <c r="AE2" i="1" s="1"/>
  <c r="AJ896" i="1"/>
  <c r="AJ880" i="1"/>
  <c r="AJ864" i="1"/>
  <c r="AJ848" i="1"/>
  <c r="AJ832" i="1"/>
  <c r="AJ816" i="1"/>
  <c r="AJ800" i="1"/>
  <c r="AJ776" i="1"/>
  <c r="AJ760" i="1"/>
  <c r="AJ752" i="1"/>
  <c r="AJ736" i="1"/>
  <c r="AJ720" i="1"/>
  <c r="AJ704" i="1"/>
  <c r="AJ688" i="1"/>
  <c r="AJ672" i="1"/>
  <c r="AJ656" i="1"/>
  <c r="AJ640" i="1"/>
  <c r="AJ624" i="1"/>
  <c r="AJ608" i="1"/>
  <c r="AJ592" i="1"/>
  <c r="AJ576" i="1"/>
  <c r="AJ560" i="1"/>
  <c r="AJ544" i="1"/>
  <c r="AJ520" i="1"/>
  <c r="AJ496" i="1"/>
  <c r="AJ480" i="1"/>
  <c r="AJ464" i="1"/>
  <c r="AJ448" i="1"/>
  <c r="AJ432" i="1"/>
  <c r="AJ416" i="1"/>
  <c r="AJ400" i="1"/>
  <c r="AJ384" i="1"/>
  <c r="AJ368" i="1"/>
  <c r="AJ352" i="1"/>
  <c r="AJ336" i="1"/>
  <c r="AJ320" i="1"/>
  <c r="AJ304" i="1"/>
  <c r="AJ296" i="1"/>
  <c r="AJ280" i="1"/>
  <c r="AJ256" i="1"/>
  <c r="AJ240" i="1"/>
  <c r="AJ232" i="1"/>
  <c r="AJ216" i="1"/>
  <c r="AJ200" i="1"/>
  <c r="AJ184" i="1"/>
  <c r="AJ168" i="1"/>
  <c r="AJ152" i="1"/>
  <c r="AJ128" i="1"/>
  <c r="AJ112" i="1"/>
  <c r="AJ96" i="1"/>
  <c r="AJ80" i="1"/>
  <c r="AJ64" i="1"/>
  <c r="AJ48" i="1"/>
  <c r="AJ32" i="1"/>
  <c r="AJ24" i="1"/>
  <c r="AJ888" i="1"/>
  <c r="AJ872" i="1"/>
  <c r="AJ856" i="1"/>
  <c r="AJ840" i="1"/>
  <c r="AJ824" i="1"/>
  <c r="AJ808" i="1"/>
  <c r="AJ792" i="1"/>
  <c r="AJ784" i="1"/>
  <c r="AJ768" i="1"/>
  <c r="AJ744" i="1"/>
  <c r="AJ728" i="1"/>
  <c r="AJ712" i="1"/>
  <c r="AJ680" i="1"/>
  <c r="AJ664" i="1"/>
  <c r="AJ648" i="1"/>
  <c r="AJ632" i="1"/>
  <c r="AJ616" i="1"/>
  <c r="AJ600" i="1"/>
  <c r="AJ584" i="1"/>
  <c r="AJ568" i="1"/>
  <c r="AJ552" i="1"/>
  <c r="AJ536" i="1"/>
  <c r="AJ528" i="1"/>
  <c r="AJ512" i="1"/>
  <c r="AJ488" i="1"/>
  <c r="AJ472" i="1"/>
  <c r="AJ456" i="1"/>
  <c r="AJ440" i="1"/>
  <c r="AJ424" i="1"/>
  <c r="AJ408" i="1"/>
  <c r="AJ392" i="1"/>
  <c r="AJ376" i="1"/>
  <c r="AJ360" i="1"/>
  <c r="AJ344" i="1"/>
  <c r="AJ328" i="1"/>
  <c r="AJ312" i="1"/>
  <c r="AJ288" i="1"/>
  <c r="AJ272" i="1"/>
  <c r="AJ264" i="1"/>
  <c r="AJ248" i="1"/>
  <c r="AJ224" i="1"/>
  <c r="AJ208" i="1"/>
  <c r="AJ192" i="1"/>
  <c r="AJ176" i="1"/>
  <c r="AJ160" i="1"/>
  <c r="AJ136" i="1"/>
  <c r="AJ120" i="1"/>
  <c r="AJ104" i="1"/>
  <c r="AJ88" i="1"/>
  <c r="AJ72" i="1"/>
  <c r="AJ56" i="1"/>
  <c r="AJ40" i="1"/>
  <c r="AJ16" i="1"/>
  <c r="AJ928" i="1"/>
  <c r="AJ868" i="1"/>
  <c r="AJ876" i="1"/>
  <c r="AJ924" i="1"/>
  <c r="AJ900" i="1"/>
  <c r="AJ884" i="1"/>
  <c r="AJ860" i="1"/>
  <c r="AJ932" i="1"/>
  <c r="AJ892" i="1"/>
  <c r="AJ852" i="1"/>
  <c r="AJ844" i="1"/>
  <c r="AJ820" i="1"/>
  <c r="AJ796" i="1"/>
  <c r="AJ772" i="1"/>
  <c r="AJ748" i="1"/>
  <c r="AJ724" i="1"/>
  <c r="AJ700" i="1"/>
  <c r="AJ676" i="1"/>
  <c r="AJ652" i="1"/>
  <c r="AJ628" i="1"/>
  <c r="AJ604" i="1"/>
  <c r="AJ580" i="1"/>
  <c r="AJ556" i="1"/>
  <c r="AJ532" i="1"/>
  <c r="AJ508" i="1"/>
  <c r="AJ484" i="1"/>
  <c r="AJ460" i="1"/>
  <c r="AJ436" i="1"/>
  <c r="AJ412" i="1"/>
  <c r="AJ388" i="1"/>
  <c r="AJ364" i="1"/>
  <c r="AJ340" i="1"/>
  <c r="AJ292" i="1"/>
  <c r="AJ276" i="1"/>
  <c r="AJ244" i="1"/>
  <c r="AJ220" i="1"/>
  <c r="AJ196" i="1"/>
  <c r="AJ164" i="1"/>
  <c r="AJ140" i="1"/>
  <c r="AJ116" i="1"/>
  <c r="AJ68" i="1"/>
  <c r="AJ52" i="1"/>
  <c r="AJ28" i="1"/>
  <c r="AJ12" i="1"/>
  <c r="AJ931" i="1"/>
  <c r="AJ899" i="1"/>
  <c r="AJ867" i="1"/>
  <c r="AJ851" i="1"/>
  <c r="AJ827" i="1"/>
  <c r="AJ811" i="1"/>
  <c r="AJ787" i="1"/>
  <c r="AJ771" i="1"/>
  <c r="AJ747" i="1"/>
  <c r="AJ731" i="1"/>
  <c r="AJ707" i="1"/>
  <c r="AJ691" i="1"/>
  <c r="AJ667" i="1"/>
  <c r="AJ651" i="1"/>
  <c r="AJ643" i="1"/>
  <c r="AJ611" i="1"/>
  <c r="AJ595" i="1"/>
  <c r="AJ579" i="1"/>
  <c r="AJ555" i="1"/>
  <c r="AJ539" i="1"/>
  <c r="AJ515" i="1"/>
  <c r="AJ499" i="1"/>
  <c r="AJ475" i="1"/>
  <c r="AJ459" i="1"/>
  <c r="AJ443" i="1"/>
  <c r="AJ419" i="1"/>
  <c r="AJ403" i="1"/>
  <c r="AJ387" i="1"/>
  <c r="AJ363" i="1"/>
  <c r="AJ347" i="1"/>
  <c r="AJ331" i="1"/>
  <c r="AJ307" i="1"/>
  <c r="AJ283" i="1"/>
  <c r="AJ259" i="1"/>
  <c r="AJ243" i="1"/>
  <c r="AJ227" i="1"/>
  <c r="AJ203" i="1"/>
  <c r="AJ187" i="1"/>
  <c r="AJ163" i="1"/>
  <c r="AJ147" i="1"/>
  <c r="AJ131" i="1"/>
  <c r="AJ115" i="1"/>
  <c r="AJ91" i="1"/>
  <c r="AJ75" i="1"/>
  <c r="AJ59" i="1"/>
  <c r="AJ43" i="1"/>
  <c r="AJ27" i="1"/>
  <c r="AJ3" i="1"/>
  <c r="AJ930" i="1"/>
  <c r="AJ922" i="1"/>
  <c r="AJ898" i="1"/>
  <c r="AJ890" i="1"/>
  <c r="AJ882" i="1"/>
  <c r="AJ874" i="1"/>
  <c r="AJ866" i="1"/>
  <c r="AJ858" i="1"/>
  <c r="AJ850" i="1"/>
  <c r="AJ842" i="1"/>
  <c r="AJ834" i="1"/>
  <c r="AJ826" i="1"/>
  <c r="AJ818" i="1"/>
  <c r="AJ810" i="1"/>
  <c r="AJ802" i="1"/>
  <c r="AJ794" i="1"/>
  <c r="AJ786" i="1"/>
  <c r="AJ778" i="1"/>
  <c r="AJ770" i="1"/>
  <c r="AJ762" i="1"/>
  <c r="AJ754" i="1"/>
  <c r="AJ746" i="1"/>
  <c r="AJ738" i="1"/>
  <c r="AJ730" i="1"/>
  <c r="AJ722" i="1"/>
  <c r="AJ714" i="1"/>
  <c r="AJ883" i="1"/>
  <c r="AJ843" i="1"/>
  <c r="AJ803" i="1"/>
  <c r="AJ763" i="1"/>
  <c r="AJ723" i="1"/>
  <c r="AJ683" i="1"/>
  <c r="AJ627" i="1"/>
  <c r="AJ571" i="1"/>
  <c r="AJ523" i="1"/>
  <c r="AJ483" i="1"/>
  <c r="AJ427" i="1"/>
  <c r="AJ371" i="1"/>
  <c r="AJ299" i="1"/>
  <c r="AJ251" i="1"/>
  <c r="AJ179" i="1"/>
  <c r="AJ107" i="1"/>
  <c r="AJ19" i="1"/>
  <c r="AJ836" i="1"/>
  <c r="AJ812" i="1"/>
  <c r="AJ788" i="1"/>
  <c r="AJ764" i="1"/>
  <c r="AJ740" i="1"/>
  <c r="AJ716" i="1"/>
  <c r="AJ692" i="1"/>
  <c r="AJ668" i="1"/>
  <c r="AJ644" i="1"/>
  <c r="AJ620" i="1"/>
  <c r="AJ596" i="1"/>
  <c r="AJ572" i="1"/>
  <c r="AJ548" i="1"/>
  <c r="AJ524" i="1"/>
  <c r="AJ500" i="1"/>
  <c r="AJ476" i="1"/>
  <c r="AJ452" i="1"/>
  <c r="AJ428" i="1"/>
  <c r="AJ396" i="1"/>
  <c r="AJ380" i="1"/>
  <c r="AJ348" i="1"/>
  <c r="AJ332" i="1"/>
  <c r="AJ300" i="1"/>
  <c r="AJ268" i="1"/>
  <c r="AJ228" i="1"/>
  <c r="AJ204" i="1"/>
  <c r="AJ180" i="1"/>
  <c r="AJ156" i="1"/>
  <c r="AJ132" i="1"/>
  <c r="AJ108" i="1"/>
  <c r="AJ84" i="1"/>
  <c r="AJ44" i="1"/>
  <c r="AJ4" i="1"/>
  <c r="AJ828" i="1"/>
  <c r="AJ804" i="1"/>
  <c r="AJ780" i="1"/>
  <c r="AJ756" i="1"/>
  <c r="AJ732" i="1"/>
  <c r="AJ708" i="1"/>
  <c r="AJ684" i="1"/>
  <c r="AJ660" i="1"/>
  <c r="AJ636" i="1"/>
  <c r="AJ612" i="1"/>
  <c r="AJ588" i="1"/>
  <c r="AJ564" i="1"/>
  <c r="AJ540" i="1"/>
  <c r="AJ516" i="1"/>
  <c r="AJ492" i="1"/>
  <c r="AJ468" i="1"/>
  <c r="AJ444" i="1"/>
  <c r="AJ420" i="1"/>
  <c r="AJ404" i="1"/>
  <c r="AJ372" i="1"/>
  <c r="AJ356" i="1"/>
  <c r="AJ324" i="1"/>
  <c r="AJ308" i="1"/>
  <c r="AJ284" i="1"/>
  <c r="AJ260" i="1"/>
  <c r="AJ236" i="1"/>
  <c r="AJ212" i="1"/>
  <c r="AJ188" i="1"/>
  <c r="AJ148" i="1"/>
  <c r="AJ124" i="1"/>
  <c r="AJ100" i="1"/>
  <c r="AJ76" i="1"/>
  <c r="AJ60" i="1"/>
  <c r="AJ36" i="1"/>
  <c r="AJ20" i="1"/>
  <c r="AJ923" i="1"/>
  <c r="AJ891" i="1"/>
  <c r="AJ875" i="1"/>
  <c r="AJ859" i="1"/>
  <c r="AJ835" i="1"/>
  <c r="AJ819" i="1"/>
  <c r="AJ795" i="1"/>
  <c r="AJ779" i="1"/>
  <c r="AJ755" i="1"/>
  <c r="AJ739" i="1"/>
  <c r="AJ715" i="1"/>
  <c r="AJ699" i="1"/>
  <c r="AJ675" i="1"/>
  <c r="AJ659" i="1"/>
  <c r="AJ635" i="1"/>
  <c r="AJ619" i="1"/>
  <c r="AJ603" i="1"/>
  <c r="AJ587" i="1"/>
  <c r="AJ563" i="1"/>
  <c r="AJ547" i="1"/>
  <c r="AJ531" i="1"/>
  <c r="AJ507" i="1"/>
  <c r="AJ491" i="1"/>
  <c r="AJ467" i="1"/>
  <c r="AJ451" i="1"/>
  <c r="AJ435" i="1"/>
  <c r="AJ411" i="1"/>
  <c r="AJ395" i="1"/>
  <c r="AJ355" i="1"/>
  <c r="AJ339" i="1"/>
  <c r="AJ323" i="1"/>
  <c r="AJ315" i="1"/>
  <c r="AJ291" i="1"/>
  <c r="AJ275" i="1"/>
  <c r="AJ267" i="1"/>
  <c r="AJ235" i="1"/>
  <c r="AJ219" i="1"/>
  <c r="AJ211" i="1"/>
  <c r="AJ195" i="1"/>
  <c r="AJ171" i="1"/>
  <c r="AJ155" i="1"/>
  <c r="AJ139" i="1"/>
  <c r="AJ123" i="1"/>
  <c r="AJ99" i="1"/>
  <c r="AJ83" i="1"/>
  <c r="AJ67" i="1"/>
  <c r="AJ51" i="1"/>
  <c r="AJ35" i="1"/>
  <c r="AJ11" i="1"/>
  <c r="AJ706" i="1"/>
  <c r="AJ698" i="1"/>
  <c r="AJ690" i="1"/>
  <c r="AJ682" i="1"/>
  <c r="AJ674" i="1"/>
  <c r="AJ666" i="1"/>
  <c r="AJ658" i="1"/>
  <c r="AJ650" i="1"/>
  <c r="AJ642" i="1"/>
  <c r="AJ626" i="1"/>
  <c r="AJ618" i="1"/>
  <c r="AJ610" i="1"/>
  <c r="AJ602" i="1"/>
  <c r="AJ594" i="1"/>
  <c r="AJ586" i="1"/>
  <c r="AJ578" i="1"/>
  <c r="AJ570" i="1"/>
  <c r="AJ562" i="1"/>
  <c r="AJ554" i="1"/>
  <c r="AJ546" i="1"/>
  <c r="AJ538" i="1"/>
  <c r="AJ530" i="1"/>
  <c r="AJ522" i="1"/>
  <c r="AJ514" i="1"/>
  <c r="AJ506" i="1"/>
  <c r="AJ498" i="1"/>
  <c r="AJ490" i="1"/>
  <c r="AJ482" i="1"/>
  <c r="AJ474" i="1"/>
  <c r="AJ466" i="1"/>
  <c r="AJ458" i="1"/>
  <c r="AJ450" i="1"/>
  <c r="AJ442" i="1"/>
  <c r="AJ434" i="1"/>
  <c r="AJ426" i="1"/>
  <c r="AJ418" i="1"/>
  <c r="AJ410" i="1"/>
  <c r="AJ402" i="1"/>
  <c r="AJ394" i="1"/>
  <c r="AJ386" i="1"/>
  <c r="AJ378" i="1"/>
  <c r="AJ370" i="1"/>
  <c r="AJ362" i="1"/>
  <c r="AJ354" i="1"/>
  <c r="AJ346" i="1"/>
  <c r="AJ338" i="1"/>
  <c r="AJ330" i="1"/>
  <c r="AJ322" i="1"/>
  <c r="AJ314" i="1"/>
  <c r="AJ306" i="1"/>
  <c r="AJ298" i="1"/>
  <c r="AJ290" i="1"/>
  <c r="AJ266" i="1"/>
  <c r="AJ258" i="1"/>
  <c r="AJ250" i="1"/>
  <c r="AJ242" i="1"/>
  <c r="AJ234" i="1"/>
  <c r="AJ226" i="1"/>
  <c r="AJ218" i="1"/>
  <c r="AJ210" i="1"/>
  <c r="AJ202" i="1"/>
  <c r="AJ194" i="1"/>
  <c r="AJ186" i="1"/>
  <c r="AJ178" i="1"/>
  <c r="AJ170" i="1"/>
  <c r="AJ162" i="1"/>
  <c r="AJ154" i="1"/>
  <c r="AJ146" i="1"/>
  <c r="AJ138" i="1"/>
  <c r="AJ130" i="1"/>
  <c r="AJ122" i="1"/>
  <c r="AJ114" i="1"/>
  <c r="AJ106" i="1"/>
  <c r="AJ98" i="1"/>
  <c r="AJ90" i="1"/>
  <c r="AJ82" i="1"/>
  <c r="AJ74" i="1"/>
  <c r="AJ66" i="1"/>
  <c r="AJ58" i="1"/>
  <c r="AJ50" i="1"/>
  <c r="AJ42" i="1"/>
  <c r="AJ34" i="1"/>
  <c r="AJ26" i="1"/>
  <c r="AJ18" i="1"/>
  <c r="AJ10" i="1"/>
  <c r="AJ929" i="1"/>
  <c r="AJ897" i="1"/>
  <c r="AJ889" i="1"/>
  <c r="AJ881" i="1"/>
  <c r="AJ873" i="1"/>
  <c r="AJ865" i="1"/>
  <c r="AJ857" i="1"/>
  <c r="AJ849" i="1"/>
  <c r="AJ841" i="1"/>
  <c r="AJ833" i="1"/>
  <c r="AJ825" i="1"/>
  <c r="AJ817" i="1"/>
  <c r="AJ809" i="1"/>
  <c r="AJ801" i="1"/>
  <c r="AJ793" i="1"/>
  <c r="AJ785" i="1"/>
  <c r="AJ777" i="1"/>
  <c r="AJ769" i="1"/>
  <c r="AJ761" i="1"/>
  <c r="AJ753" i="1"/>
  <c r="AJ745" i="1"/>
  <c r="AJ737" i="1"/>
  <c r="AJ729" i="1"/>
  <c r="AJ721" i="1"/>
  <c r="AJ713" i="1"/>
  <c r="AJ705" i="1"/>
  <c r="AJ697" i="1"/>
  <c r="AJ689" i="1"/>
  <c r="AJ681" i="1"/>
  <c r="AJ673" i="1"/>
  <c r="AJ665" i="1"/>
  <c r="AJ657" i="1"/>
  <c r="AJ649" i="1"/>
  <c r="AJ641" i="1"/>
  <c r="AJ633" i="1"/>
  <c r="AJ625" i="1"/>
  <c r="AJ617" i="1"/>
  <c r="AJ609" i="1"/>
  <c r="AJ601" i="1"/>
  <c r="AJ593" i="1"/>
  <c r="AJ585" i="1"/>
  <c r="AJ577" i="1"/>
  <c r="AJ569" i="1"/>
  <c r="AJ561" i="1"/>
  <c r="AJ553" i="1"/>
  <c r="AJ545" i="1"/>
  <c r="AJ537" i="1"/>
  <c r="AJ529" i="1"/>
  <c r="AJ521" i="1"/>
  <c r="AJ513" i="1"/>
  <c r="AJ505" i="1"/>
  <c r="AJ497" i="1"/>
  <c r="AJ489" i="1"/>
  <c r="AJ481" i="1"/>
  <c r="AJ473" i="1"/>
  <c r="AJ465" i="1"/>
  <c r="AJ457" i="1"/>
  <c r="AJ449" i="1"/>
  <c r="AJ441" i="1"/>
  <c r="AJ433" i="1"/>
  <c r="AJ425" i="1"/>
  <c r="AJ417" i="1"/>
  <c r="AJ409" i="1"/>
  <c r="AJ401" i="1"/>
  <c r="AJ393" i="1"/>
  <c r="AJ385" i="1"/>
  <c r="AJ377" i="1"/>
  <c r="AJ369" i="1"/>
  <c r="AJ361" i="1"/>
  <c r="AJ353" i="1"/>
  <c r="AJ345" i="1"/>
  <c r="AJ337" i="1"/>
  <c r="AJ329" i="1"/>
  <c r="AJ321" i="1"/>
  <c r="AJ313" i="1"/>
  <c r="AJ305" i="1"/>
  <c r="AJ297" i="1"/>
  <c r="AJ289" i="1"/>
  <c r="AJ281" i="1"/>
  <c r="AJ273" i="1"/>
  <c r="AJ265" i="1"/>
  <c r="AJ257" i="1"/>
  <c r="AJ249" i="1"/>
  <c r="AJ241" i="1"/>
  <c r="AJ233" i="1"/>
  <c r="AJ225" i="1"/>
  <c r="AJ217" i="1"/>
  <c r="AJ209" i="1"/>
  <c r="AJ201" i="1"/>
  <c r="AJ193" i="1"/>
  <c r="AJ185" i="1"/>
  <c r="AJ177" i="1"/>
  <c r="AJ169" i="1"/>
  <c r="AJ161" i="1"/>
  <c r="AJ153" i="1"/>
  <c r="AJ145" i="1"/>
  <c r="AJ137" i="1"/>
  <c r="AJ129" i="1"/>
  <c r="AJ121" i="1"/>
  <c r="AJ113" i="1"/>
  <c r="AJ105" i="1"/>
  <c r="AJ97" i="1"/>
  <c r="AJ89" i="1"/>
  <c r="AJ81" i="1"/>
  <c r="AJ73" i="1"/>
  <c r="AJ65" i="1"/>
  <c r="AJ57" i="1"/>
  <c r="AJ49" i="1"/>
  <c r="AJ41" i="1"/>
  <c r="AJ33" i="1"/>
  <c r="AJ25" i="1"/>
  <c r="AJ17" i="1"/>
  <c r="AJ9" i="1"/>
  <c r="AJ282" i="1"/>
  <c r="AJ274" i="1"/>
  <c r="AJ504" i="1"/>
  <c r="AJ886" i="1"/>
  <c r="AJ862" i="1"/>
  <c r="AJ838" i="1"/>
  <c r="AJ806" i="1"/>
  <c r="AJ774" i="1"/>
  <c r="AJ742" i="1"/>
  <c r="AJ718" i="1"/>
  <c r="AJ694" i="1"/>
  <c r="AJ678" i="1"/>
  <c r="AJ654" i="1"/>
  <c r="AJ630" i="1"/>
  <c r="AJ606" i="1"/>
  <c r="AJ590" i="1"/>
  <c r="AJ550" i="1"/>
  <c r="AJ534" i="1"/>
  <c r="AJ510" i="1"/>
  <c r="AJ478" i="1"/>
  <c r="AJ454" i="1"/>
  <c r="AJ430" i="1"/>
  <c r="AJ398" i="1"/>
  <c r="AJ366" i="1"/>
  <c r="AJ342" i="1"/>
  <c r="AJ302" i="1"/>
  <c r="AJ278" i="1"/>
  <c r="AJ254" i="1"/>
  <c r="AJ230" i="1"/>
  <c r="AJ214" i="1"/>
  <c r="AJ206" i="1"/>
  <c r="AJ198" i="1"/>
  <c r="AJ190" i="1"/>
  <c r="AJ182" i="1"/>
  <c r="AJ174" i="1"/>
  <c r="AJ166" i="1"/>
  <c r="AJ158" i="1"/>
  <c r="AJ150" i="1"/>
  <c r="AJ142" i="1"/>
  <c r="AJ134" i="1"/>
  <c r="AJ126" i="1"/>
  <c r="AJ118" i="1"/>
  <c r="AJ110" i="1"/>
  <c r="AJ102" i="1"/>
  <c r="AJ70" i="1"/>
  <c r="AJ634" i="1"/>
  <c r="AJ696" i="1"/>
  <c r="AJ2" i="1"/>
  <c r="AJ926" i="1"/>
  <c r="AJ894" i="1"/>
  <c r="AJ878" i="1"/>
  <c r="AJ870" i="1"/>
  <c r="AJ854" i="1"/>
  <c r="AJ846" i="1"/>
  <c r="AJ830" i="1"/>
  <c r="AJ822" i="1"/>
  <c r="AJ814" i="1"/>
  <c r="AJ798" i="1"/>
  <c r="AJ790" i="1"/>
  <c r="AJ782" i="1"/>
  <c r="AJ766" i="1"/>
  <c r="AJ758" i="1"/>
  <c r="AJ750" i="1"/>
  <c r="AJ734" i="1"/>
  <c r="AJ726" i="1"/>
  <c r="AJ710" i="1"/>
  <c r="AJ702" i="1"/>
  <c r="AJ686" i="1"/>
  <c r="AJ670" i="1"/>
  <c r="AJ662" i="1"/>
  <c r="AJ646" i="1"/>
  <c r="AJ638" i="1"/>
  <c r="AJ622" i="1"/>
  <c r="AJ614" i="1"/>
  <c r="AJ598" i="1"/>
  <c r="AJ582" i="1"/>
  <c r="AJ574" i="1"/>
  <c r="AJ566" i="1"/>
  <c r="AJ558" i="1"/>
  <c r="AJ542" i="1"/>
  <c r="AJ526" i="1"/>
  <c r="AJ518" i="1"/>
  <c r="AJ502" i="1"/>
  <c r="AJ494" i="1"/>
  <c r="AJ486" i="1"/>
  <c r="AJ470" i="1"/>
  <c r="AJ462" i="1"/>
  <c r="AJ446" i="1"/>
  <c r="AJ438" i="1"/>
  <c r="AJ422" i="1"/>
  <c r="AJ414" i="1"/>
  <c r="AJ406" i="1"/>
  <c r="AJ390" i="1"/>
  <c r="AJ382" i="1"/>
  <c r="AJ374" i="1"/>
  <c r="AJ358" i="1"/>
  <c r="AJ350" i="1"/>
  <c r="AJ334" i="1"/>
  <c r="AJ326" i="1"/>
  <c r="AJ318" i="1"/>
  <c r="AJ310" i="1"/>
  <c r="AJ294" i="1"/>
  <c r="AJ286" i="1"/>
  <c r="AJ270" i="1"/>
  <c r="AJ262" i="1"/>
  <c r="AJ246" i="1"/>
  <c r="AJ238" i="1"/>
  <c r="AJ222" i="1"/>
  <c r="AJ94" i="1"/>
  <c r="AJ379" i="1"/>
  <c r="AJ144" i="1"/>
  <c r="AJ8" i="1"/>
  <c r="AJ927" i="1"/>
  <c r="AJ895" i="1"/>
  <c r="AJ887" i="1"/>
  <c r="AJ879" i="1"/>
  <c r="AJ871" i="1"/>
  <c r="AJ863" i="1"/>
  <c r="AJ855" i="1"/>
  <c r="AJ847" i="1"/>
  <c r="AJ839" i="1"/>
  <c r="AJ831" i="1"/>
  <c r="AJ823" i="1"/>
  <c r="AJ815" i="1"/>
  <c r="AJ807" i="1"/>
  <c r="AJ799" i="1"/>
  <c r="AJ22" i="1"/>
  <c r="AJ86" i="1"/>
  <c r="AJ78" i="1"/>
  <c r="AJ62" i="1"/>
  <c r="AJ54" i="1"/>
  <c r="AJ46" i="1"/>
  <c r="AJ38" i="1"/>
  <c r="AJ30" i="1"/>
  <c r="AJ14" i="1"/>
  <c r="AJ6" i="1"/>
  <c r="AJ933" i="1"/>
  <c r="AJ925" i="1"/>
  <c r="AJ901" i="1"/>
  <c r="AJ893" i="1"/>
  <c r="AJ885" i="1"/>
  <c r="AJ877" i="1"/>
  <c r="AJ869" i="1"/>
  <c r="AJ861" i="1"/>
  <c r="AJ853" i="1"/>
  <c r="AJ845" i="1"/>
  <c r="AJ837" i="1"/>
  <c r="AJ829" i="1"/>
  <c r="AJ821" i="1"/>
  <c r="AJ813" i="1"/>
  <c r="AJ805" i="1"/>
  <c r="AJ797" i="1"/>
  <c r="AJ789" i="1"/>
  <c r="AJ781" i="1"/>
  <c r="AJ773" i="1"/>
  <c r="AJ765" i="1"/>
  <c r="AJ757" i="1"/>
  <c r="AJ749" i="1"/>
  <c r="AJ741" i="1"/>
  <c r="AJ733" i="1"/>
  <c r="AJ725" i="1"/>
  <c r="AJ717" i="1"/>
  <c r="AJ709" i="1"/>
  <c r="AJ701" i="1"/>
  <c r="AJ693" i="1"/>
  <c r="AJ685" i="1"/>
  <c r="AJ677" i="1"/>
  <c r="AJ669" i="1"/>
  <c r="AJ661" i="1"/>
  <c r="AJ653" i="1"/>
  <c r="AJ645" i="1"/>
  <c r="AJ637" i="1"/>
  <c r="AJ629" i="1"/>
  <c r="AJ621" i="1"/>
  <c r="AJ613" i="1"/>
  <c r="AJ605" i="1"/>
  <c r="AJ597" i="1"/>
  <c r="AJ589" i="1"/>
  <c r="AJ581" i="1"/>
  <c r="AJ573" i="1"/>
  <c r="AJ565" i="1"/>
  <c r="AJ557" i="1"/>
  <c r="AJ549" i="1"/>
  <c r="AJ541" i="1"/>
  <c r="AJ533" i="1"/>
  <c r="AJ525" i="1"/>
  <c r="AJ517" i="1"/>
  <c r="AJ509" i="1"/>
  <c r="AJ501" i="1"/>
  <c r="AJ493" i="1"/>
  <c r="AJ485" i="1"/>
  <c r="AJ477" i="1"/>
  <c r="AJ469" i="1"/>
  <c r="AJ461" i="1"/>
  <c r="AJ453" i="1"/>
  <c r="AJ445" i="1"/>
  <c r="AJ437" i="1"/>
  <c r="AJ429" i="1"/>
  <c r="AJ421" i="1"/>
  <c r="AJ413" i="1"/>
  <c r="AJ405" i="1"/>
  <c r="AJ397" i="1"/>
  <c r="AJ389" i="1"/>
  <c r="AJ381" i="1"/>
  <c r="AJ373" i="1"/>
  <c r="AJ365" i="1"/>
  <c r="AJ357" i="1"/>
  <c r="AJ349" i="1"/>
  <c r="AJ341" i="1"/>
  <c r="AJ333" i="1"/>
  <c r="AJ316" i="1"/>
  <c r="AJ252" i="1"/>
  <c r="AJ172" i="1"/>
  <c r="AJ92" i="1"/>
  <c r="AJ791" i="1"/>
  <c r="AJ783" i="1"/>
  <c r="AJ775" i="1"/>
  <c r="AJ767" i="1"/>
  <c r="AJ759" i="1"/>
  <c r="AJ751" i="1"/>
  <c r="AJ743" i="1"/>
  <c r="AJ735" i="1"/>
  <c r="AJ727" i="1"/>
  <c r="AJ719" i="1"/>
  <c r="AJ711" i="1"/>
  <c r="AJ703" i="1"/>
  <c r="AJ695" i="1"/>
  <c r="AJ687" i="1"/>
  <c r="AJ679" i="1"/>
  <c r="AJ671" i="1"/>
  <c r="AJ663" i="1"/>
  <c r="AJ655" i="1"/>
  <c r="AJ647" i="1"/>
  <c r="AJ639" i="1"/>
  <c r="AJ631" i="1"/>
  <c r="AJ623" i="1"/>
  <c r="AJ615" i="1"/>
  <c r="AJ607" i="1"/>
  <c r="AJ599" i="1"/>
  <c r="AJ591" i="1"/>
  <c r="AJ583" i="1"/>
  <c r="AJ575" i="1"/>
  <c r="AJ567" i="1"/>
  <c r="AJ559" i="1"/>
  <c r="AJ551" i="1"/>
  <c r="AJ543" i="1"/>
  <c r="AJ535" i="1"/>
  <c r="AJ527" i="1"/>
  <c r="AJ519" i="1"/>
  <c r="AJ511" i="1"/>
  <c r="AJ503" i="1"/>
  <c r="AJ495" i="1"/>
  <c r="AJ487" i="1"/>
  <c r="AJ479" i="1"/>
  <c r="AJ471" i="1"/>
  <c r="AJ463" i="1"/>
  <c r="AJ455" i="1"/>
  <c r="AJ447" i="1"/>
  <c r="AJ439" i="1"/>
  <c r="AJ431" i="1"/>
  <c r="AJ423" i="1"/>
  <c r="AJ415" i="1"/>
  <c r="AJ407" i="1"/>
  <c r="AJ399" i="1"/>
  <c r="AJ391" i="1"/>
  <c r="AJ383" i="1"/>
  <c r="AJ375" i="1"/>
  <c r="AJ367" i="1"/>
  <c r="AJ359" i="1"/>
  <c r="AJ351" i="1"/>
  <c r="AJ343" i="1"/>
  <c r="AJ335" i="1"/>
  <c r="AJ327" i="1"/>
  <c r="AJ319" i="1"/>
  <c r="AJ311" i="1"/>
  <c r="AJ303" i="1"/>
  <c r="AJ295" i="1"/>
  <c r="AJ287" i="1"/>
  <c r="AJ279" i="1"/>
  <c r="AJ271" i="1"/>
  <c r="AJ263" i="1"/>
  <c r="AJ255" i="1"/>
  <c r="AJ247" i="1"/>
  <c r="AJ239" i="1"/>
  <c r="AJ231" i="1"/>
  <c r="AJ215" i="1"/>
  <c r="AJ207" i="1"/>
  <c r="AJ183" i="1"/>
  <c r="AJ175" i="1"/>
  <c r="AJ151" i="1"/>
  <c r="AJ143" i="1"/>
  <c r="AJ119" i="1"/>
  <c r="AJ111" i="1"/>
  <c r="AJ87" i="1"/>
  <c r="AJ79" i="1"/>
  <c r="AJ55" i="1"/>
  <c r="AJ47" i="1"/>
  <c r="AJ23" i="1"/>
  <c r="AJ15" i="1"/>
  <c r="AJ325" i="1"/>
  <c r="AJ317" i="1"/>
  <c r="AJ309" i="1"/>
  <c r="AJ301" i="1"/>
  <c r="AJ293" i="1"/>
  <c r="AJ285" i="1"/>
  <c r="AJ277" i="1"/>
  <c r="AJ269" i="1"/>
  <c r="AJ261" i="1"/>
  <c r="AJ253" i="1"/>
  <c r="AJ245" i="1"/>
  <c r="AJ237" i="1"/>
  <c r="AJ229" i="1"/>
  <c r="AJ221" i="1"/>
  <c r="AJ213" i="1"/>
  <c r="AJ205" i="1"/>
  <c r="AJ197" i="1"/>
  <c r="AJ189" i="1"/>
  <c r="AJ181" i="1"/>
  <c r="AJ173" i="1"/>
  <c r="AJ165" i="1"/>
  <c r="AJ157" i="1"/>
  <c r="AJ149" i="1"/>
  <c r="AJ141" i="1"/>
  <c r="AJ133" i="1"/>
  <c r="AJ125" i="1"/>
  <c r="AJ117" i="1"/>
  <c r="AJ109" i="1"/>
  <c r="AJ101" i="1"/>
  <c r="AJ93" i="1"/>
  <c r="AJ85" i="1"/>
  <c r="AJ77" i="1"/>
  <c r="AJ69" i="1"/>
  <c r="AJ61" i="1"/>
  <c r="AJ53" i="1"/>
  <c r="AJ45" i="1"/>
  <c r="AJ37" i="1"/>
  <c r="AJ29" i="1"/>
  <c r="AJ21" i="1"/>
  <c r="AJ13" i="1"/>
  <c r="AJ5" i="1"/>
  <c r="AJ223" i="1"/>
  <c r="AJ199" i="1"/>
  <c r="AJ191" i="1"/>
  <c r="AJ167" i="1"/>
  <c r="AJ159" i="1"/>
  <c r="AJ135" i="1"/>
  <c r="AJ127" i="1"/>
  <c r="AJ103" i="1"/>
  <c r="AJ95" i="1"/>
  <c r="AJ71" i="1"/>
  <c r="AJ63" i="1"/>
  <c r="AJ39" i="1"/>
  <c r="AJ31" i="1"/>
  <c r="AJ7" i="1"/>
  <c r="Y134" i="1" l="1"/>
  <c r="AA134" i="1" s="1"/>
  <c r="Y424" i="1"/>
  <c r="AA424" i="1" s="1"/>
  <c r="Y69" i="1"/>
  <c r="AA69" i="1" s="1"/>
  <c r="Y61" i="1"/>
  <c r="AA61" i="1" s="1"/>
  <c r="Y157" i="1"/>
  <c r="AA157" i="1" s="1"/>
  <c r="Y26" i="1"/>
  <c r="AA26" i="1" s="1"/>
  <c r="Y90" i="1"/>
  <c r="AA90" i="1" s="1"/>
  <c r="Y154" i="1"/>
  <c r="AA154" i="1" s="1"/>
  <c r="Y218" i="1"/>
  <c r="AA218" i="1" s="1"/>
  <c r="Y282" i="1"/>
  <c r="AA282" i="1" s="1"/>
  <c r="Y346" i="1"/>
  <c r="AA346" i="1" s="1"/>
  <c r="Y410" i="1"/>
  <c r="AA410" i="1" s="1"/>
  <c r="Y474" i="1"/>
  <c r="AA474" i="1" s="1"/>
  <c r="Y538" i="1"/>
  <c r="AA538" i="1" s="1"/>
  <c r="Y602" i="1"/>
  <c r="AA602" i="1" s="1"/>
  <c r="Y666" i="1"/>
  <c r="AA666" i="1" s="1"/>
  <c r="Y730" i="1"/>
  <c r="AA730" i="1" s="1"/>
  <c r="Y794" i="1"/>
  <c r="AA794" i="1" s="1"/>
  <c r="Y858" i="1"/>
  <c r="AA858" i="1" s="1"/>
  <c r="Y922" i="1"/>
  <c r="AA922" i="1" s="1"/>
  <c r="Y86" i="1"/>
  <c r="AA86" i="1" s="1"/>
  <c r="Y278" i="1"/>
  <c r="AA278" i="1" s="1"/>
  <c r="Y43" i="1"/>
  <c r="AA43" i="1" s="1"/>
  <c r="Y107" i="1"/>
  <c r="AA107" i="1" s="1"/>
  <c r="Y171" i="1"/>
  <c r="AA171" i="1" s="1"/>
  <c r="Y235" i="1"/>
  <c r="AA235" i="1" s="1"/>
  <c r="Y299" i="1"/>
  <c r="AA299" i="1" s="1"/>
  <c r="Y363" i="1"/>
  <c r="AA363" i="1" s="1"/>
  <c r="Y427" i="1"/>
  <c r="AA427" i="1" s="1"/>
  <c r="Y491" i="1"/>
  <c r="AA491" i="1" s="1"/>
  <c r="Y555" i="1"/>
  <c r="AA555" i="1" s="1"/>
  <c r="Y619" i="1"/>
  <c r="AA619" i="1" s="1"/>
  <c r="Y683" i="1"/>
  <c r="AA683" i="1" s="1"/>
  <c r="Y747" i="1"/>
  <c r="AA747" i="1" s="1"/>
  <c r="Y12" i="1"/>
  <c r="AA12" i="1" s="1"/>
  <c r="Y76" i="1"/>
  <c r="AA76" i="1" s="1"/>
  <c r="Y140" i="1"/>
  <c r="AA140" i="1" s="1"/>
  <c r="Y204" i="1"/>
  <c r="AA204" i="1" s="1"/>
  <c r="Y268" i="1"/>
  <c r="AA268" i="1" s="1"/>
  <c r="Y332" i="1"/>
  <c r="AA332" i="1" s="1"/>
  <c r="Y396" i="1"/>
  <c r="AA396" i="1" s="1"/>
  <c r="Y460" i="1"/>
  <c r="AA460" i="1" s="1"/>
  <c r="Y524" i="1"/>
  <c r="AA524" i="1" s="1"/>
  <c r="Y588" i="1"/>
  <c r="AA588" i="1" s="1"/>
  <c r="Y652" i="1"/>
  <c r="AA652" i="1" s="1"/>
  <c r="Y716" i="1"/>
  <c r="AA716" i="1" s="1"/>
  <c r="Y780" i="1"/>
  <c r="AA780" i="1" s="1"/>
  <c r="Y844" i="1"/>
  <c r="AA844" i="1" s="1"/>
  <c r="Y829" i="1"/>
  <c r="AA829" i="1" s="1"/>
  <c r="Y246" i="1"/>
  <c r="AA246" i="1" s="1"/>
  <c r="Y125" i="1"/>
  <c r="AA125" i="1" s="1"/>
  <c r="Y261" i="1"/>
  <c r="AA261" i="1" s="1"/>
  <c r="Y325" i="1"/>
  <c r="AA325" i="1" s="1"/>
  <c r="Y389" i="1"/>
  <c r="AA389" i="1" s="1"/>
  <c r="Y453" i="1"/>
  <c r="AA453" i="1" s="1"/>
  <c r="Y517" i="1"/>
  <c r="AA517" i="1" s="1"/>
  <c r="Y581" i="1"/>
  <c r="AA581" i="1" s="1"/>
  <c r="Y645" i="1"/>
  <c r="AA645" i="1" s="1"/>
  <c r="Y709" i="1"/>
  <c r="AA709" i="1" s="1"/>
  <c r="Y805" i="1"/>
  <c r="AA805" i="1" s="1"/>
  <c r="Y694" i="1"/>
  <c r="AA694" i="1" s="1"/>
  <c r="Y807" i="1"/>
  <c r="AA807" i="1" s="1"/>
  <c r="Y173" i="1"/>
  <c r="AA173" i="1" s="1"/>
  <c r="Y34" i="1"/>
  <c r="AA34" i="1" s="1"/>
  <c r="Y98" i="1"/>
  <c r="AA98" i="1" s="1"/>
  <c r="Y162" i="1"/>
  <c r="AA162" i="1" s="1"/>
  <c r="Y226" i="1"/>
  <c r="AA226" i="1" s="1"/>
  <c r="Y290" i="1"/>
  <c r="AA290" i="1" s="1"/>
  <c r="Y354" i="1"/>
  <c r="AA354" i="1" s="1"/>
  <c r="Y418" i="1"/>
  <c r="AA418" i="1" s="1"/>
  <c r="Y482" i="1"/>
  <c r="AA482" i="1" s="1"/>
  <c r="Y546" i="1"/>
  <c r="AA546" i="1" s="1"/>
  <c r="Y610" i="1"/>
  <c r="AA610" i="1" s="1"/>
  <c r="Y674" i="1"/>
  <c r="AA674" i="1" s="1"/>
  <c r="Y738" i="1"/>
  <c r="AA738" i="1" s="1"/>
  <c r="Y802" i="1"/>
  <c r="AA802" i="1" s="1"/>
  <c r="Y866" i="1"/>
  <c r="AA866" i="1" s="1"/>
  <c r="Y930" i="1"/>
  <c r="AA930" i="1" s="1"/>
  <c r="Y94" i="1"/>
  <c r="AA94" i="1" s="1"/>
  <c r="Y286" i="1"/>
  <c r="AA286" i="1" s="1"/>
  <c r="Y51" i="1"/>
  <c r="AA51" i="1" s="1"/>
  <c r="Y115" i="1"/>
  <c r="AA115" i="1" s="1"/>
  <c r="Y179" i="1"/>
  <c r="AA179" i="1" s="1"/>
  <c r="Y243" i="1"/>
  <c r="AA243" i="1" s="1"/>
  <c r="Y307" i="1"/>
  <c r="AA307" i="1" s="1"/>
  <c r="Y371" i="1"/>
  <c r="AA371" i="1" s="1"/>
  <c r="Y435" i="1"/>
  <c r="AA435" i="1" s="1"/>
  <c r="Y499" i="1"/>
  <c r="AA499" i="1" s="1"/>
  <c r="Y563" i="1"/>
  <c r="AA563" i="1" s="1"/>
  <c r="Y627" i="1"/>
  <c r="AA627" i="1" s="1"/>
  <c r="Y691" i="1"/>
  <c r="AA691" i="1" s="1"/>
  <c r="Y755" i="1"/>
  <c r="AA755" i="1" s="1"/>
  <c r="Y819" i="1"/>
  <c r="AA819" i="1" s="1"/>
  <c r="Y883" i="1"/>
  <c r="AA883" i="1" s="1"/>
  <c r="Y885" i="1"/>
  <c r="AA885" i="1" s="1"/>
  <c r="Y20" i="1"/>
  <c r="AA20" i="1" s="1"/>
  <c r="Y84" i="1"/>
  <c r="AA84" i="1" s="1"/>
  <c r="Y148" i="1"/>
  <c r="AA148" i="1" s="1"/>
  <c r="Y212" i="1"/>
  <c r="AA212" i="1" s="1"/>
  <c r="Y276" i="1"/>
  <c r="AA276" i="1" s="1"/>
  <c r="Y340" i="1"/>
  <c r="AA340" i="1" s="1"/>
  <c r="Y404" i="1"/>
  <c r="AA404" i="1" s="1"/>
  <c r="Y468" i="1"/>
  <c r="AA468" i="1" s="1"/>
  <c r="Y532" i="1"/>
  <c r="AA532" i="1" s="1"/>
  <c r="Y294" i="1"/>
  <c r="AA294" i="1" s="1"/>
  <c r="Y870" i="1"/>
  <c r="AA870" i="1" s="1"/>
  <c r="Y104" i="1"/>
  <c r="AA104" i="1" s="1"/>
  <c r="Y77" i="1"/>
  <c r="AA77" i="1" s="1"/>
  <c r="Y189" i="1"/>
  <c r="AA189" i="1" s="1"/>
  <c r="Y42" i="1"/>
  <c r="AA42" i="1" s="1"/>
  <c r="Y106" i="1"/>
  <c r="AA106" i="1" s="1"/>
  <c r="Y170" i="1"/>
  <c r="AA170" i="1" s="1"/>
  <c r="Y234" i="1"/>
  <c r="AA234" i="1" s="1"/>
  <c r="Y298" i="1"/>
  <c r="AA298" i="1" s="1"/>
  <c r="Y362" i="1"/>
  <c r="AA362" i="1" s="1"/>
  <c r="Y426" i="1"/>
  <c r="AA426" i="1" s="1"/>
  <c r="Y490" i="1"/>
  <c r="AA490" i="1" s="1"/>
  <c r="Y554" i="1"/>
  <c r="AA554" i="1" s="1"/>
  <c r="Y618" i="1"/>
  <c r="AA618" i="1" s="1"/>
  <c r="Y682" i="1"/>
  <c r="AA682" i="1" s="1"/>
  <c r="Y746" i="1"/>
  <c r="AA746" i="1" s="1"/>
  <c r="Y810" i="1"/>
  <c r="AA810" i="1" s="1"/>
  <c r="Y874" i="1"/>
  <c r="AA874" i="1" s="1"/>
  <c r="Y773" i="1"/>
  <c r="AA773" i="1" s="1"/>
  <c r="Y110" i="1"/>
  <c r="AA110" i="1" s="1"/>
  <c r="Y318" i="1"/>
  <c r="AA318" i="1" s="1"/>
  <c r="Y59" i="1"/>
  <c r="AA59" i="1" s="1"/>
  <c r="Y123" i="1"/>
  <c r="AA123" i="1" s="1"/>
  <c r="Y187" i="1"/>
  <c r="AA187" i="1" s="1"/>
  <c r="Y251" i="1"/>
  <c r="AA251" i="1" s="1"/>
  <c r="Y315" i="1"/>
  <c r="AA315" i="1" s="1"/>
  <c r="Y379" i="1"/>
  <c r="AA379" i="1" s="1"/>
  <c r="Y443" i="1"/>
  <c r="AA443" i="1" s="1"/>
  <c r="Y507" i="1"/>
  <c r="AA507" i="1" s="1"/>
  <c r="Y571" i="1"/>
  <c r="AA571" i="1" s="1"/>
  <c r="Y635" i="1"/>
  <c r="AA635" i="1" s="1"/>
  <c r="Y699" i="1"/>
  <c r="AA699" i="1" s="1"/>
  <c r="Y763" i="1"/>
  <c r="AA763" i="1" s="1"/>
  <c r="Y827" i="1"/>
  <c r="AA827" i="1" s="1"/>
  <c r="Y891" i="1"/>
  <c r="AA891" i="1" s="1"/>
  <c r="Y2" i="1"/>
  <c r="AA2" i="1" s="1"/>
  <c r="Y85" i="1"/>
  <c r="AA85" i="1" s="1"/>
  <c r="Y197" i="1"/>
  <c r="AA197" i="1" s="1"/>
  <c r="Y50" i="1"/>
  <c r="AA50" i="1" s="1"/>
  <c r="Y114" i="1"/>
  <c r="AA114" i="1" s="1"/>
  <c r="Y178" i="1"/>
  <c r="AA178" i="1" s="1"/>
  <c r="Y242" i="1"/>
  <c r="AA242" i="1" s="1"/>
  <c r="Y306" i="1"/>
  <c r="AA306" i="1" s="1"/>
  <c r="Y370" i="1"/>
  <c r="AA370" i="1" s="1"/>
  <c r="Y434" i="1"/>
  <c r="AA434" i="1" s="1"/>
  <c r="Y498" i="1"/>
  <c r="AA498" i="1" s="1"/>
  <c r="Y562" i="1"/>
  <c r="AA562" i="1" s="1"/>
  <c r="Y626" i="1"/>
  <c r="AA626" i="1" s="1"/>
  <c r="Y690" i="1"/>
  <c r="AA690" i="1" s="1"/>
  <c r="Y754" i="1"/>
  <c r="AA754" i="1" s="1"/>
  <c r="Y818" i="1"/>
  <c r="AA818" i="1" s="1"/>
  <c r="Y882" i="1"/>
  <c r="AA882" i="1" s="1"/>
  <c r="Y869" i="1"/>
  <c r="AA869" i="1" s="1"/>
  <c r="Y3" i="1"/>
  <c r="AA3" i="1" s="1"/>
  <c r="Y881" i="1"/>
  <c r="AA881" i="1" s="1"/>
  <c r="Y265" i="1"/>
  <c r="AA265" i="1" s="1"/>
  <c r="Y201" i="1"/>
  <c r="AA201" i="1" s="1"/>
  <c r="Y137" i="1"/>
  <c r="AA137" i="1" s="1"/>
  <c r="Y73" i="1"/>
  <c r="AA73" i="1" s="1"/>
  <c r="Y9" i="1"/>
  <c r="AA9" i="1" s="1"/>
  <c r="Y720" i="1"/>
  <c r="AA720" i="1" s="1"/>
  <c r="Y817" i="1"/>
  <c r="AA817" i="1" s="1"/>
  <c r="Y385" i="1"/>
  <c r="AA385" i="1" s="1"/>
  <c r="Y672" i="1"/>
  <c r="AA672" i="1" s="1"/>
  <c r="Y344" i="1"/>
  <c r="AA344" i="1" s="1"/>
  <c r="Y16" i="1"/>
  <c r="AA16" i="1" s="1"/>
  <c r="Y607" i="1"/>
  <c r="AA607" i="1" s="1"/>
  <c r="Y319" i="1"/>
  <c r="AA319" i="1" s="1"/>
  <c r="Y329" i="1"/>
  <c r="AA329" i="1" s="1"/>
  <c r="Y24" i="1"/>
  <c r="AA24" i="1" s="1"/>
  <c r="Y143" i="1"/>
  <c r="AA143" i="1" s="1"/>
  <c r="Y326" i="1"/>
  <c r="AA326" i="1" s="1"/>
  <c r="Y545" i="1"/>
  <c r="AA545" i="1" s="1"/>
  <c r="Y392" i="1"/>
  <c r="AA392" i="1" s="1"/>
  <c r="Y407" i="1"/>
  <c r="AA407" i="1" s="1"/>
  <c r="Y462" i="1"/>
  <c r="AA462" i="1" s="1"/>
  <c r="Y673" i="1"/>
  <c r="AA673" i="1" s="1"/>
  <c r="Y377" i="1"/>
  <c r="AA377" i="1" s="1"/>
  <c r="Y712" i="1"/>
  <c r="AA712" i="1" s="1"/>
  <c r="Y440" i="1"/>
  <c r="AA440" i="1" s="1"/>
  <c r="Y112" i="1"/>
  <c r="AA112" i="1" s="1"/>
  <c r="Y727" i="1"/>
  <c r="AA727" i="1" s="1"/>
  <c r="Y415" i="1"/>
  <c r="AA415" i="1" s="1"/>
  <c r="Y167" i="1"/>
  <c r="AA167" i="1" s="1"/>
  <c r="Y878" i="1"/>
  <c r="AA878" i="1" s="1"/>
  <c r="Y638" i="1"/>
  <c r="AA638" i="1" s="1"/>
  <c r="Y414" i="1"/>
  <c r="AA414" i="1" s="1"/>
  <c r="Y745" i="1"/>
  <c r="AA745" i="1" s="1"/>
  <c r="Y449" i="1"/>
  <c r="AA449" i="1" s="1"/>
  <c r="Y752" i="1"/>
  <c r="AA752" i="1" s="1"/>
  <c r="Y448" i="1"/>
  <c r="AA448" i="1" s="1"/>
  <c r="Y120" i="1"/>
  <c r="AA120" i="1" s="1"/>
  <c r="Y719" i="1"/>
  <c r="AA719" i="1" s="1"/>
  <c r="Y423" i="1"/>
  <c r="AA423" i="1" s="1"/>
  <c r="Y151" i="1"/>
  <c r="AA151" i="1" s="1"/>
  <c r="Y814" i="1"/>
  <c r="AA814" i="1" s="1"/>
  <c r="Y598" i="1"/>
  <c r="AA598" i="1" s="1"/>
  <c r="Y374" i="1"/>
  <c r="AA374" i="1" s="1"/>
  <c r="Y369" i="1"/>
  <c r="AA369" i="1" s="1"/>
  <c r="Y664" i="1"/>
  <c r="AA664" i="1" s="1"/>
  <c r="Y304" i="1"/>
  <c r="AA304" i="1" s="1"/>
  <c r="Y895" i="1"/>
  <c r="AA895" i="1" s="1"/>
  <c r="Y639" i="1"/>
  <c r="AA639" i="1" s="1"/>
  <c r="Y351" i="1"/>
  <c r="AA351" i="1" s="1"/>
  <c r="Y87" i="1"/>
  <c r="AA87" i="1" s="1"/>
  <c r="Y798" i="1"/>
  <c r="AA798" i="1" s="1"/>
  <c r="Y558" i="1"/>
  <c r="AA558" i="1" s="1"/>
  <c r="Y342" i="1"/>
  <c r="AA342" i="1" s="1"/>
  <c r="Y38" i="1"/>
  <c r="AA38" i="1" s="1"/>
  <c r="Y182" i="1"/>
  <c r="AA182" i="1" s="1"/>
  <c r="Y761" i="1"/>
  <c r="AA761" i="1" s="1"/>
  <c r="Y257" i="1"/>
  <c r="AA257" i="1" s="1"/>
  <c r="Y193" i="1"/>
  <c r="AA193" i="1" s="1"/>
  <c r="Y129" i="1"/>
  <c r="AA129" i="1" s="1"/>
  <c r="Y65" i="1"/>
  <c r="AA65" i="1" s="1"/>
  <c r="Y600" i="1"/>
  <c r="AA600" i="1" s="1"/>
  <c r="Y769" i="1"/>
  <c r="AA769" i="1" s="1"/>
  <c r="Y361" i="1"/>
  <c r="AA361" i="1" s="1"/>
  <c r="Y624" i="1"/>
  <c r="AA624" i="1" s="1"/>
  <c r="Y312" i="1"/>
  <c r="AA312" i="1" s="1"/>
  <c r="Y567" i="1"/>
  <c r="AA567" i="1" s="1"/>
  <c r="Y183" i="1"/>
  <c r="AA183" i="1" s="1"/>
  <c r="Y872" i="1"/>
  <c r="AA872" i="1" s="1"/>
  <c r="Y31" i="1"/>
  <c r="AA31" i="1" s="1"/>
  <c r="Y497" i="1"/>
  <c r="AA497" i="1" s="1"/>
  <c r="Y264" i="1"/>
  <c r="AA264" i="1" s="1"/>
  <c r="Y295" i="1"/>
  <c r="AA295" i="1" s="1"/>
  <c r="Y334" i="1"/>
  <c r="AA334" i="1" s="1"/>
  <c r="Y641" i="1"/>
  <c r="AA641" i="1" s="1"/>
  <c r="Y353" i="1"/>
  <c r="AA353" i="1" s="1"/>
  <c r="Y688" i="1"/>
  <c r="AA688" i="1" s="1"/>
  <c r="Y384" i="1"/>
  <c r="AA384" i="1" s="1"/>
  <c r="Y88" i="1"/>
  <c r="AA88" i="1" s="1"/>
  <c r="Y695" i="1"/>
  <c r="AA695" i="1" s="1"/>
  <c r="Y375" i="1"/>
  <c r="AA375" i="1" s="1"/>
  <c r="Y135" i="1"/>
  <c r="AA135" i="1" s="1"/>
  <c r="Y838" i="1"/>
  <c r="AA838" i="1" s="1"/>
  <c r="Y614" i="1"/>
  <c r="AA614" i="1" s="1"/>
  <c r="Y382" i="1"/>
  <c r="AA382" i="1" s="1"/>
  <c r="Y713" i="1"/>
  <c r="AA713" i="1" s="1"/>
  <c r="Y409" i="1"/>
  <c r="AA409" i="1" s="1"/>
  <c r="Y704" i="1"/>
  <c r="AA704" i="1" s="1"/>
  <c r="Y416" i="1"/>
  <c r="AA416" i="1" s="1"/>
  <c r="Y72" i="1"/>
  <c r="AA72" i="1" s="1"/>
  <c r="Y687" i="1"/>
  <c r="AA687" i="1" s="1"/>
  <c r="Y383" i="1"/>
  <c r="AA383" i="1" s="1"/>
  <c r="Y119" i="1"/>
  <c r="AA119" i="1" s="1"/>
  <c r="Y790" i="1"/>
  <c r="AA790" i="1" s="1"/>
  <c r="Y574" i="1"/>
  <c r="AA574" i="1" s="1"/>
  <c r="Y358" i="1"/>
  <c r="AA358" i="1" s="1"/>
  <c r="Y321" i="1"/>
  <c r="AA321" i="1" s="1"/>
  <c r="Y632" i="1"/>
  <c r="AA632" i="1" s="1"/>
  <c r="Y248" i="1"/>
  <c r="AA248" i="1" s="1"/>
  <c r="Y871" i="1"/>
  <c r="AA871" i="1" s="1"/>
  <c r="Y599" i="1"/>
  <c r="AA599" i="1" s="1"/>
  <c r="Y327" i="1"/>
  <c r="AA327" i="1" s="1"/>
  <c r="Y55" i="1"/>
  <c r="AA55" i="1" s="1"/>
  <c r="Y766" i="1"/>
  <c r="AA766" i="1" s="1"/>
  <c r="Y534" i="1"/>
  <c r="AA534" i="1" s="1"/>
  <c r="Y254" i="1"/>
  <c r="AA254" i="1" s="1"/>
  <c r="Y150" i="1"/>
  <c r="AA150" i="1" s="1"/>
  <c r="Y54" i="1"/>
  <c r="AA54" i="1" s="1"/>
  <c r="Y206" i="1"/>
  <c r="AA206" i="1" s="1"/>
  <c r="Y625" i="1"/>
  <c r="AA625" i="1" s="1"/>
  <c r="Y249" i="1"/>
  <c r="AA249" i="1" s="1"/>
  <c r="Y185" i="1"/>
  <c r="AA185" i="1" s="1"/>
  <c r="Y121" i="1"/>
  <c r="AA121" i="1" s="1"/>
  <c r="Y57" i="1"/>
  <c r="AA57" i="1" s="1"/>
  <c r="Y801" i="1"/>
  <c r="AA801" i="1" s="1"/>
  <c r="Y488" i="1"/>
  <c r="AA488" i="1" s="1"/>
  <c r="Y729" i="1"/>
  <c r="AA729" i="1" s="1"/>
  <c r="Y305" i="1"/>
  <c r="AA305" i="1" s="1"/>
  <c r="Y592" i="1"/>
  <c r="AA592" i="1" s="1"/>
  <c r="Y256" i="1"/>
  <c r="AA256" i="1" s="1"/>
  <c r="Y847" i="1"/>
  <c r="AA847" i="1" s="1"/>
  <c r="Y535" i="1"/>
  <c r="AA535" i="1" s="1"/>
  <c r="Y103" i="1"/>
  <c r="AA103" i="1" s="1"/>
  <c r="Y744" i="1"/>
  <c r="AA744" i="1" s="1"/>
  <c r="Y799" i="1"/>
  <c r="AA799" i="1" s="1"/>
  <c r="Y894" i="1"/>
  <c r="AA894" i="1" s="1"/>
  <c r="Y777" i="1"/>
  <c r="AA777" i="1" s="1"/>
  <c r="Y473" i="1"/>
  <c r="AA473" i="1" s="1"/>
  <c r="Y168" i="1"/>
  <c r="AA168" i="1" s="1"/>
  <c r="Y175" i="1"/>
  <c r="AA175" i="1" s="1"/>
  <c r="Y601" i="1"/>
  <c r="AA601" i="1" s="1"/>
  <c r="Y297" i="1"/>
  <c r="AA297" i="1" s="1"/>
  <c r="Y656" i="1"/>
  <c r="AA656" i="1" s="1"/>
  <c r="Y352" i="1"/>
  <c r="AA352" i="1" s="1"/>
  <c r="Y32" i="1"/>
  <c r="AA32" i="1" s="1"/>
  <c r="Y663" i="1"/>
  <c r="AA663" i="1" s="1"/>
  <c r="Y343" i="1"/>
  <c r="AA343" i="1" s="1"/>
  <c r="Y111" i="1"/>
  <c r="AA111" i="1" s="1"/>
  <c r="Y822" i="1"/>
  <c r="AA822" i="1" s="1"/>
  <c r="Y590" i="1"/>
  <c r="AA590" i="1" s="1"/>
  <c r="Y350" i="1"/>
  <c r="AA350" i="1" s="1"/>
  <c r="Y665" i="1"/>
  <c r="AA665" i="1" s="1"/>
  <c r="Y289" i="1"/>
  <c r="AA289" i="1" s="1"/>
  <c r="Y680" i="1"/>
  <c r="AA680" i="1" s="1"/>
  <c r="Y368" i="1"/>
  <c r="AA368" i="1" s="1"/>
  <c r="Y8" i="1"/>
  <c r="AA8" i="1" s="1"/>
  <c r="Y647" i="1"/>
  <c r="AA647" i="1" s="1"/>
  <c r="Y335" i="1"/>
  <c r="AA335" i="1" s="1"/>
  <c r="Y95" i="1"/>
  <c r="AA95" i="1" s="1"/>
  <c r="Y750" i="1"/>
  <c r="AA750" i="1" s="1"/>
  <c r="Y542" i="1"/>
  <c r="AA542" i="1" s="1"/>
  <c r="Y897" i="1"/>
  <c r="AA897" i="1" s="1"/>
  <c r="Y584" i="1"/>
  <c r="AA584" i="1" s="1"/>
  <c r="Y216" i="1"/>
  <c r="AA216" i="1" s="1"/>
  <c r="Y839" i="1"/>
  <c r="AA839" i="1" s="1"/>
  <c r="Y559" i="1"/>
  <c r="AA559" i="1" s="1"/>
  <c r="Y287" i="1"/>
  <c r="AA287" i="1" s="1"/>
  <c r="Y15" i="1"/>
  <c r="AA15" i="1" s="1"/>
  <c r="Y742" i="1"/>
  <c r="AA742" i="1" s="1"/>
  <c r="Y502" i="1"/>
  <c r="AA502" i="1" s="1"/>
  <c r="Y166" i="1"/>
  <c r="AA166" i="1" s="1"/>
  <c r="Y310" i="1"/>
  <c r="AA310" i="1" s="1"/>
  <c r="Y126" i="1"/>
  <c r="AA126" i="1" s="1"/>
  <c r="Y513" i="1"/>
  <c r="AA513" i="1" s="1"/>
  <c r="Y241" i="1"/>
  <c r="AA241" i="1" s="1"/>
  <c r="Y177" i="1"/>
  <c r="AA177" i="1" s="1"/>
  <c r="Y113" i="1"/>
  <c r="AA113" i="1" s="1"/>
  <c r="Y49" i="1"/>
  <c r="AA49" i="1" s="1"/>
  <c r="Y681" i="1"/>
  <c r="AA681" i="1" s="1"/>
  <c r="Y400" i="1"/>
  <c r="AA400" i="1" s="1"/>
  <c r="Y697" i="1"/>
  <c r="AA697" i="1" s="1"/>
  <c r="Y896" i="1"/>
  <c r="AA896" i="1" s="1"/>
  <c r="Y560" i="1"/>
  <c r="AA560" i="1" s="1"/>
  <c r="Y224" i="1"/>
  <c r="AA224" i="1" s="1"/>
  <c r="Y815" i="1"/>
  <c r="AA815" i="1" s="1"/>
  <c r="Y511" i="1"/>
  <c r="AA511" i="1" s="1"/>
  <c r="Y39" i="1"/>
  <c r="AA39" i="1" s="1"/>
  <c r="Y648" i="1"/>
  <c r="AA648" i="1" s="1"/>
  <c r="Y679" i="1"/>
  <c r="AA679" i="1" s="1"/>
  <c r="Y806" i="1"/>
  <c r="AA806" i="1" s="1"/>
  <c r="Y737" i="1"/>
  <c r="AA737" i="1" s="1"/>
  <c r="Y313" i="1"/>
  <c r="AA313" i="1" s="1"/>
  <c r="Y56" i="1"/>
  <c r="AA56" i="1" s="1"/>
  <c r="Y7" i="1"/>
  <c r="AA7" i="1" s="1"/>
  <c r="Y865" i="1"/>
  <c r="AA865" i="1" s="1"/>
  <c r="Y569" i="1"/>
  <c r="AA569" i="1" s="1"/>
  <c r="Y616" i="1"/>
  <c r="AA616" i="1" s="1"/>
  <c r="Y320" i="1"/>
  <c r="AA320" i="1" s="1"/>
  <c r="Y927" i="1"/>
  <c r="AA927" i="1" s="1"/>
  <c r="Y631" i="1"/>
  <c r="AA631" i="1" s="1"/>
  <c r="Y311" i="1"/>
  <c r="AA311" i="1" s="1"/>
  <c r="Y79" i="1"/>
  <c r="AA79" i="1" s="1"/>
  <c r="Y782" i="1"/>
  <c r="AA782" i="1" s="1"/>
  <c r="Y566" i="1"/>
  <c r="AA566" i="1" s="1"/>
  <c r="Y929" i="1"/>
  <c r="AA929" i="1" s="1"/>
  <c r="Y633" i="1"/>
  <c r="AA633" i="1" s="1"/>
  <c r="Y928" i="1"/>
  <c r="AA928" i="1" s="1"/>
  <c r="Y640" i="1"/>
  <c r="AA640" i="1" s="1"/>
  <c r="Y336" i="1"/>
  <c r="AA336" i="1" s="1"/>
  <c r="Y615" i="1"/>
  <c r="AA615" i="1" s="1"/>
  <c r="Y303" i="1"/>
  <c r="AA303" i="1" s="1"/>
  <c r="Y71" i="1"/>
  <c r="AA71" i="1" s="1"/>
  <c r="Y734" i="1"/>
  <c r="AA734" i="1" s="1"/>
  <c r="Y510" i="1"/>
  <c r="AA510" i="1" s="1"/>
  <c r="Y857" i="1"/>
  <c r="AA857" i="1" s="1"/>
  <c r="Y880" i="1"/>
  <c r="AA880" i="1" s="1"/>
  <c r="Y528" i="1"/>
  <c r="AA528" i="1" s="1"/>
  <c r="Y192" i="1"/>
  <c r="AA192" i="1" s="1"/>
  <c r="Y417" i="1"/>
  <c r="AA417" i="1" s="1"/>
  <c r="Y233" i="1"/>
  <c r="AA233" i="1" s="1"/>
  <c r="Y169" i="1"/>
  <c r="AA169" i="1" s="1"/>
  <c r="Y105" i="1"/>
  <c r="AA105" i="1" s="1"/>
  <c r="Y41" i="1"/>
  <c r="AA41" i="1" s="1"/>
  <c r="Y553" i="1"/>
  <c r="AA553" i="1" s="1"/>
  <c r="Y280" i="1"/>
  <c r="AA280" i="1" s="1"/>
  <c r="Y649" i="1"/>
  <c r="AA649" i="1" s="1"/>
  <c r="Y856" i="1"/>
  <c r="AA856" i="1" s="1"/>
  <c r="Y520" i="1"/>
  <c r="AA520" i="1" s="1"/>
  <c r="Y184" i="1"/>
  <c r="AA184" i="1" s="1"/>
  <c r="Y767" i="1"/>
  <c r="AA767" i="1" s="1"/>
  <c r="Y479" i="1"/>
  <c r="AA479" i="1" s="1"/>
  <c r="Y825" i="1"/>
  <c r="AA825" i="1" s="1"/>
  <c r="Y536" i="1"/>
  <c r="AA536" i="1" s="1"/>
  <c r="Y583" i="1"/>
  <c r="AA583" i="1" s="1"/>
  <c r="Y718" i="1"/>
  <c r="AA718" i="1" s="1"/>
  <c r="Y705" i="1"/>
  <c r="AA705" i="1" s="1"/>
  <c r="Y848" i="1"/>
  <c r="AA848" i="1" s="1"/>
  <c r="Y879" i="1"/>
  <c r="AA879" i="1" s="1"/>
  <c r="Y862" i="1"/>
  <c r="AA862" i="1" s="1"/>
  <c r="Y841" i="1"/>
  <c r="AA841" i="1" s="1"/>
  <c r="Y521" i="1"/>
  <c r="AA521" i="1" s="1"/>
  <c r="Y888" i="1"/>
  <c r="AA888" i="1" s="1"/>
  <c r="Y568" i="1"/>
  <c r="AA568" i="1" s="1"/>
  <c r="Y288" i="1"/>
  <c r="AA288" i="1" s="1"/>
  <c r="Y887" i="1"/>
  <c r="AA887" i="1" s="1"/>
  <c r="Y591" i="1"/>
  <c r="AA591" i="1" s="1"/>
  <c r="Y279" i="1"/>
  <c r="AA279" i="1" s="1"/>
  <c r="Y63" i="1"/>
  <c r="AA63" i="1" s="1"/>
  <c r="Y758" i="1"/>
  <c r="AA758" i="1" s="1"/>
  <c r="Y526" i="1"/>
  <c r="AA526" i="1" s="1"/>
  <c r="Y873" i="1"/>
  <c r="AA873" i="1" s="1"/>
  <c r="Y593" i="1"/>
  <c r="AA593" i="1" s="1"/>
  <c r="Y576" i="1"/>
  <c r="AA576" i="1" s="1"/>
  <c r="Y296" i="1"/>
  <c r="AA296" i="1" s="1"/>
  <c r="Y863" i="1"/>
  <c r="AA863" i="1" s="1"/>
  <c r="Y575" i="1"/>
  <c r="AA575" i="1" s="1"/>
  <c r="Y271" i="1"/>
  <c r="AA271" i="1" s="1"/>
  <c r="Y47" i="1"/>
  <c r="AA47" i="1" s="1"/>
  <c r="Y710" i="1"/>
  <c r="AA710" i="1" s="1"/>
  <c r="Y486" i="1"/>
  <c r="AA486" i="1" s="1"/>
  <c r="Y833" i="1"/>
  <c r="AA833" i="1" s="1"/>
  <c r="Y824" i="1"/>
  <c r="AA824" i="1" s="1"/>
  <c r="Y472" i="1"/>
  <c r="AA472" i="1" s="1"/>
  <c r="Y144" i="1"/>
  <c r="AA144" i="1" s="1"/>
  <c r="Y783" i="1"/>
  <c r="AA783" i="1" s="1"/>
  <c r="Y487" i="1"/>
  <c r="AA487" i="1" s="1"/>
  <c r="Y223" i="1"/>
  <c r="AA223" i="1" s="1"/>
  <c r="Y670" i="1"/>
  <c r="AA670" i="1" s="1"/>
  <c r="Y438" i="1"/>
  <c r="AA438" i="1" s="1"/>
  <c r="Y6" i="1"/>
  <c r="AA6" i="1" s="1"/>
  <c r="Y270" i="1"/>
  <c r="AA270" i="1" s="1"/>
  <c r="Y62" i="1"/>
  <c r="AA62" i="1" s="1"/>
  <c r="Y345" i="1"/>
  <c r="AA345" i="1" s="1"/>
  <c r="Y225" i="1"/>
  <c r="AA225" i="1" s="1"/>
  <c r="Y161" i="1"/>
  <c r="AA161" i="1" s="1"/>
  <c r="Y97" i="1"/>
  <c r="AA97" i="1" s="1"/>
  <c r="Y33" i="1"/>
  <c r="AA33" i="1" s="1"/>
  <c r="Y457" i="1"/>
  <c r="AA457" i="1" s="1"/>
  <c r="Y176" i="1"/>
  <c r="AA176" i="1" s="1"/>
  <c r="Y609" i="1"/>
  <c r="AA609" i="1" s="1"/>
  <c r="Y808" i="1"/>
  <c r="AA808" i="1" s="1"/>
  <c r="Y464" i="1"/>
  <c r="AA464" i="1" s="1"/>
  <c r="Y128" i="1"/>
  <c r="AA128" i="1" s="1"/>
  <c r="Y735" i="1"/>
  <c r="AA735" i="1" s="1"/>
  <c r="Y439" i="1"/>
  <c r="AA439" i="1" s="1"/>
  <c r="Y689" i="1"/>
  <c r="AA689" i="1" s="1"/>
  <c r="Y408" i="1"/>
  <c r="AA408" i="1" s="1"/>
  <c r="Y471" i="1"/>
  <c r="AA471" i="1" s="1"/>
  <c r="Y606" i="1"/>
  <c r="AA606" i="1" s="1"/>
  <c r="Y657" i="1"/>
  <c r="AA657" i="1" s="1"/>
  <c r="Y736" i="1"/>
  <c r="AA736" i="1" s="1"/>
  <c r="Y743" i="1"/>
  <c r="AA743" i="1" s="1"/>
  <c r="Y774" i="1"/>
  <c r="AA774" i="1" s="1"/>
  <c r="Y793" i="1"/>
  <c r="AA793" i="1" s="1"/>
  <c r="Y489" i="1"/>
  <c r="AA489" i="1" s="1"/>
  <c r="Y840" i="1"/>
  <c r="AA840" i="1" s="1"/>
  <c r="Y552" i="1"/>
  <c r="AA552" i="1" s="1"/>
  <c r="Y240" i="1"/>
  <c r="AA240" i="1" s="1"/>
  <c r="Y855" i="1"/>
  <c r="AA855" i="1" s="1"/>
  <c r="Y551" i="1"/>
  <c r="AA551" i="1" s="1"/>
  <c r="Y263" i="1"/>
  <c r="AA263" i="1" s="1"/>
  <c r="Y23" i="1"/>
  <c r="AA23" i="1" s="1"/>
  <c r="Y726" i="1"/>
  <c r="AA726" i="1" s="1"/>
  <c r="Y494" i="1"/>
  <c r="AA494" i="1" s="1"/>
  <c r="Y849" i="1"/>
  <c r="AA849" i="1" s="1"/>
  <c r="Y561" i="1"/>
  <c r="AA561" i="1" s="1"/>
  <c r="Y864" i="1"/>
  <c r="AA864" i="1" s="1"/>
  <c r="Y544" i="1"/>
  <c r="AA544" i="1" s="1"/>
  <c r="Y232" i="1"/>
  <c r="AA232" i="1" s="1"/>
  <c r="Y823" i="1"/>
  <c r="AA823" i="1" s="1"/>
  <c r="Y543" i="1"/>
  <c r="AA543" i="1" s="1"/>
  <c r="Y239" i="1"/>
  <c r="AA239" i="1" s="1"/>
  <c r="Y281" i="1"/>
  <c r="AA281" i="1" s="1"/>
  <c r="Y217" i="1"/>
  <c r="AA217" i="1" s="1"/>
  <c r="Y153" i="1"/>
  <c r="AA153" i="1" s="1"/>
  <c r="Y89" i="1"/>
  <c r="AA89" i="1" s="1"/>
  <c r="Y25" i="1"/>
  <c r="AA25" i="1" s="1"/>
  <c r="Y337" i="1"/>
  <c r="AA337" i="1" s="1"/>
  <c r="Y48" i="1"/>
  <c r="AA48" i="1" s="1"/>
  <c r="Y577" i="1"/>
  <c r="AA577" i="1" s="1"/>
  <c r="Y776" i="1"/>
  <c r="AA776" i="1" s="1"/>
  <c r="Y432" i="1"/>
  <c r="AA432" i="1" s="1"/>
  <c r="Y96" i="1"/>
  <c r="AA96" i="1" s="1"/>
  <c r="Y703" i="1"/>
  <c r="AA703" i="1" s="1"/>
  <c r="Y399" i="1"/>
  <c r="AA399" i="1" s="1"/>
  <c r="Y537" i="1"/>
  <c r="AA537" i="1" s="1"/>
  <c r="Y272" i="1"/>
  <c r="AA272" i="1" s="1"/>
  <c r="Y367" i="1"/>
  <c r="AA367" i="1" s="1"/>
  <c r="Y518" i="1"/>
  <c r="AA518" i="1" s="1"/>
  <c r="Y617" i="1"/>
  <c r="AA617" i="1" s="1"/>
  <c r="Y608" i="1"/>
  <c r="AA608" i="1" s="1"/>
  <c r="Y623" i="1"/>
  <c r="AA623" i="1" s="1"/>
  <c r="Y662" i="1"/>
  <c r="AA662" i="1" s="1"/>
  <c r="Y753" i="1"/>
  <c r="AA753" i="1" s="1"/>
  <c r="Y441" i="1"/>
  <c r="AA441" i="1" s="1"/>
  <c r="Y800" i="1"/>
  <c r="AA800" i="1" s="1"/>
  <c r="Y504" i="1"/>
  <c r="AA504" i="1" s="1"/>
  <c r="Y208" i="1"/>
  <c r="AA208" i="1" s="1"/>
  <c r="Y831" i="1"/>
  <c r="AA831" i="1" s="1"/>
  <c r="Y495" i="1"/>
  <c r="AA495" i="1" s="1"/>
  <c r="Y231" i="1"/>
  <c r="AA231" i="1" s="1"/>
  <c r="Y926" i="1"/>
  <c r="AA926" i="1" s="1"/>
  <c r="Y702" i="1"/>
  <c r="AA702" i="1" s="1"/>
  <c r="Y478" i="1"/>
  <c r="AA478" i="1" s="1"/>
  <c r="Y809" i="1"/>
  <c r="AA809" i="1" s="1"/>
  <c r="Y505" i="1"/>
  <c r="AA505" i="1" s="1"/>
  <c r="Y816" i="1"/>
  <c r="AA816" i="1" s="1"/>
  <c r="Y496" i="1"/>
  <c r="AA496" i="1" s="1"/>
  <c r="Y200" i="1"/>
  <c r="AA200" i="1" s="1"/>
  <c r="Y791" i="1"/>
  <c r="AA791" i="1" s="1"/>
  <c r="Y503" i="1"/>
  <c r="AA503" i="1" s="1"/>
  <c r="Y215" i="1"/>
  <c r="AA215" i="1" s="1"/>
  <c r="Y886" i="1"/>
  <c r="AA886" i="1" s="1"/>
  <c r="Y654" i="1"/>
  <c r="AA654" i="1" s="1"/>
  <c r="Y422" i="1"/>
  <c r="AA422" i="1" s="1"/>
  <c r="Y433" i="1"/>
  <c r="AA433" i="1" s="1"/>
  <c r="Y760" i="1"/>
  <c r="AA760" i="1" s="1"/>
  <c r="Y360" i="1"/>
  <c r="AA360" i="1" s="1"/>
  <c r="Y80" i="1"/>
  <c r="AA80" i="1" s="1"/>
  <c r="Y711" i="1"/>
  <c r="AA711" i="1" s="1"/>
  <c r="Y431" i="1"/>
  <c r="AA431" i="1" s="1"/>
  <c r="Y159" i="1"/>
  <c r="AA159" i="1" s="1"/>
  <c r="Y854" i="1"/>
  <c r="AA854" i="1" s="1"/>
  <c r="Y630" i="1"/>
  <c r="AA630" i="1" s="1"/>
  <c r="Y390" i="1"/>
  <c r="AA390" i="1" s="1"/>
  <c r="Y190" i="1"/>
  <c r="AA190" i="1" s="1"/>
  <c r="Y222" i="1"/>
  <c r="AA222" i="1" s="1"/>
  <c r="Y230" i="1"/>
  <c r="AA230" i="1" s="1"/>
  <c r="Y273" i="1"/>
  <c r="AA273" i="1" s="1"/>
  <c r="Y209" i="1"/>
  <c r="AA209" i="1" s="1"/>
  <c r="Y145" i="1"/>
  <c r="AA145" i="1" s="1"/>
  <c r="Y81" i="1"/>
  <c r="AA81" i="1" s="1"/>
  <c r="Y17" i="1"/>
  <c r="AA17" i="1" s="1"/>
  <c r="Y832" i="1"/>
  <c r="AA832" i="1" s="1"/>
  <c r="Y889" i="1"/>
  <c r="AA889" i="1" s="1"/>
  <c r="Y529" i="1"/>
  <c r="AA529" i="1" s="1"/>
  <c r="Y728" i="1"/>
  <c r="AA728" i="1" s="1"/>
  <c r="Y376" i="1"/>
  <c r="AA376" i="1" s="1"/>
  <c r="Y64" i="1"/>
  <c r="AA64" i="1" s="1"/>
  <c r="Y655" i="1"/>
  <c r="AA655" i="1" s="1"/>
  <c r="Y359" i="1"/>
  <c r="AA359" i="1" s="1"/>
  <c r="Y425" i="1"/>
  <c r="AA425" i="1" s="1"/>
  <c r="Y160" i="1"/>
  <c r="AA160" i="1" s="1"/>
  <c r="Y255" i="1"/>
  <c r="AA255" i="1" s="1"/>
  <c r="Y430" i="1"/>
  <c r="AA430" i="1" s="1"/>
  <c r="Y585" i="1"/>
  <c r="AA585" i="1" s="1"/>
  <c r="Y512" i="1"/>
  <c r="AA512" i="1" s="1"/>
  <c r="Y519" i="1"/>
  <c r="AA519" i="1" s="1"/>
  <c r="Y550" i="1"/>
  <c r="AA550" i="1" s="1"/>
  <c r="Y721" i="1"/>
  <c r="AA721" i="1" s="1"/>
  <c r="Y401" i="1"/>
  <c r="AA401" i="1" s="1"/>
  <c r="Y768" i="1"/>
  <c r="AA768" i="1" s="1"/>
  <c r="Y456" i="1"/>
  <c r="AA456" i="1" s="1"/>
  <c r="Y136" i="1"/>
  <c r="AA136" i="1" s="1"/>
  <c r="Y775" i="1"/>
  <c r="AA775" i="1" s="1"/>
  <c r="Y447" i="1"/>
  <c r="AA447" i="1" s="1"/>
  <c r="Y207" i="1"/>
  <c r="AA207" i="1" s="1"/>
  <c r="Y678" i="1"/>
  <c r="AA678" i="1" s="1"/>
  <c r="Y446" i="1"/>
  <c r="AA446" i="1" s="1"/>
  <c r="Y785" i="1"/>
  <c r="AA785" i="1" s="1"/>
  <c r="Y481" i="1"/>
  <c r="AA481" i="1" s="1"/>
  <c r="Y784" i="1"/>
  <c r="AA784" i="1" s="1"/>
  <c r="Y480" i="1"/>
  <c r="AA480" i="1" s="1"/>
  <c r="Y152" i="1"/>
  <c r="AA152" i="1" s="1"/>
  <c r="Y759" i="1"/>
  <c r="AA759" i="1" s="1"/>
  <c r="Y463" i="1"/>
  <c r="AA463" i="1" s="1"/>
  <c r="Y191" i="1"/>
  <c r="AA191" i="1" s="1"/>
  <c r="Y846" i="1"/>
  <c r="AA846" i="1" s="1"/>
  <c r="Y622" i="1"/>
  <c r="AA622" i="1" s="1"/>
  <c r="Y398" i="1"/>
  <c r="AA398" i="1" s="1"/>
  <c r="Y393" i="1"/>
  <c r="AA393" i="1" s="1"/>
  <c r="Y696" i="1"/>
  <c r="AA696" i="1" s="1"/>
  <c r="Y328" i="1"/>
  <c r="AA328" i="1" s="1"/>
  <c r="Y40" i="1"/>
  <c r="AA40" i="1" s="1"/>
  <c r="Y671" i="1"/>
  <c r="AA671" i="1" s="1"/>
  <c r="Y391" i="1"/>
  <c r="AA391" i="1" s="1"/>
  <c r="Y127" i="1"/>
  <c r="AA127" i="1" s="1"/>
  <c r="Y830" i="1"/>
  <c r="AA830" i="1" s="1"/>
  <c r="Y582" i="1"/>
  <c r="AA582" i="1" s="1"/>
  <c r="Y366" i="1"/>
  <c r="AA366" i="1" s="1"/>
  <c r="Y118" i="1"/>
  <c r="AA118" i="1" s="1"/>
  <c r="Y198" i="1"/>
  <c r="AA198" i="1" s="1"/>
  <c r="Y142" i="1"/>
  <c r="AA142" i="1" s="1"/>
  <c r="Y67" i="1"/>
  <c r="AA67" i="1" s="1"/>
  <c r="Y131" i="1"/>
  <c r="AA131" i="1" s="1"/>
  <c r="Y195" i="1"/>
  <c r="AA195" i="1" s="1"/>
  <c r="Y259" i="1"/>
  <c r="AA259" i="1" s="1"/>
  <c r="Y323" i="1"/>
  <c r="AA323" i="1" s="1"/>
  <c r="Y387" i="1"/>
  <c r="AA387" i="1" s="1"/>
  <c r="Y451" i="1"/>
  <c r="AA451" i="1" s="1"/>
  <c r="Y515" i="1"/>
  <c r="AA515" i="1" s="1"/>
  <c r="Y579" i="1"/>
  <c r="AA579" i="1" s="1"/>
  <c r="Y643" i="1"/>
  <c r="AA643" i="1" s="1"/>
  <c r="Y707" i="1"/>
  <c r="AA707" i="1" s="1"/>
  <c r="Y771" i="1"/>
  <c r="AA771" i="1" s="1"/>
  <c r="Y835" i="1"/>
  <c r="AA835" i="1" s="1"/>
  <c r="Y899" i="1"/>
  <c r="AA899" i="1" s="1"/>
  <c r="Y933" i="1"/>
  <c r="AA933" i="1" s="1"/>
  <c r="Y36" i="1"/>
  <c r="AA36" i="1" s="1"/>
  <c r="Y100" i="1"/>
  <c r="AA100" i="1" s="1"/>
  <c r="Y164" i="1"/>
  <c r="AA164" i="1" s="1"/>
  <c r="Y228" i="1"/>
  <c r="AA228" i="1" s="1"/>
  <c r="Y292" i="1"/>
  <c r="AA292" i="1" s="1"/>
  <c r="Y356" i="1"/>
  <c r="AA356" i="1" s="1"/>
  <c r="Y420" i="1"/>
  <c r="AA420" i="1" s="1"/>
  <c r="Y484" i="1"/>
  <c r="AA484" i="1" s="1"/>
  <c r="Y548" i="1"/>
  <c r="AA548" i="1" s="1"/>
  <c r="Y612" i="1"/>
  <c r="AA612" i="1" s="1"/>
  <c r="Y676" i="1"/>
  <c r="AA676" i="1" s="1"/>
  <c r="Y262" i="1"/>
  <c r="AA262" i="1" s="1"/>
  <c r="Y199" i="1"/>
  <c r="AA199" i="1" s="1"/>
  <c r="Y792" i="1"/>
  <c r="AA792" i="1" s="1"/>
  <c r="Y5" i="1"/>
  <c r="AA5" i="1" s="1"/>
  <c r="Y93" i="1"/>
  <c r="AA93" i="1" s="1"/>
  <c r="Y205" i="1"/>
  <c r="AA205" i="1" s="1"/>
  <c r="Y58" i="1"/>
  <c r="AA58" i="1" s="1"/>
  <c r="Y122" i="1"/>
  <c r="AA122" i="1" s="1"/>
  <c r="Y186" i="1"/>
  <c r="AA186" i="1" s="1"/>
  <c r="Y250" i="1"/>
  <c r="AA250" i="1" s="1"/>
  <c r="Y314" i="1"/>
  <c r="AA314" i="1" s="1"/>
  <c r="Y378" i="1"/>
  <c r="AA378" i="1" s="1"/>
  <c r="Y442" i="1"/>
  <c r="AA442" i="1" s="1"/>
  <c r="Y506" i="1"/>
  <c r="AA506" i="1" s="1"/>
  <c r="Y570" i="1"/>
  <c r="AA570" i="1" s="1"/>
  <c r="Y634" i="1"/>
  <c r="AA634" i="1" s="1"/>
  <c r="Y698" i="1"/>
  <c r="AA698" i="1" s="1"/>
  <c r="Y762" i="1"/>
  <c r="AA762" i="1" s="1"/>
  <c r="Y826" i="1"/>
  <c r="AA826" i="1" s="1"/>
  <c r="Y890" i="1"/>
  <c r="AA890" i="1" s="1"/>
  <c r="Y901" i="1"/>
  <c r="AA901" i="1" s="1"/>
  <c r="Y158" i="1"/>
  <c r="AA158" i="1" s="1"/>
  <c r="Y11" i="1"/>
  <c r="AA11" i="1" s="1"/>
  <c r="Y75" i="1"/>
  <c r="AA75" i="1" s="1"/>
  <c r="Y139" i="1"/>
  <c r="AA139" i="1" s="1"/>
  <c r="Y203" i="1"/>
  <c r="AA203" i="1" s="1"/>
  <c r="Y267" i="1"/>
  <c r="AA267" i="1" s="1"/>
  <c r="Y331" i="1"/>
  <c r="AA331" i="1" s="1"/>
  <c r="Y395" i="1"/>
  <c r="AA395" i="1" s="1"/>
  <c r="Y459" i="1"/>
  <c r="AA459" i="1" s="1"/>
  <c r="Y523" i="1"/>
  <c r="AA523" i="1" s="1"/>
  <c r="Y587" i="1"/>
  <c r="AA587" i="1" s="1"/>
  <c r="Y651" i="1"/>
  <c r="AA651" i="1" s="1"/>
  <c r="Y715" i="1"/>
  <c r="AA715" i="1" s="1"/>
  <c r="Y779" i="1"/>
  <c r="AA779" i="1" s="1"/>
  <c r="Y843" i="1"/>
  <c r="AA843" i="1" s="1"/>
  <c r="Y22" i="1"/>
  <c r="AA22" i="1" s="1"/>
  <c r="Y102" i="1"/>
  <c r="AA102" i="1" s="1"/>
  <c r="Y247" i="1"/>
  <c r="AA247" i="1" s="1"/>
  <c r="Y465" i="1"/>
  <c r="AA465" i="1" s="1"/>
  <c r="Y13" i="1"/>
  <c r="AA13" i="1" s="1"/>
  <c r="Y133" i="1"/>
  <c r="AA133" i="1" s="1"/>
  <c r="Y221" i="1"/>
  <c r="AA221" i="1" s="1"/>
  <c r="Y66" i="1"/>
  <c r="AA66" i="1" s="1"/>
  <c r="Y130" i="1"/>
  <c r="AA130" i="1" s="1"/>
  <c r="Y194" i="1"/>
  <c r="AA194" i="1" s="1"/>
  <c r="Y258" i="1"/>
  <c r="AA258" i="1" s="1"/>
  <c r="Y322" i="1"/>
  <c r="AA322" i="1" s="1"/>
  <c r="Y386" i="1"/>
  <c r="AA386" i="1" s="1"/>
  <c r="Y450" i="1"/>
  <c r="AA450" i="1" s="1"/>
  <c r="Y514" i="1"/>
  <c r="AA514" i="1" s="1"/>
  <c r="Y578" i="1"/>
  <c r="AA578" i="1" s="1"/>
  <c r="Y642" i="1"/>
  <c r="AA642" i="1" s="1"/>
  <c r="Y706" i="1"/>
  <c r="AA706" i="1" s="1"/>
  <c r="Y770" i="1"/>
  <c r="AA770" i="1" s="1"/>
  <c r="Y834" i="1"/>
  <c r="AA834" i="1" s="1"/>
  <c r="Y898" i="1"/>
  <c r="AA898" i="1" s="1"/>
  <c r="Y925" i="1"/>
  <c r="AA925" i="1" s="1"/>
  <c r="Y174" i="1"/>
  <c r="AA174" i="1" s="1"/>
  <c r="Y78" i="1"/>
  <c r="AA78" i="1" s="1"/>
  <c r="Y406" i="1"/>
  <c r="AA406" i="1" s="1"/>
  <c r="Y455" i="1"/>
  <c r="AA455" i="1" s="1"/>
  <c r="Y454" i="1"/>
  <c r="AA454" i="1" s="1"/>
  <c r="Y29" i="1"/>
  <c r="AA29" i="1" s="1"/>
  <c r="Y141" i="1"/>
  <c r="AA141" i="1" s="1"/>
  <c r="Y10" i="1"/>
  <c r="AA10" i="1" s="1"/>
  <c r="Y74" i="1"/>
  <c r="AA74" i="1" s="1"/>
  <c r="Y138" i="1"/>
  <c r="AA138" i="1" s="1"/>
  <c r="Y202" i="1"/>
  <c r="AA202" i="1" s="1"/>
  <c r="Y266" i="1"/>
  <c r="AA266" i="1" s="1"/>
  <c r="Y330" i="1"/>
  <c r="AA330" i="1" s="1"/>
  <c r="Y394" i="1"/>
  <c r="AA394" i="1" s="1"/>
  <c r="Y458" i="1"/>
  <c r="AA458" i="1" s="1"/>
  <c r="Y522" i="1"/>
  <c r="AA522" i="1" s="1"/>
  <c r="Y586" i="1"/>
  <c r="AA586" i="1" s="1"/>
  <c r="Y650" i="1"/>
  <c r="AA650" i="1" s="1"/>
  <c r="Y714" i="1"/>
  <c r="AA714" i="1" s="1"/>
  <c r="Y778" i="1"/>
  <c r="AA778" i="1" s="1"/>
  <c r="Y842" i="1"/>
  <c r="AA842" i="1" s="1"/>
  <c r="Y14" i="1"/>
  <c r="AA14" i="1" s="1"/>
  <c r="Y214" i="1"/>
  <c r="AA214" i="1" s="1"/>
  <c r="Y27" i="1"/>
  <c r="AA27" i="1" s="1"/>
  <c r="Y91" i="1"/>
  <c r="AA91" i="1" s="1"/>
  <c r="Y155" i="1"/>
  <c r="AA155" i="1" s="1"/>
  <c r="Y219" i="1"/>
  <c r="AA219" i="1" s="1"/>
  <c r="Y283" i="1"/>
  <c r="AA283" i="1" s="1"/>
  <c r="Y347" i="1"/>
  <c r="AA347" i="1" s="1"/>
  <c r="Y411" i="1"/>
  <c r="AA411" i="1" s="1"/>
  <c r="Y475" i="1"/>
  <c r="AA475" i="1" s="1"/>
  <c r="Y539" i="1"/>
  <c r="AA539" i="1" s="1"/>
  <c r="Y603" i="1"/>
  <c r="AA603" i="1" s="1"/>
  <c r="Y667" i="1"/>
  <c r="AA667" i="1" s="1"/>
  <c r="Y731" i="1"/>
  <c r="AA731" i="1" s="1"/>
  <c r="Y795" i="1"/>
  <c r="AA795" i="1" s="1"/>
  <c r="Y859" i="1"/>
  <c r="AA859" i="1" s="1"/>
  <c r="Y923" i="1"/>
  <c r="AA923" i="1" s="1"/>
  <c r="Y302" i="1"/>
  <c r="AA302" i="1" s="1"/>
  <c r="Y60" i="1"/>
  <c r="AA60" i="1" s="1"/>
  <c r="Y124" i="1"/>
  <c r="AA124" i="1" s="1"/>
  <c r="Y188" i="1"/>
  <c r="AA188" i="1" s="1"/>
  <c r="Y252" i="1"/>
  <c r="AA252" i="1" s="1"/>
  <c r="Y316" i="1"/>
  <c r="AA316" i="1" s="1"/>
  <c r="Y380" i="1"/>
  <c r="AA380" i="1" s="1"/>
  <c r="Y444" i="1"/>
  <c r="AA444" i="1" s="1"/>
  <c r="Y508" i="1"/>
  <c r="AA508" i="1" s="1"/>
  <c r="Y572" i="1"/>
  <c r="AA572" i="1" s="1"/>
  <c r="Y636" i="1"/>
  <c r="AA636" i="1" s="1"/>
  <c r="Y700" i="1"/>
  <c r="AA700" i="1" s="1"/>
  <c r="Y764" i="1"/>
  <c r="AA764" i="1" s="1"/>
  <c r="Y828" i="1"/>
  <c r="AA828" i="1" s="1"/>
  <c r="Y892" i="1"/>
  <c r="AA892" i="1" s="1"/>
  <c r="Y813" i="1"/>
  <c r="AA813" i="1" s="1"/>
  <c r="Y30" i="1"/>
  <c r="AA30" i="1" s="1"/>
  <c r="Y109" i="1"/>
  <c r="AA109" i="1" s="1"/>
  <c r="Y245" i="1"/>
  <c r="AA245" i="1" s="1"/>
  <c r="Y309" i="1"/>
  <c r="AA309" i="1" s="1"/>
  <c r="Y373" i="1"/>
  <c r="AA373" i="1" s="1"/>
  <c r="Y437" i="1"/>
  <c r="AA437" i="1" s="1"/>
  <c r="Y501" i="1"/>
  <c r="AA501" i="1" s="1"/>
  <c r="Y565" i="1"/>
  <c r="AA565" i="1" s="1"/>
  <c r="Y629" i="1"/>
  <c r="AA629" i="1" s="1"/>
  <c r="Y693" i="1"/>
  <c r="AA693" i="1" s="1"/>
  <c r="Y757" i="1"/>
  <c r="AA757" i="1" s="1"/>
  <c r="Y470" i="1"/>
  <c r="AA470" i="1" s="1"/>
  <c r="Y527" i="1"/>
  <c r="AA527" i="1" s="1"/>
  <c r="Y686" i="1"/>
  <c r="AA686" i="1" s="1"/>
  <c r="Y45" i="1"/>
  <c r="AA45" i="1" s="1"/>
  <c r="Y149" i="1"/>
  <c r="AA149" i="1" s="1"/>
  <c r="Y18" i="1"/>
  <c r="AA18" i="1" s="1"/>
  <c r="Y82" i="1"/>
  <c r="AA82" i="1" s="1"/>
  <c r="Y146" i="1"/>
  <c r="AA146" i="1" s="1"/>
  <c r="Y210" i="1"/>
  <c r="AA210" i="1" s="1"/>
  <c r="Y274" i="1"/>
  <c r="AA274" i="1" s="1"/>
  <c r="Y338" i="1"/>
  <c r="AA338" i="1" s="1"/>
  <c r="Y402" i="1"/>
  <c r="AA402" i="1" s="1"/>
  <c r="Y466" i="1"/>
  <c r="AA466" i="1" s="1"/>
  <c r="Y530" i="1"/>
  <c r="AA530" i="1" s="1"/>
  <c r="Y594" i="1"/>
  <c r="AA594" i="1" s="1"/>
  <c r="Y658" i="1"/>
  <c r="AA658" i="1" s="1"/>
  <c r="Y722" i="1"/>
  <c r="AA722" i="1" s="1"/>
  <c r="Y786" i="1"/>
  <c r="AA786" i="1" s="1"/>
  <c r="Y850" i="1"/>
  <c r="AA850" i="1" s="1"/>
  <c r="Y46" i="1"/>
  <c r="AA46" i="1" s="1"/>
  <c r="Y238" i="1"/>
  <c r="AA238" i="1" s="1"/>
  <c r="Y35" i="1"/>
  <c r="AA35" i="1" s="1"/>
  <c r="Y99" i="1"/>
  <c r="AA99" i="1" s="1"/>
  <c r="Y163" i="1"/>
  <c r="AA163" i="1" s="1"/>
  <c r="Y4" i="1"/>
  <c r="AA4" i="1" s="1"/>
  <c r="Y68" i="1"/>
  <c r="AA68" i="1" s="1"/>
  <c r="Y132" i="1"/>
  <c r="AA132" i="1" s="1"/>
  <c r="Y70" i="1"/>
  <c r="AA70" i="1" s="1"/>
  <c r="Y646" i="1"/>
  <c r="AA646" i="1" s="1"/>
  <c r="Y751" i="1"/>
  <c r="AA751" i="1" s="1"/>
  <c r="Y227" i="1"/>
  <c r="AA227" i="1" s="1"/>
  <c r="Y291" i="1"/>
  <c r="AA291" i="1" s="1"/>
  <c r="Y355" i="1"/>
  <c r="AA355" i="1" s="1"/>
  <c r="Y419" i="1"/>
  <c r="AA419" i="1" s="1"/>
  <c r="Y483" i="1"/>
  <c r="AA483" i="1" s="1"/>
  <c r="Y547" i="1"/>
  <c r="AA547" i="1" s="1"/>
  <c r="Y611" i="1"/>
  <c r="AA611" i="1" s="1"/>
  <c r="Y675" i="1"/>
  <c r="AA675" i="1" s="1"/>
  <c r="Y739" i="1"/>
  <c r="AA739" i="1" s="1"/>
  <c r="Y803" i="1"/>
  <c r="AA803" i="1" s="1"/>
  <c r="Y867" i="1"/>
  <c r="AA867" i="1" s="1"/>
  <c r="Y931" i="1"/>
  <c r="AA931" i="1" s="1"/>
  <c r="Y44" i="1"/>
  <c r="AA44" i="1" s="1"/>
  <c r="Y108" i="1"/>
  <c r="AA108" i="1" s="1"/>
  <c r="Y172" i="1"/>
  <c r="AA172" i="1" s="1"/>
  <c r="Y236" i="1"/>
  <c r="AA236" i="1" s="1"/>
  <c r="Y300" i="1"/>
  <c r="AA300" i="1" s="1"/>
  <c r="Y364" i="1"/>
  <c r="AA364" i="1" s="1"/>
  <c r="Y428" i="1"/>
  <c r="AA428" i="1" s="1"/>
  <c r="Y492" i="1"/>
  <c r="AA492" i="1" s="1"/>
  <c r="Y556" i="1"/>
  <c r="AA556" i="1" s="1"/>
  <c r="Y620" i="1"/>
  <c r="AA620" i="1" s="1"/>
  <c r="Y684" i="1"/>
  <c r="AA684" i="1" s="1"/>
  <c r="Y748" i="1"/>
  <c r="AA748" i="1" s="1"/>
  <c r="Y812" i="1"/>
  <c r="AA812" i="1" s="1"/>
  <c r="Y876" i="1"/>
  <c r="AA876" i="1" s="1"/>
  <c r="Y765" i="1"/>
  <c r="AA765" i="1" s="1"/>
  <c r="Y893" i="1"/>
  <c r="AA893" i="1" s="1"/>
  <c r="Y53" i="1"/>
  <c r="AA53" i="1" s="1"/>
  <c r="Y229" i="1"/>
  <c r="AA229" i="1" s="1"/>
  <c r="Y293" i="1"/>
  <c r="AA293" i="1" s="1"/>
  <c r="Y357" i="1"/>
  <c r="AA357" i="1" s="1"/>
  <c r="Y421" i="1"/>
  <c r="AA421" i="1" s="1"/>
  <c r="Y485" i="1"/>
  <c r="AA485" i="1" s="1"/>
  <c r="Y549" i="1"/>
  <c r="AA549" i="1" s="1"/>
  <c r="Y613" i="1"/>
  <c r="AA613" i="1" s="1"/>
  <c r="Y677" i="1"/>
  <c r="AA677" i="1" s="1"/>
  <c r="Y741" i="1"/>
  <c r="AA741" i="1" s="1"/>
  <c r="Y811" i="1"/>
  <c r="AA811" i="1" s="1"/>
  <c r="Y875" i="1"/>
  <c r="AA875" i="1" s="1"/>
  <c r="Y781" i="1"/>
  <c r="AA781" i="1" s="1"/>
  <c r="Y52" i="1"/>
  <c r="AA52" i="1" s="1"/>
  <c r="Y116" i="1"/>
  <c r="AA116" i="1" s="1"/>
  <c r="Y180" i="1"/>
  <c r="AA180" i="1" s="1"/>
  <c r="Y244" i="1"/>
  <c r="AA244" i="1" s="1"/>
  <c r="Y308" i="1"/>
  <c r="AA308" i="1" s="1"/>
  <c r="Y372" i="1"/>
  <c r="AA372" i="1" s="1"/>
  <c r="Y436" i="1"/>
  <c r="AA436" i="1" s="1"/>
  <c r="Y500" i="1"/>
  <c r="AA500" i="1" s="1"/>
  <c r="Y564" i="1"/>
  <c r="AA564" i="1" s="1"/>
  <c r="Y628" i="1"/>
  <c r="AA628" i="1" s="1"/>
  <c r="Y692" i="1"/>
  <c r="AA692" i="1" s="1"/>
  <c r="Y756" i="1"/>
  <c r="AA756" i="1" s="1"/>
  <c r="Y820" i="1"/>
  <c r="AA820" i="1" s="1"/>
  <c r="Y884" i="1"/>
  <c r="AA884" i="1" s="1"/>
  <c r="Y797" i="1"/>
  <c r="AA797" i="1" s="1"/>
  <c r="Y101" i="1"/>
  <c r="AA101" i="1" s="1"/>
  <c r="Y237" i="1"/>
  <c r="AA237" i="1" s="1"/>
  <c r="Y301" i="1"/>
  <c r="AA301" i="1" s="1"/>
  <c r="Y365" i="1"/>
  <c r="AA365" i="1" s="1"/>
  <c r="Y429" i="1"/>
  <c r="AA429" i="1" s="1"/>
  <c r="Y493" i="1"/>
  <c r="AA493" i="1" s="1"/>
  <c r="Y557" i="1"/>
  <c r="AA557" i="1" s="1"/>
  <c r="Y621" i="1"/>
  <c r="AA621" i="1" s="1"/>
  <c r="Y685" i="1"/>
  <c r="AA685" i="1" s="1"/>
  <c r="Y749" i="1"/>
  <c r="AA749" i="1" s="1"/>
  <c r="Y196" i="1"/>
  <c r="AA196" i="1" s="1"/>
  <c r="Y260" i="1"/>
  <c r="AA260" i="1" s="1"/>
  <c r="Y324" i="1"/>
  <c r="AA324" i="1" s="1"/>
  <c r="Y388" i="1"/>
  <c r="AA388" i="1" s="1"/>
  <c r="Y452" i="1"/>
  <c r="AA452" i="1" s="1"/>
  <c r="Y516" i="1"/>
  <c r="AA516" i="1" s="1"/>
  <c r="Y580" i="1"/>
  <c r="AA580" i="1" s="1"/>
  <c r="Y644" i="1"/>
  <c r="AA644" i="1" s="1"/>
  <c r="Y708" i="1"/>
  <c r="AA708" i="1" s="1"/>
  <c r="Y772" i="1"/>
  <c r="AA772" i="1" s="1"/>
  <c r="Y836" i="1"/>
  <c r="AA836" i="1" s="1"/>
  <c r="Y900" i="1"/>
  <c r="AA900" i="1" s="1"/>
  <c r="Y821" i="1"/>
  <c r="AA821" i="1" s="1"/>
  <c r="Y117" i="1"/>
  <c r="AA117" i="1" s="1"/>
  <c r="Y253" i="1"/>
  <c r="AA253" i="1" s="1"/>
  <c r="Y317" i="1"/>
  <c r="AA317" i="1" s="1"/>
  <c r="Y381" i="1"/>
  <c r="AA381" i="1" s="1"/>
  <c r="Y445" i="1"/>
  <c r="AA445" i="1" s="1"/>
  <c r="Y509" i="1"/>
  <c r="AA509" i="1" s="1"/>
  <c r="Y573" i="1"/>
  <c r="AA573" i="1" s="1"/>
  <c r="Y637" i="1"/>
  <c r="AA637" i="1" s="1"/>
  <c r="Y701" i="1"/>
  <c r="AA701" i="1" s="1"/>
  <c r="Y789" i="1"/>
  <c r="AA789" i="1" s="1"/>
  <c r="Y596" i="1"/>
  <c r="AA596" i="1" s="1"/>
  <c r="Y660" i="1"/>
  <c r="AA660" i="1" s="1"/>
  <c r="Y724" i="1"/>
  <c r="AA724" i="1" s="1"/>
  <c r="Y788" i="1"/>
  <c r="AA788" i="1" s="1"/>
  <c r="Y852" i="1"/>
  <c r="AA852" i="1" s="1"/>
  <c r="Y845" i="1"/>
  <c r="AA845" i="1" s="1"/>
  <c r="Y165" i="1"/>
  <c r="AA165" i="1" s="1"/>
  <c r="Y269" i="1"/>
  <c r="AA269" i="1" s="1"/>
  <c r="Y333" i="1"/>
  <c r="AA333" i="1" s="1"/>
  <c r="Y397" i="1"/>
  <c r="AA397" i="1" s="1"/>
  <c r="Y461" i="1"/>
  <c r="AA461" i="1" s="1"/>
  <c r="Y525" i="1"/>
  <c r="AA525" i="1" s="1"/>
  <c r="Y589" i="1"/>
  <c r="AA589" i="1" s="1"/>
  <c r="Y653" i="1"/>
  <c r="AA653" i="1" s="1"/>
  <c r="Y717" i="1"/>
  <c r="AA717" i="1" s="1"/>
  <c r="Y837" i="1"/>
  <c r="AA837" i="1" s="1"/>
  <c r="Y19" i="1"/>
  <c r="AA19" i="1" s="1"/>
  <c r="Y83" i="1"/>
  <c r="AA83" i="1" s="1"/>
  <c r="Y147" i="1"/>
  <c r="AA147" i="1" s="1"/>
  <c r="Y211" i="1"/>
  <c r="AA211" i="1" s="1"/>
  <c r="Y275" i="1"/>
  <c r="AA275" i="1" s="1"/>
  <c r="Y339" i="1"/>
  <c r="AA339" i="1" s="1"/>
  <c r="Y403" i="1"/>
  <c r="AA403" i="1" s="1"/>
  <c r="Y467" i="1"/>
  <c r="AA467" i="1" s="1"/>
  <c r="Y531" i="1"/>
  <c r="AA531" i="1" s="1"/>
  <c r="Y595" i="1"/>
  <c r="AA595" i="1" s="1"/>
  <c r="Y659" i="1"/>
  <c r="AA659" i="1" s="1"/>
  <c r="Y723" i="1"/>
  <c r="AA723" i="1" s="1"/>
  <c r="Y787" i="1"/>
  <c r="AA787" i="1" s="1"/>
  <c r="Y851" i="1"/>
  <c r="AA851" i="1" s="1"/>
  <c r="Y28" i="1"/>
  <c r="AA28" i="1" s="1"/>
  <c r="Y92" i="1"/>
  <c r="AA92" i="1" s="1"/>
  <c r="Y156" i="1"/>
  <c r="AA156" i="1" s="1"/>
  <c r="Y220" i="1"/>
  <c r="AA220" i="1" s="1"/>
  <c r="Y284" i="1"/>
  <c r="AA284" i="1" s="1"/>
  <c r="Y348" i="1"/>
  <c r="AA348" i="1" s="1"/>
  <c r="Y412" i="1"/>
  <c r="AA412" i="1" s="1"/>
  <c r="Y476" i="1"/>
  <c r="AA476" i="1" s="1"/>
  <c r="Y540" i="1"/>
  <c r="AA540" i="1" s="1"/>
  <c r="Y604" i="1"/>
  <c r="AA604" i="1" s="1"/>
  <c r="Y668" i="1"/>
  <c r="AA668" i="1" s="1"/>
  <c r="Y732" i="1"/>
  <c r="AA732" i="1" s="1"/>
  <c r="Y796" i="1"/>
  <c r="AA796" i="1" s="1"/>
  <c r="Y860" i="1"/>
  <c r="AA860" i="1" s="1"/>
  <c r="Y924" i="1"/>
  <c r="AA924" i="1" s="1"/>
  <c r="Y853" i="1"/>
  <c r="AA853" i="1" s="1"/>
  <c r="Y21" i="1"/>
  <c r="AA21" i="1" s="1"/>
  <c r="Y181" i="1"/>
  <c r="AA181" i="1" s="1"/>
  <c r="Y277" i="1"/>
  <c r="AA277" i="1" s="1"/>
  <c r="Y341" i="1"/>
  <c r="AA341" i="1" s="1"/>
  <c r="Y405" i="1"/>
  <c r="AA405" i="1" s="1"/>
  <c r="Y469" i="1"/>
  <c r="AA469" i="1" s="1"/>
  <c r="Y533" i="1"/>
  <c r="AA533" i="1" s="1"/>
  <c r="Y597" i="1"/>
  <c r="AA597" i="1" s="1"/>
  <c r="Y661" i="1"/>
  <c r="AA661" i="1" s="1"/>
  <c r="Y725" i="1"/>
  <c r="AA725" i="1" s="1"/>
  <c r="Y861" i="1"/>
  <c r="AA861" i="1" s="1"/>
  <c r="Y740" i="1"/>
  <c r="AA740" i="1" s="1"/>
  <c r="Y804" i="1"/>
  <c r="AA804" i="1" s="1"/>
  <c r="Y868" i="1"/>
  <c r="AA868" i="1" s="1"/>
  <c r="Y932" i="1"/>
  <c r="AA932" i="1" s="1"/>
  <c r="Y877" i="1"/>
  <c r="AA877" i="1" s="1"/>
  <c r="Y37" i="1"/>
  <c r="AA37" i="1" s="1"/>
  <c r="Y213" i="1"/>
  <c r="AA213" i="1" s="1"/>
  <c r="Y285" i="1"/>
  <c r="AA285" i="1" s="1"/>
  <c r="Y349" i="1"/>
  <c r="AA349" i="1" s="1"/>
  <c r="Y413" i="1"/>
  <c r="AA413" i="1" s="1"/>
  <c r="Y477" i="1"/>
  <c r="AA477" i="1" s="1"/>
  <c r="Y541" i="1"/>
  <c r="AA541" i="1" s="1"/>
  <c r="Y605" i="1"/>
  <c r="AA605" i="1" s="1"/>
  <c r="Y669" i="1"/>
  <c r="AA669" i="1" s="1"/>
  <c r="Y733" i="1"/>
  <c r="AA733" i="1" s="1"/>
</calcChain>
</file>

<file path=xl/sharedStrings.xml><?xml version="1.0" encoding="utf-8"?>
<sst xmlns="http://schemas.openxmlformats.org/spreadsheetml/2006/main" count="12148" uniqueCount="2774">
  <si>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</si>
  <si>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</si>
  <si>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</si>
  <si>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</si>
  <si>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</si>
  <si>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</si>
  <si>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</si>
  <si>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</si>
  <si>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</si>
  <si>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</si>
  <si>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</si>
  <si>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</si>
  <si>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</si>
  <si>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</si>
  <si>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</si>
  <si>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</si>
  <si>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</si>
  <si>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</si>
  <si>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</si>
  <si>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</si>
  <si>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</si>
  <si>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</si>
  <si>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</si>
  <si>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</si>
  <si>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</si>
  <si>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</si>
  <si>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</si>
  <si>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</si>
  <si>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</si>
  <si>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</si>
  <si>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</si>
  <si>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</si>
  <si>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</si>
  <si>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</si>
  <si>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</si>
  <si>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</si>
  <si>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</si>
  <si>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</si>
  <si>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</si>
  <si>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</si>
  <si>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</si>
  <si>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</si>
  <si>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</si>
  <si>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</si>
  <si>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</si>
  <si>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</si>
  <si>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</si>
  <si>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</si>
  <si>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</si>
  <si>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</si>
  <si>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</si>
  <si>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</si>
  <si>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</si>
  <si>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</si>
  <si>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</si>
  <si>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</si>
  <si>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</si>
  <si>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</si>
  <si>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</si>
  <si>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</si>
  <si>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</si>
  <si>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</si>
  <si>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</si>
  <si>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</si>
  <si>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</si>
  <si>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</si>
  <si>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</si>
  <si>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</si>
  <si>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</si>
  <si>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</si>
  <si>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</si>
  <si>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</si>
  <si>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</si>
  <si>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</si>
  <si>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</si>
  <si>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</si>
  <si>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</si>
  <si>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</si>
  <si>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</si>
  <si>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</si>
  <si>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</si>
  <si>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</si>
  <si>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</si>
  <si>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</si>
  <si>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</si>
  <si>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</si>
  <si>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</si>
  <si>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</si>
  <si>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</si>
  <si>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</si>
  <si>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</si>
  <si>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</si>
  <si>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</si>
  <si>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</si>
  <si>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</si>
  <si>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</si>
  <si>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</si>
  <si>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</si>
  <si>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</si>
  <si>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</si>
  <si>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</si>
  <si>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</si>
  <si>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</si>
  <si>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</si>
  <si>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</si>
  <si>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</si>
  <si>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</si>
  <si>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</si>
  <si>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</si>
  <si>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</si>
  <si>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</si>
  <si>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</si>
  <si>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</si>
  <si>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</si>
  <si>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</si>
  <si>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</si>
  <si>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</si>
  <si>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</si>
  <si>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</si>
  <si>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</si>
  <si>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</si>
  <si>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</si>
  <si>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</si>
  <si>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</si>
  <si>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</si>
  <si>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</si>
  <si>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</si>
  <si>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</si>
  <si>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</si>
  <si>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</si>
  <si>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</si>
  <si>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</si>
  <si>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</si>
  <si>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</si>
  <si>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</si>
  <si>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</si>
  <si>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</si>
  <si>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</si>
  <si>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</si>
  <si>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</si>
  <si>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</si>
  <si>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</si>
  <si>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</si>
  <si>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</si>
  <si>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</si>
  <si>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</si>
  <si>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</si>
  <si>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</si>
  <si>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</si>
  <si>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</si>
  <si>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</si>
  <si>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</si>
  <si>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</si>
  <si>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</si>
  <si>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</si>
  <si>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</si>
  <si>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</si>
  <si>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</si>
  <si>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</si>
  <si>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</si>
  <si>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</si>
  <si>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</si>
  <si>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</si>
  <si>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</si>
  <si>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</si>
  <si>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</si>
  <si>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</si>
  <si>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</si>
  <si>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</si>
  <si>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</si>
  <si>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</si>
  <si>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</si>
  <si>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</si>
  <si>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</si>
  <si>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</si>
  <si>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</si>
  <si>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</si>
  <si>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</si>
  <si>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</si>
  <si>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</si>
  <si>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</si>
  <si>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</si>
  <si>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</si>
  <si>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</si>
  <si>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</si>
  <si>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</si>
  <si>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</si>
  <si>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</si>
  <si>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</si>
  <si>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</si>
  <si>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</si>
  <si>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</si>
  <si>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</si>
  <si>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</si>
  <si>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</si>
  <si>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</si>
  <si>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</si>
  <si>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</si>
  <si>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</si>
  <si>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</si>
  <si>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</si>
  <si>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</si>
  <si>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</si>
  <si>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</si>
  <si>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</si>
  <si>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</si>
  <si>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</si>
  <si>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</si>
  <si>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</si>
  <si>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</si>
  <si>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</si>
  <si>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</si>
  <si>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</si>
  <si>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</si>
  <si>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</si>
  <si>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</si>
  <si>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</si>
  <si>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</si>
  <si>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</si>
  <si>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</si>
  <si>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</si>
  <si>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</si>
  <si>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</si>
  <si>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</si>
  <si>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</si>
  <si>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</si>
  <si>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</si>
  <si>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</si>
  <si>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</si>
  <si>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</si>
  <si>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</si>
  <si>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</si>
  <si>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</si>
  <si>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</si>
  <si>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</si>
  <si>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</si>
  <si>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</si>
  <si>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</si>
  <si>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</si>
  <si>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</si>
  <si>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</si>
  <si>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</si>
  <si>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</si>
  <si>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</si>
  <si>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</si>
  <si>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</si>
  <si>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</si>
  <si>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</si>
  <si>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</si>
  <si>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</si>
  <si>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</si>
  <si>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</si>
  <si>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</si>
  <si>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</si>
  <si>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</si>
  <si>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</si>
  <si>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</si>
  <si>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</si>
  <si>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</si>
  <si>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</si>
  <si>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</si>
  <si>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</si>
  <si>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</si>
  <si>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</si>
  <si>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</si>
  <si>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</si>
  <si>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</si>
  <si>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</si>
  <si>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</si>
  <si>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</si>
  <si>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</si>
  <si>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</si>
  <si>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</si>
  <si>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</si>
  <si>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</si>
  <si>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</si>
  <si>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</si>
  <si>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</si>
  <si>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</si>
  <si>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</si>
  <si>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</si>
  <si>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</si>
  <si>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</si>
  <si>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</si>
  <si>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</si>
  <si>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</si>
  <si>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</si>
  <si>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</si>
  <si>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</si>
  <si>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</si>
  <si>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</si>
  <si>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</si>
  <si>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</si>
  <si>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</si>
  <si>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</si>
  <si>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</si>
  <si>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</si>
  <si>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</si>
  <si>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</si>
  <si>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</si>
  <si>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</si>
  <si>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</si>
  <si>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</si>
  <si>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</si>
  <si>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</si>
  <si>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</si>
  <si>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</si>
  <si>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</si>
  <si>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</si>
  <si>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</si>
  <si>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</si>
  <si>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</si>
  <si>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</si>
  <si>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</si>
  <si>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</si>
  <si>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</si>
  <si>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</si>
  <si>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</si>
  <si>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</si>
  <si>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</si>
  <si>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</si>
  <si>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</si>
  <si>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</si>
  <si>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</si>
  <si>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</si>
  <si>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</si>
  <si>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</si>
  <si>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</si>
  <si>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</si>
  <si>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</si>
  <si>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</si>
  <si>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</si>
  <si>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</si>
  <si>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</si>
  <si>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</si>
  <si>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</si>
  <si>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</si>
  <si>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</si>
  <si>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</si>
  <si>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</si>
  <si>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</si>
  <si>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</si>
  <si>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</si>
  <si>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</si>
  <si>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</si>
  <si>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</si>
  <si>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</si>
  <si>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</si>
  <si>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</si>
  <si>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</si>
  <si>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</si>
  <si>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</si>
  <si>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</si>
  <si>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</si>
  <si>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</si>
  <si>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</si>
  <si>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</si>
  <si>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</si>
  <si>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</si>
  <si>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</si>
  <si>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</si>
  <si>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</si>
  <si>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</si>
  <si>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</si>
  <si>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</si>
  <si>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</si>
  <si>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</si>
  <si>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</si>
  <si>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</si>
  <si>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</si>
  <si>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</si>
  <si>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</si>
  <si>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</si>
  <si>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</si>
  <si>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</si>
  <si>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</si>
  <si>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</si>
  <si>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</si>
  <si>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</si>
  <si>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</si>
  <si>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</si>
  <si>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</si>
  <si>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</si>
  <si>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</si>
  <si>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</si>
  <si>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</si>
  <si>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</si>
  <si>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</si>
  <si>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</si>
  <si>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</si>
  <si>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</si>
  <si>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</si>
  <si>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</si>
  <si>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</si>
  <si>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</si>
  <si>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</si>
  <si>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</si>
  <si>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</si>
  <si>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</si>
  <si>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</si>
  <si>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</si>
  <si>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</si>
  <si>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</si>
  <si>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</si>
  <si>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</si>
  <si>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</si>
  <si>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</si>
  <si>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</si>
  <si>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</si>
  <si>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</si>
  <si>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</si>
  <si>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</si>
  <si>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</si>
  <si>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</si>
  <si>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</si>
  <si>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</si>
  <si>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</si>
  <si>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</si>
  <si>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</si>
  <si>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</si>
  <si>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</si>
  <si>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</si>
  <si>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</si>
  <si>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</si>
  <si>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</si>
  <si>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</si>
  <si>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</si>
  <si>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</si>
  <si>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</si>
  <si>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</si>
  <si>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</si>
  <si>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</si>
  <si>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</si>
  <si>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</si>
  <si>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</si>
  <si>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</si>
  <si>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</si>
  <si>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</si>
  <si>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</si>
  <si>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</si>
  <si>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</si>
  <si>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</si>
  <si>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</si>
  <si>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</si>
  <si>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</si>
  <si>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</si>
  <si>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</si>
  <si>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</si>
  <si>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</si>
  <si>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</si>
  <si>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</si>
  <si>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</si>
  <si>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</si>
  <si>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</si>
  <si>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</si>
  <si>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</si>
  <si>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</si>
  <si>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</si>
  <si>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</si>
  <si>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</si>
  <si>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</si>
  <si>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</si>
  <si>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</si>
  <si>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</si>
  <si>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</si>
  <si>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</si>
  <si>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</si>
  <si>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</si>
  <si>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</si>
  <si>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</si>
  <si>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</si>
  <si>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</si>
  <si>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</si>
  <si>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</si>
  <si>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</si>
  <si>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</si>
  <si>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</si>
  <si>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</si>
  <si>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</si>
  <si>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</si>
  <si>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NORTH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</si>
  <si>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</si>
  <si>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</si>
  <si>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</si>
  <si>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</si>
  <si>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</si>
  <si>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</si>
  <si>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</si>
  <si>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</si>
  <si>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</si>
  <si>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</si>
  <si>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</si>
  <si>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</si>
  <si>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</si>
  <si>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</si>
  <si>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</si>
  <si>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</si>
  <si>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</si>
  <si>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</si>
  <si>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</si>
  <si>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</si>
  <si>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</si>
  <si>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</si>
  <si>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</si>
  <si>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</si>
  <si>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</si>
  <si>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</si>
  <si>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</si>
  <si>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</si>
  <si>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</si>
  <si>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</si>
  <si>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</si>
  <si>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</si>
  <si>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</si>
  <si>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</si>
  <si>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</si>
  <si>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</si>
  <si>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</si>
  <si>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</si>
  <si>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</si>
  <si>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</si>
  <si>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</si>
  <si>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</si>
  <si>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</si>
  <si>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</si>
  <si>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</si>
  <si>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</si>
  <si>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</si>
  <si>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</si>
  <si>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</si>
  <si>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</si>
  <si>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</si>
  <si>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</si>
  <si>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</si>
  <si>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</si>
  <si>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</si>
  <si>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</si>
  <si>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</si>
  <si>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</si>
  <si>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</si>
  <si>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</si>
  <si>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</si>
  <si>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</si>
  <si>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</si>
  <si>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</si>
  <si>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</si>
  <si>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</si>
  <si>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</si>
  <si>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</si>
  <si>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</si>
  <si>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</si>
  <si>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</si>
  <si>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</si>
  <si>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</si>
  <si>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</si>
  <si>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</si>
  <si>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</si>
  <si>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</si>
  <si>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</si>
  <si>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</si>
  <si>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</si>
  <si>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</si>
  <si>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</si>
  <si>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</si>
  <si>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</si>
  <si>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</si>
  <si>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</si>
  <si>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</si>
  <si>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</si>
  <si>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</si>
  <si>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</si>
  <si>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</si>
  <si>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</si>
  <si>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</si>
  <si>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</si>
  <si>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</si>
  <si>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</si>
  <si>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</si>
  <si>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</si>
  <si>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</si>
  <si>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</si>
  <si>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</si>
  <si>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</si>
  <si>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</si>
  <si>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</si>
  <si>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</si>
  <si>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</si>
  <si>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</si>
  <si>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</si>
  <si>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</si>
  <si>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</si>
  <si>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</si>
  <si>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</si>
  <si>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</si>
  <si>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</si>
  <si>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</si>
  <si>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</si>
  <si>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</si>
  <si>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</si>
  <si>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</si>
  <si>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</si>
  <si>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</si>
  <si>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</si>
  <si>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</si>
  <si>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</si>
  <si>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</si>
  <si>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</si>
  <si>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</si>
  <si>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</si>
  <si>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</si>
  <si>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</si>
  <si>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</si>
  <si>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</si>
  <si>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</si>
  <si>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</si>
  <si>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</si>
  <si>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</si>
  <si>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</si>
  <si>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</si>
  <si>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</si>
  <si>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</si>
  <si>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</si>
  <si>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</si>
  <si>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</si>
  <si>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</si>
  <si>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</si>
  <si>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</si>
  <si>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</si>
  <si>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</si>
  <si>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</si>
  <si>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</si>
  <si>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</si>
  <si>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</si>
  <si>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</si>
  <si>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</si>
  <si>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</si>
  <si>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</si>
  <si>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</si>
  <si>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</si>
  <si>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</si>
  <si>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</si>
  <si>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</si>
  <si>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</si>
  <si>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</si>
  <si>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</si>
  <si>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</si>
  <si>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</si>
  <si>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</si>
  <si>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</si>
  <si>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</si>
  <si>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</si>
  <si>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</si>
  <si>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</si>
  <si>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</si>
  <si>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</si>
  <si>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</si>
  <si>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</si>
  <si>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</si>
  <si>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</si>
  <si>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</si>
  <si>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</si>
  <si>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</si>
  <si>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</si>
  <si>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</si>
  <si>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</si>
  <si>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</si>
  <si>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</si>
  <si>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</si>
  <si>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</si>
  <si>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</si>
  <si>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</si>
  <si>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</si>
  <si>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</si>
  <si>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</si>
  <si>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</si>
  <si>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</si>
  <si>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</si>
  <si>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</si>
  <si>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</si>
  <si>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</si>
  <si>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</si>
  <si>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</si>
  <si>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</si>
  <si>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</si>
  <si>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</si>
  <si>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</si>
  <si>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</si>
  <si>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</si>
  <si>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</si>
  <si>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</si>
  <si>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</si>
  <si>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</si>
  <si>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</si>
  <si>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</si>
  <si>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</si>
  <si>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</si>
  <si>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</si>
  <si>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</si>
  <si>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</si>
  <si>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</si>
  <si>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</si>
  <si>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</si>
  <si>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</si>
  <si>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</si>
  <si>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</si>
  <si>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</si>
  <si>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</si>
  <si>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</si>
  <si>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</si>
  <si>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</si>
  <si>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</si>
  <si>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</si>
  <si>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</si>
  <si>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</si>
  <si>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</si>
  <si>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</si>
  <si>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</si>
  <si>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</si>
  <si>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</si>
  <si>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</si>
  <si>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</si>
  <si>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</si>
  <si>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</si>
  <si>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</si>
  <si>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</si>
  <si>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</si>
  <si>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</si>
  <si>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</si>
  <si>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</si>
  <si>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</si>
  <si>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</si>
  <si>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</si>
  <si>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</si>
  <si>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</si>
  <si>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</si>
  <si>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</si>
  <si>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</si>
  <si>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</si>
  <si>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</si>
  <si>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</si>
  <si>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</si>
  <si>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</si>
  <si>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</si>
  <si>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</si>
  <si>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</si>
  <si>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</si>
  <si>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</si>
  <si>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</si>
  <si>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</si>
  <si>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</si>
  <si>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</si>
  <si>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</si>
  <si>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</si>
  <si>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</si>
  <si>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</si>
  <si>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</si>
  <si>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</si>
  <si>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</si>
  <si>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</si>
  <si>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</si>
  <si>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</si>
  <si>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</si>
  <si>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</si>
  <si>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</si>
  <si>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</si>
  <si>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</si>
  <si>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</si>
  <si>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</si>
  <si>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</si>
  <si>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</si>
  <si>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</si>
  <si>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</si>
  <si>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</si>
  <si>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</si>
  <si>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</si>
  <si>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</si>
  <si>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</si>
  <si>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</si>
  <si>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</si>
  <si>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</si>
  <si>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</si>
  <si>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</si>
  <si>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</si>
  <si>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</si>
  <si>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</si>
  <si>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</si>
  <si>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</si>
  <si>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</si>
  <si>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</si>
  <si>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</si>
  <si>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</si>
  <si>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</si>
  <si>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</si>
  <si>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</si>
  <si>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</si>
  <si>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</si>
  <si>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</si>
  <si>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</si>
  <si>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</si>
  <si>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</si>
  <si>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</si>
  <si>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</si>
  <si>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</si>
  <si>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</si>
  <si>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</si>
  <si>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</si>
  <si>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</si>
  <si>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</si>
  <si>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</si>
  <si>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</si>
  <si>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</si>
  <si>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</si>
  <si>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</si>
  <si>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</si>
  <si>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</si>
  <si>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</si>
  <si>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</si>
  <si>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</si>
  <si>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</si>
  <si>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</si>
  <si>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</si>
  <si>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</si>
  <si>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</si>
  <si>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</si>
  <si>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</si>
  <si>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</si>
  <si>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</si>
  <si>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</si>
  <si>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</si>
  <si>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</si>
  <si>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</si>
  <si>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</si>
  <si>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</si>
  <si>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</si>
  <si>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</si>
  <si>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</si>
  <si>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</si>
  <si>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</si>
  <si>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</si>
  <si>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</si>
  <si>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</si>
  <si>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</si>
  <si>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</si>
  <si>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</si>
  <si>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</si>
  <si>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</si>
  <si>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</si>
  <si>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</si>
  <si>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</si>
  <si>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</si>
  <si>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</si>
  <si>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</si>
  <si>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</si>
  <si>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</si>
  <si>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</si>
  <si>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</si>
  <si>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</si>
  <si>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</si>
  <si>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</si>
  <si>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</si>
  <si>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</si>
  <si>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</si>
  <si>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</si>
  <si>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</si>
  <si>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</si>
  <si>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</si>
  <si>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</si>
  <si>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</si>
  <si>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</si>
  <si>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</si>
  <si>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</si>
  <si>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</si>
  <si>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</si>
  <si>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</si>
  <si>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</si>
  <si>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</si>
  <si>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</si>
  <si>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</si>
  <si>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</si>
  <si>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</si>
  <si>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</si>
  <si>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</si>
  <si>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</si>
  <si>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</si>
  <si>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</si>
  <si>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</si>
  <si>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</si>
  <si>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</si>
  <si>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</si>
  <si>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</si>
  <si>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</si>
  <si>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</si>
  <si>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</si>
  <si>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</si>
  <si>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</si>
  <si>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</si>
  <si>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</si>
  <si>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</si>
  <si>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</si>
  <si>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</si>
  <si>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</si>
  <si>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</si>
  <si>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</si>
  <si>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</si>
  <si>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</si>
  <si>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</si>
  <si>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</si>
  <si>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</si>
  <si>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</si>
  <si>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</si>
  <si>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</si>
  <si>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</si>
  <si>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</si>
  <si>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</si>
  <si>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</si>
  <si>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</si>
  <si>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</si>
  <si>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</si>
  <si>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</si>
  <si>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</si>
  <si>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</si>
  <si>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</si>
  <si>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</si>
  <si>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</si>
  <si>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</si>
  <si>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</si>
  <si>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</si>
  <si>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</si>
  <si>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</si>
  <si>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</si>
  <si>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</si>
  <si>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</si>
  <si>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</si>
  <si>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</si>
  <si>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</si>
  <si>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</si>
  <si>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</si>
  <si>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</si>
  <si>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</si>
  <si>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</si>
  <si>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</si>
  <si>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</si>
  <si>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</si>
  <si>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</si>
  <si>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</si>
  <si>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</si>
  <si>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</si>
  <si>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</si>
  <si>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</si>
  <si>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</si>
  <si>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</si>
  <si>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</si>
  <si>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</si>
  <si>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</si>
  <si>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</si>
  <si>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</si>
  <si>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</si>
  <si>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</si>
  <si>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</si>
  <si>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</si>
  <si>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</si>
  <si>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</si>
  <si>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</si>
  <si>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</si>
  <si>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</si>
  <si>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</si>
  <si>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</si>
  <si>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</si>
  <si>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</si>
  <si>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</si>
  <si>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</si>
  <si>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</si>
  <si>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</si>
  <si>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</si>
  <si>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</si>
  <si>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</si>
  <si>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</si>
  <si>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</si>
  <si>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</si>
  <si>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</si>
  <si>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</si>
  <si>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</si>
  <si>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</si>
  <si>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</si>
  <si>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</si>
  <si>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</si>
  <si>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</si>
  <si>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</si>
  <si>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</si>
  <si>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</si>
  <si>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</si>
  <si>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</si>
  <si>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</si>
  <si>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</si>
  <si>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</si>
  <si>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</si>
  <si>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</si>
  <si>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</si>
  <si>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</si>
  <si>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</si>
  <si>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</si>
  <si>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</si>
  <si>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</si>
  <si>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</si>
  <si>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</si>
  <si>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</si>
  <si>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</si>
  <si>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</si>
  <si>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</si>
  <si>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</si>
  <si>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</si>
  <si>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</si>
  <si>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</si>
  <si>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</si>
  <si>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</si>
  <si>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</si>
  <si>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</si>
  <si>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</si>
  <si>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</si>
  <si>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</si>
  <si>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</si>
  <si>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</si>
  <si>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</si>
  <si>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</si>
  <si>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</si>
  <si>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</si>
  <si>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</si>
  <si>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</si>
  <si>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</si>
  <si>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</si>
  <si>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</si>
  <si>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</si>
  <si>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</si>
  <si>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</si>
  <si>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</si>
  <si>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</si>
  <si>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</si>
  <si>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</si>
  <si>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</si>
  <si>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</si>
  <si>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</si>
  <si>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</si>
  <si>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</si>
  <si>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</si>
  <si>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</si>
  <si>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</si>
  <si>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</si>
  <si>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</si>
  <si>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</si>
  <si>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</si>
  <si>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</si>
  <si>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</si>
  <si>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</si>
  <si>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</si>
  <si>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</si>
  <si>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</si>
  <si>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</si>
  <si>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</si>
  <si>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</si>
  <si>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</si>
  <si>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</si>
  <si>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</si>
  <si>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</si>
  <si>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</si>
  <si>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</si>
  <si>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</si>
  <si>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</si>
  <si>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</si>
  <si>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</si>
  <si>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</si>
  <si>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</si>
  <si>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</si>
  <si>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</si>
  <si>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</si>
  <si>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</si>
  <si>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</si>
  <si>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</si>
  <si>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</si>
  <si>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</si>
  <si>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</si>
  <si>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</si>
  <si>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</si>
  <si>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</si>
  <si>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</si>
  <si>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</si>
  <si>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</si>
  <si>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</si>
  <si>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</si>
  <si>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</si>
  <si>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</si>
  <si>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</si>
  <si>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</si>
  <si>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</si>
  <si>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</si>
  <si>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</si>
  <si>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</si>
  <si>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</si>
  <si>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</si>
  <si>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</si>
  <si>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</si>
  <si>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</si>
  <si>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</si>
  <si>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</si>
  <si>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</si>
  <si>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</si>
  <si>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</si>
  <si>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</si>
  <si>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</si>
  <si>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</si>
  <si>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</si>
  <si>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</si>
  <si>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</si>
  <si>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</si>
  <si>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</si>
  <si>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</si>
  <si>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</si>
  <si>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</si>
  <si>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</si>
  <si>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</si>
  <si>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</si>
  <si>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</si>
  <si>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</si>
  <si>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</si>
  <si>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</si>
  <si>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</si>
  <si>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</si>
  <si>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</si>
  <si>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</si>
  <si>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</si>
  <si>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</si>
  <si>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</si>
  <si>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</si>
  <si>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</si>
  <si>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</si>
  <si>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</si>
  <si>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</si>
  <si>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</si>
  <si>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</si>
  <si>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</si>
  <si>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</si>
  <si>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</si>
  <si>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</si>
  <si>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</si>
  <si>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</si>
  <si>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</si>
  <si>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</si>
  <si>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</si>
  <si>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</si>
  <si>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</si>
  <si>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</si>
  <si>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</si>
  <si>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</si>
  <si>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</si>
  <si>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</si>
  <si>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</si>
  <si>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</si>
  <si>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</si>
  <si>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</si>
  <si>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</si>
  <si>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</si>
  <si>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</si>
  <si>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</si>
  <si>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</si>
  <si>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</si>
  <si>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</si>
  <si>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</si>
  <si>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</si>
  <si>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</si>
  <si>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</si>
  <si>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</si>
  <si>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</si>
  <si>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</si>
  <si>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</si>
  <si>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</si>
  <si>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</si>
  <si>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</si>
  <si>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</si>
  <si>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</si>
  <si>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</si>
  <si>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</si>
  <si>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</si>
  <si>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</si>
  <si>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</si>
  <si>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</si>
  <si>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</si>
  <si>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</si>
  <si>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</si>
  <si>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</si>
  <si>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</si>
  <si>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</si>
  <si>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</si>
  <si>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</si>
  <si>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</si>
  <si>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</si>
  <si>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</si>
  <si>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</si>
  <si>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</si>
  <si>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</si>
  <si>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</si>
  <si>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</si>
  <si>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</si>
  <si>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</si>
  <si>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</si>
  <si>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</si>
  <si>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</si>
  <si>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</si>
  <si>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</si>
  <si>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</si>
  <si>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</si>
  <si>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</si>
  <si>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</si>
  <si>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</si>
  <si>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</si>
  <si>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</si>
  <si>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</si>
  <si>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</si>
  <si>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</si>
  <si>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</si>
  <si>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</si>
  <si>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</si>
  <si>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</si>
  <si>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</si>
  <si>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</si>
  <si>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</si>
  <si>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</si>
  <si>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</si>
  <si>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</si>
  <si>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</si>
  <si>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</si>
  <si>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</si>
  <si>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</si>
  <si>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</si>
  <si>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</si>
  <si>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</si>
  <si>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</si>
  <si>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storage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</si>
  <si>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</si>
  <si>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</si>
  <si>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</si>
  <si>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</si>
  <si>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</si>
  <si>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</si>
  <si>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</si>
  <si>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</si>
  <si>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</si>
  <si>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</si>
  <si>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</si>
  <si>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</si>
  <si>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</si>
  <si>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</si>
  <si>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</si>
  <si>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</si>
  <si>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</si>
  <si>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</si>
  <si>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</si>
  <si>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</si>
  <si>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</si>
  <si>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</si>
  <si>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</si>
  <si>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</si>
  <si>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</si>
  <si>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</si>
  <si>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</si>
  <si>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</si>
  <si>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</si>
  <si>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</si>
  <si>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</si>
  <si>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</si>
  <si>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</si>
  <si>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</si>
  <si>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</si>
  <si>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</si>
  <si>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</si>
  <si>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</si>
  <si>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</si>
  <si>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</si>
  <si>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</si>
  <si>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</si>
  <si>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</si>
  <si>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</si>
  <si>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</si>
  <si>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</si>
  <si>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</si>
  <si>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</si>
  <si>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</si>
  <si>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</si>
  <si>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</si>
  <si>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</si>
  <si>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</si>
  <si>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</si>
  <si>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</si>
  <si>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</si>
  <si>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</si>
  <si>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</si>
  <si>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</si>
  <si>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</si>
  <si>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</si>
  <si>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</si>
  <si>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</si>
  <si>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</si>
  <si>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</si>
  <si>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</si>
  <si>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</si>
  <si>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</si>
  <si>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</si>
  <si>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</si>
  <si>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</si>
  <si>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</si>
  <si>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</si>
  <si>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</si>
  <si>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</si>
  <si>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</si>
  <si>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</si>
  <si>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</si>
  <si>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</si>
  <si>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</si>
  <si>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</si>
  <si>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</si>
  <si>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</si>
  <si>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</si>
  <si>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</si>
  <si>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</si>
  <si>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</si>
  <si>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</si>
  <si>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</si>
  <si>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</si>
  <si>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</si>
  <si>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</si>
  <si>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</si>
  <si>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</si>
  <si>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</si>
  <si>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</si>
  <si>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</si>
  <si>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</si>
  <si>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</si>
  <si>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</si>
  <si>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</si>
  <si>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</si>
  <si>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</si>
  <si>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</si>
  <si>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</si>
  <si>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</si>
  <si>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</si>
  <si>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</si>
  <si>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</si>
  <si>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</si>
  <si>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</si>
  <si>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</si>
  <si>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</si>
  <si>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</si>
  <si>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</si>
  <si>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</si>
  <si>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</si>
  <si>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</si>
  <si>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</si>
  <si>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</si>
  <si>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</si>
  <si>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</si>
  <si>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</si>
  <si>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</si>
  <si>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</si>
  <si>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</si>
  <si>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</si>
  <si>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</si>
  <si>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</si>
  <si>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</si>
  <si>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</si>
  <si>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</si>
  <si>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</si>
  <si>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</si>
  <si>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</si>
  <si>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</si>
  <si>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</si>
  <si>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</si>
  <si>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</si>
  <si>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</si>
  <si>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</si>
  <si>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</si>
  <si>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</si>
  <si>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</si>
  <si>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</si>
  <si>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</si>
  <si>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</si>
  <si>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</si>
  <si>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</si>
  <si>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</si>
  <si>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</si>
  <si>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</si>
  <si>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</si>
  <si>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</si>
  <si>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</si>
  <si>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</si>
  <si>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</si>
  <si>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</si>
  <si>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</si>
  <si>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</si>
  <si>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</si>
  <si>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</si>
  <si>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</si>
  <si>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</si>
  <si>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</si>
  <si>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</si>
  <si>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</si>
  <si>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</si>
  <si>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</si>
  <si>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</si>
  <si>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</si>
  <si>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</si>
  <si>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</si>
  <si>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</si>
  <si>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</si>
  <si>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</si>
  <si>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</si>
  <si>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</si>
  <si>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</si>
  <si>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</si>
  <si>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</si>
  <si>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</si>
  <si>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</si>
  <si>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</si>
  <si>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</si>
  <si>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</si>
  <si>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</si>
  <si>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</si>
  <si>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</si>
  <si>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</si>
  <si>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</si>
  <si>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</si>
  <si>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</si>
  <si>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</si>
  <si>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</si>
  <si>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</si>
  <si>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</si>
  <si>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</si>
  <si>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</si>
  <si>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</si>
  <si>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</si>
  <si>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</si>
  <si>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</si>
  <si>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</si>
  <si>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</si>
  <si>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</si>
  <si>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</si>
  <si>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</si>
  <si>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</si>
  <si>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</si>
  <si>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</si>
  <si>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</si>
  <si>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</si>
  <si>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</si>
  <si>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</si>
  <si>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</si>
  <si>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</si>
  <si>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</si>
  <si>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</si>
  <si>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</si>
  <si>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</si>
  <si>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</si>
  <si>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</si>
  <si>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</si>
  <si>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</si>
  <si>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</si>
  <si>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</si>
  <si>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</si>
  <si>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</si>
  <si>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</si>
  <si>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</si>
  <si>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</si>
  <si>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</si>
  <si>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</si>
  <si>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</si>
  <si>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</si>
  <si>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</si>
  <si>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</si>
  <si>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</si>
  <si>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</si>
  <si>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</si>
  <si>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</si>
  <si>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</si>
  <si>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</si>
  <si>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</si>
  <si>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</si>
  <si>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</si>
  <si>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</si>
  <si>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</si>
  <si>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</si>
  <si>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</si>
  <si>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</si>
  <si>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</si>
  <si>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</si>
  <si>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</si>
  <si>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</si>
  <si>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</si>
  <si>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</si>
  <si>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</si>
  <si>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</si>
  <si>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</si>
  <si>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</si>
  <si>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</si>
  <si>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</si>
  <si>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</si>
  <si>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</si>
  <si>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</si>
  <si>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</si>
  <si>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</si>
  <si>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</si>
  <si>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</si>
  <si>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</si>
  <si>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</si>
  <si>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</si>
  <si>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</si>
  <si>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</si>
  <si>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</si>
  <si>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</si>
  <si>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</si>
  <si>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</si>
  <si>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</si>
  <si>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</si>
  <si>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</si>
  <si>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</si>
  <si>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</si>
  <si>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</si>
  <si>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</si>
  <si>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</si>
  <si>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</si>
  <si>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</si>
  <si>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</si>
  <si>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</si>
  <si>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</si>
  <si>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</si>
  <si>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</si>
  <si>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</si>
  <si>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</si>
  <si>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</si>
  <si>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</si>
  <si>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</si>
  <si>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</si>
  <si>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</si>
  <si>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</si>
  <si>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</si>
  <si>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</si>
  <si>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</si>
  <si>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</si>
  <si>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</si>
  <si>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</si>
  <si>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</si>
  <si>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</si>
  <si>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</si>
  <si>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</si>
  <si>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</si>
  <si>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</si>
  <si>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</si>
  <si>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</si>
  <si>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</si>
  <si>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</si>
  <si>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</si>
  <si>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</si>
  <si>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</si>
  <si>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</si>
  <si>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</si>
  <si>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</si>
  <si>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</si>
  <si>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</si>
  <si>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</si>
  <si>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</si>
  <si>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</si>
  <si>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</si>
  <si>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</si>
  <si>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</si>
  <si>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</si>
  <si>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</si>
  <si>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</si>
  <si>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</si>
  <si>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</si>
  <si>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</si>
  <si>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</si>
  <si>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</si>
  <si>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</si>
  <si>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</si>
  <si>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</si>
  <si>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</si>
  <si>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</si>
  <si>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</si>
  <si>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</si>
  <si>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</si>
  <si>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</si>
  <si>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</si>
  <si>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</si>
  <si>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</si>
  <si>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</si>
  <si>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</si>
  <si>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</si>
  <si>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</si>
  <si>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</si>
  <si>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</si>
  <si>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</si>
  <si>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</si>
  <si>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</si>
  <si>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</si>
  <si>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</si>
  <si>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</si>
  <si>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</si>
  <si>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</si>
  <si>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</si>
  <si>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</si>
  <si>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</si>
  <si>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</si>
  <si>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</si>
  <si>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</si>
  <si>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</si>
  <si>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</si>
  <si>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</si>
  <si>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</si>
  <si>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</si>
  <si>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</si>
  <si>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</si>
  <si>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</si>
  <si>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</si>
  <si>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</si>
  <si>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</si>
  <si>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</si>
  <si>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</si>
  <si>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</si>
  <si>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</si>
  <si>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</si>
  <si>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</si>
  <si>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</si>
  <si>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</si>
  <si>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</si>
  <si>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</si>
  <si>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</si>
  <si>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</si>
  <si>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</si>
  <si>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</si>
  <si>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</si>
  <si>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</si>
  <si>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</si>
  <si>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</si>
  <si>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</si>
  <si>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</si>
  <si>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</si>
  <si>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</si>
  <si>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</si>
  <si>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</si>
  <si>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</si>
  <si>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</si>
  <si>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</si>
  <si>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</si>
  <si>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</si>
  <si>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</si>
  <si>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</si>
  <si>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</si>
  <si>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</si>
  <si>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</si>
  <si>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</si>
  <si>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</si>
  <si>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</si>
  <si>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</si>
  <si>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</si>
  <si>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</si>
  <si>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</si>
  <si>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</si>
  <si>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</si>
  <si>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</si>
  <si>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</si>
  <si>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</si>
  <si>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</si>
  <si>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</si>
  <si>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</si>
  <si>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</si>
  <si>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</si>
  <si>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</si>
  <si>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</si>
  <si>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</si>
  <si>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</si>
  <si>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</si>
  <si>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</si>
  <si>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</si>
  <si>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</si>
  <si>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</si>
  <si>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</si>
  <si>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</si>
  <si>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</si>
  <si>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</si>
  <si>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</si>
  <si>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</si>
  <si>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</si>
  <si>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</si>
  <si>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</si>
  <si>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</si>
  <si>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</si>
  <si>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</si>
  <si>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</si>
  <si>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</si>
  <si>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</si>
  <si>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</si>
  <si>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</si>
  <si>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</si>
  <si>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</si>
  <si>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</si>
  <si>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</si>
  <si>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</si>
  <si>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</si>
  <si>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</si>
  <si>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</si>
  <si>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</si>
  <si>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</si>
  <si>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</si>
  <si>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</si>
  <si>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</si>
  <si>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</si>
  <si>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</si>
  <si>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</si>
  <si>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</si>
  <si>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</si>
  <si>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</si>
  <si>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</si>
  <si>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</si>
  <si>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</si>
  <si>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</si>
  <si>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</si>
  <si>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</si>
  <si>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</si>
  <si>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</si>
  <si>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</si>
  <si>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</si>
  <si>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</si>
  <si>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</si>
  <si>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</si>
  <si>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</si>
  <si>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</si>
  <si>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</si>
  <si>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</si>
  <si>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</si>
  <si>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</si>
  <si>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</si>
  <si>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</si>
  <si>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</si>
  <si>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</si>
  <si>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</si>
  <si>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</si>
  <si>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</si>
  <si>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</si>
  <si>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</si>
  <si>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</si>
  <si>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</si>
  <si>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</si>
  <si>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</si>
  <si>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</si>
  <si>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</si>
  <si>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</si>
  <si>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</si>
  <si>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</si>
  <si>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</si>
  <si>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</si>
  <si>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</si>
  <si>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</si>
  <si>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</si>
  <si>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</si>
  <si>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</si>
  <si>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</si>
  <si>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</si>
  <si>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</si>
  <si>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</si>
  <si>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</si>
  <si>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</si>
  <si>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</si>
  <si>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</si>
  <si>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</si>
  <si>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</si>
  <si>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</si>
  <si>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</si>
  <si>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</si>
  <si>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</si>
  <si>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</si>
  <si>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</si>
  <si>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</si>
  <si>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</si>
  <si>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</si>
  <si>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</si>
  <si>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</si>
  <si>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</si>
  <si>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</si>
  <si>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</si>
  <si>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</si>
  <si>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</si>
  <si>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</si>
  <si>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</si>
  <si>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</si>
  <si>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</si>
  <si>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</si>
  <si>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</si>
  <si>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</si>
  <si>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</si>
  <si>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</si>
  <si>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</si>
  <si>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</si>
  <si>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</si>
  <si>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</si>
  <si>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</si>
  <si>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</si>
  <si>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</si>
  <si>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</si>
  <si>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</si>
  <si>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</si>
  <si>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</si>
  <si>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</si>
  <si>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</si>
  <si>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</si>
  <si>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</si>
  <si>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</si>
  <si>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</si>
  <si>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</si>
  <si>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</si>
  <si>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</si>
  <si>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</si>
  <si>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</si>
  <si>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</si>
  <si>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</si>
  <si>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</si>
  <si>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</si>
  <si>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</si>
  <si>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</si>
  <si>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</si>
  <si>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</si>
  <si>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</si>
  <si>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</si>
  <si>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</si>
  <si>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</si>
  <si>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</si>
  <si>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</si>
  <si>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</si>
  <si>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</si>
  <si>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</si>
  <si>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</si>
  <si>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</si>
  <si>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</si>
  <si>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</si>
  <si>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</si>
  <si>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</si>
  <si>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</si>
  <si>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</si>
  <si>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</si>
  <si>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</si>
  <si>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</si>
  <si>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</si>
  <si>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</si>
  <si>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</si>
  <si>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</si>
  <si>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</si>
  <si>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</si>
  <si>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</si>
  <si>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</si>
  <si>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</si>
  <si>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</si>
  <si>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</si>
  <si>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</si>
  <si>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</si>
  <si>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</si>
  <si>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</si>
  <si>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</si>
  <si>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</si>
  <si>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</si>
  <si>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</si>
  <si>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</si>
  <si>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</si>
  <si>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</si>
  <si>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</si>
  <si>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</si>
  <si>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</si>
  <si>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</si>
  <si>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</si>
  <si>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</si>
  <si>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</si>
  <si>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</si>
  <si>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</si>
  <si>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</si>
  <si>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</si>
  <si>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</si>
  <si>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</si>
  <si>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</si>
  <si>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</si>
  <si>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</si>
  <si>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</si>
  <si>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</si>
  <si>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</si>
  <si>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</si>
  <si>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</si>
  <si>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</si>
  <si>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</si>
  <si>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</si>
  <si>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</si>
  <si>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</si>
  <si>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</si>
  <si>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</si>
  <si>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</si>
  <si>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</si>
  <si>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</si>
  <si>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</si>
  <si>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</si>
  <si>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</si>
  <si>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</si>
  <si>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</si>
  <si>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</si>
  <si>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</si>
  <si>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</si>
  <si>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</si>
  <si>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</si>
  <si>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</si>
  <si>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</si>
  <si>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</si>
  <si>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</si>
  <si>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</si>
  <si>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</si>
  <si>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</si>
  <si>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</si>
  <si>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</si>
  <si>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</si>
  <si>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</si>
  <si>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</si>
  <si>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</si>
  <si>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</si>
  <si>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</si>
  <si>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</si>
  <si>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</si>
  <si>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</si>
  <si>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</si>
  <si>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</si>
  <si>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</si>
  <si>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</si>
  <si>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</si>
  <si>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</si>
  <si>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</si>
  <si>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</si>
  <si>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</si>
  <si>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</si>
  <si>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</si>
  <si>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</si>
  <si>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</si>
  <si>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</si>
  <si>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</si>
  <si>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</si>
  <si>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</si>
  <si>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</si>
  <si>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</si>
  <si>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</si>
  <si>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</si>
  <si>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</si>
  <si>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</si>
  <si>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</si>
  <si>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</si>
  <si>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</si>
  <si>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</si>
  <si>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</si>
  <si>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</si>
  <si>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</si>
  <si>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</si>
  <si>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</si>
  <si>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</si>
  <si>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</si>
  <si>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</si>
  <si>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</si>
  <si>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</si>
  <si>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</si>
  <si>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</si>
  <si>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</si>
  <si>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</si>
  <si>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</si>
  <si>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</si>
  <si>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</si>
  <si>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</si>
  <si>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</si>
  <si>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</si>
  <si>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</si>
  <si>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</si>
  <si>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</si>
  <si>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</si>
  <si>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</si>
  <si>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</si>
  <si>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</si>
  <si>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</si>
  <si>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</si>
  <si>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</si>
  <si>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</si>
  <si>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</si>
  <si>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</si>
  <si>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</si>
  <si>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</si>
  <si>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</si>
  <si>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</si>
  <si>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</si>
  <si>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</si>
  <si>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</si>
  <si>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</si>
  <si>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</si>
  <si>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</si>
  <si>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</si>
  <si>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</si>
  <si>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</si>
  <si>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</si>
  <si>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</si>
  <si>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</si>
  <si>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</si>
  <si>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</si>
  <si>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</si>
  <si>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</si>
  <si>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</si>
  <si>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</si>
  <si>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</si>
  <si>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</si>
  <si>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</si>
  <si>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</si>
  <si>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</si>
  <si>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</si>
  <si>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</si>
  <si>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</si>
  <si>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</si>
  <si>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</si>
  <si>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</si>
  <si>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</si>
  <si>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</si>
  <si>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</si>
  <si>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</si>
  <si>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</si>
  <si>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</si>
  <si>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</si>
  <si>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</si>
  <si>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</si>
  <si>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</si>
  <si>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</si>
  <si>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</si>
  <si>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</si>
  <si>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</si>
  <si>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</si>
  <si>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</si>
  <si>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</si>
  <si>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</si>
  <si>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</si>
  <si>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</si>
  <si>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</si>
  <si>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</si>
  <si>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</si>
  <si>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</si>
  <si>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</si>
  <si>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</si>
  <si>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</si>
  <si>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</si>
  <si>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</si>
  <si>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</si>
  <si>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</si>
  <si>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</si>
  <si>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</si>
  <si>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</si>
  <si>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</si>
  <si>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</si>
  <si>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</si>
  <si>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</si>
  <si>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</si>
  <si>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</si>
  <si>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</si>
  <si>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</si>
  <si>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</si>
  <si>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</si>
  <si>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</si>
  <si>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</si>
  <si>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</si>
  <si>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</si>
  <si>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</si>
  <si>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</si>
  <si>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</si>
  <si>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</si>
  <si>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</si>
  <si>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</si>
  <si>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</si>
  <si>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</si>
  <si>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</si>
  <si>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</si>
  <si>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</si>
  <si>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</si>
  <si>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</si>
  <si>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</si>
  <si>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</si>
  <si>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</si>
  <si>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</si>
  <si>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</si>
  <si>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</si>
  <si>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</si>
  <si>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</si>
  <si>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</si>
  <si>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</si>
  <si>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</si>
  <si>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</si>
  <si>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</si>
  <si>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</si>
  <si>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</si>
  <si>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</si>
  <si>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</si>
  <si>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</si>
  <si>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</si>
  <si>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</si>
  <si>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</si>
  <si>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</si>
  <si>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</si>
  <si>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</si>
  <si>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</si>
  <si>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</si>
  <si>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</si>
  <si>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</si>
  <si>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</si>
  <si>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</si>
  <si>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</si>
  <si>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</si>
  <si>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</si>
  <si>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</si>
  <si>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</si>
  <si>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</si>
  <si>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</si>
  <si>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</si>
  <si>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</si>
  <si>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</si>
  <si>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</si>
  <si>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</si>
  <si>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</si>
  <si>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</si>
  <si>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</si>
  <si>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</si>
  <si>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</si>
  <si>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</si>
  <si>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</si>
  <si>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</si>
  <si>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</si>
  <si>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</si>
  <si>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</si>
  <si>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</si>
  <si>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</si>
  <si>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</si>
  <si>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</si>
  <si>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</si>
  <si>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</si>
  <si>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</si>
  <si>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</si>
  <si>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</si>
  <si>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</si>
  <si>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</si>
  <si>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</si>
  <si>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</si>
  <si>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</si>
  <si>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</si>
  <si>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</si>
  <si>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</si>
  <si>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</si>
  <si>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</si>
  <si>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</si>
  <si>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</si>
  <si>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</si>
  <si>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</si>
  <si>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</si>
  <si>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</si>
  <si>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</si>
  <si>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</si>
  <si>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</si>
  <si>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</si>
  <si>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</si>
  <si>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</si>
  <si>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</si>
  <si>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</si>
  <si>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</si>
  <si>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</si>
  <si>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</si>
  <si>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</si>
  <si>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</si>
  <si>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</si>
  <si>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</si>
  <si>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</si>
  <si>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</si>
  <si>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</si>
  <si>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</si>
  <si>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</si>
  <si>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</si>
  <si>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</si>
  <si>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</si>
  <si>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</si>
  <si>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</si>
  <si>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</si>
  <si>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</si>
  <si>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</si>
  <si>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</si>
  <si>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</si>
  <si>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</si>
  <si>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</si>
  <si>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</si>
  <si>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</si>
  <si>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</si>
  <si>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</si>
  <si>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</si>
  <si>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</si>
  <si>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</si>
  <si>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</si>
  <si>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</si>
  <si>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</si>
  <si>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</si>
  <si>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</si>
  <si>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</si>
  <si>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</si>
  <si>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</si>
  <si>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</si>
  <si>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</si>
  <si>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</si>
  <si>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</si>
  <si>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</si>
  <si>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</si>
  <si>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</si>
  <si>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</si>
  <si>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</si>
  <si>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</si>
  <si>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</si>
  <si>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</si>
  <si>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</si>
  <si>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</si>
  <si>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</si>
  <si>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</si>
  <si>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</si>
  <si>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</si>
  <si>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</si>
  <si>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</si>
  <si>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</si>
  <si>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</si>
  <si>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</si>
  <si>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</si>
  <si>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</si>
  <si>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</si>
  <si>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</si>
  <si>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</si>
  <si>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</si>
  <si>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</si>
  <si>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</si>
  <si>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</si>
  <si>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</si>
  <si>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</si>
  <si>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</si>
  <si>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</si>
  <si>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</si>
  <si>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</si>
  <si>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</si>
  <si>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</si>
  <si>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</si>
  <si>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</si>
  <si>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</si>
  <si>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</si>
  <si>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</si>
  <si>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</si>
  <si>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</si>
  <si>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</si>
  <si>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</si>
  <si>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</si>
  <si>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</si>
  <si>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</si>
  <si>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</si>
  <si>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</si>
  <si>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</si>
  <si>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</si>
  <si>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</si>
  <si>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</si>
  <si>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</si>
  <si>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</si>
  <si>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</si>
  <si>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</si>
  <si>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</si>
  <si>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</si>
  <si>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</si>
  <si>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</si>
  <si>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</si>
  <si>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</si>
  <si>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</si>
  <si>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</si>
  <si>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</si>
  <si>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</si>
  <si>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</si>
  <si>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</si>
  <si>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</si>
  <si>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</si>
  <si>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</si>
  <si>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</si>
  <si>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</si>
  <si>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</si>
  <si>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</si>
  <si>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</si>
  <si>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</si>
  <si>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</si>
  <si>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</si>
  <si>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</si>
  <si>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</si>
  <si>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</si>
  <si>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</si>
  <si>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</si>
  <si>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</si>
  <si>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</si>
  <si>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</si>
  <si>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</si>
  <si>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</si>
  <si>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</si>
  <si>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</si>
  <si>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</si>
  <si>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</si>
  <si>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</si>
  <si>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</si>
  <si>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</si>
  <si>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</si>
  <si>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</si>
  <si>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</si>
  <si>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</si>
  <si>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</si>
  <si>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</si>
  <si>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</si>
  <si>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</si>
  <si>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</si>
  <si>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</si>
  <si>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</si>
  <si>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</si>
  <si>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</si>
  <si>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</si>
  <si>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</si>
  <si>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</si>
  <si>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</si>
  <si>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</si>
  <si>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</si>
  <si>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</si>
  <si>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</si>
  <si>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</si>
  <si>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</si>
  <si>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</si>
  <si>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</si>
  <si>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</si>
  <si>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</si>
  <si>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</si>
  <si>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</si>
  <si>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</si>
  <si>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</si>
  <si>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</si>
  <si>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</si>
  <si>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</si>
  <si>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</si>
  <si>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</si>
  <si>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</si>
  <si>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</si>
  <si>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</si>
  <si>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</si>
  <si>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</si>
  <si>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</si>
  <si>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</si>
  <si>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</si>
  <si>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</si>
  <si>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</si>
  <si>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</si>
  <si>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</si>
  <si>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</si>
  <si>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</si>
  <si>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</si>
  <si>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</si>
  <si>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</si>
  <si>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</si>
  <si>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</si>
  <si>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</si>
  <si>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</si>
  <si>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</si>
  <si>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</si>
  <si>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</si>
  <si>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</si>
  <si>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</si>
  <si>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</si>
  <si>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</si>
  <si>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</si>
  <si>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</si>
  <si>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</si>
  <si>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</si>
  <si>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</si>
  <si>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</si>
  <si>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</si>
  <si>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</si>
  <si>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</si>
  <si>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</si>
  <si>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</si>
  <si>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</si>
  <si>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</si>
  <si>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</si>
  <si>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</si>
  <si>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</si>
  <si>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</si>
  <si>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</si>
  <si>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</si>
  <si>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</si>
  <si>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</si>
  <si>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</si>
  <si>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</si>
  <si>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</si>
  <si>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</si>
  <si>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</si>
  <si>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</si>
  <si>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</si>
  <si>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</si>
  <si>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</si>
  <si>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</si>
  <si>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</si>
  <si>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</si>
  <si>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</si>
  <si>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</si>
  <si>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</si>
  <si>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</si>
  <si>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</si>
  <si>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</si>
  <si>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</si>
  <si>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</si>
  <si>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</si>
  <si>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</si>
  <si>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</si>
  <si>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</si>
  <si>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</si>
  <si>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</si>
  <si>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</si>
  <si>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</si>
  <si>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</si>
  <si>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</si>
  <si>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</si>
  <si>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</si>
  <si>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</si>
  <si>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</si>
  <si>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</si>
  <si>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</si>
  <si>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</si>
  <si>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</si>
  <si>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</si>
  <si>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</si>
  <si>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</si>
  <si>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</si>
  <si>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</si>
  <si>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</si>
  <si>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</si>
  <si>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</si>
  <si>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</si>
  <si>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</si>
  <si>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</si>
  <si>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</si>
  <si>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</si>
  <si>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</si>
  <si>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</si>
  <si>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</si>
  <si>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</si>
  <si>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</si>
  <si>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</si>
  <si>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</si>
  <si>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</si>
  <si>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</si>
  <si>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</si>
  <si>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</si>
  <si>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</si>
  <si>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</si>
  <si>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</si>
  <si>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</si>
  <si>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</si>
  <si>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</si>
  <si>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</si>
  <si>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</si>
  <si>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</si>
  <si>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</si>
  <si>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</si>
  <si>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</si>
  <si>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</si>
  <si>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</si>
  <si>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</si>
  <si>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</si>
  <si>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</si>
  <si>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</si>
  <si>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</si>
  <si>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</si>
  <si>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</si>
  <si>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</si>
  <si>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</si>
  <si>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</si>
  <si>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</si>
  <si>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</si>
  <si>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</si>
  <si>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</si>
  <si>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</si>
  <si>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</si>
  <si>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</si>
  <si>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</si>
  <si>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</si>
  <si>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</si>
  <si>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</si>
  <si>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</si>
  <si>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</si>
  <si>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</si>
  <si>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</si>
  <si>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</si>
  <si>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</si>
  <si>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</si>
  <si>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</si>
  <si>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</si>
  <si>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</si>
  <si>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</si>
  <si>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</si>
  <si>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</si>
  <si>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</si>
  <si>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</si>
  <si>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</si>
  <si>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</si>
  <si>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</si>
  <si>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</si>
  <si>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</si>
  <si>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</si>
  <si>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</si>
  <si>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</si>
  <si>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</si>
  <si>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</si>
  <si>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</si>
  <si>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</si>
  <si>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</si>
  <si>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</si>
  <si>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</si>
  <si>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</si>
  <si>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</si>
  <si>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</si>
  <si>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</si>
  <si>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</si>
  <si>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</si>
  <si>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</si>
  <si>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</si>
  <si>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</si>
  <si>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</si>
  <si>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</si>
  <si>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</si>
  <si>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</si>
  <si>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</si>
  <si>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</si>
  <si>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</si>
  <si>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</si>
  <si>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</si>
  <si>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</si>
  <si>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</si>
  <si>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</si>
  <si>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</si>
  <si>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</si>
  <si>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</si>
  <si>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</si>
  <si>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</si>
  <si>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</si>
  <si>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</si>
  <si>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</si>
  <si>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</si>
  <si>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</si>
  <si>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</si>
  <si>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</si>
  <si>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</si>
  <si>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</si>
  <si>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</si>
  <si>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</si>
  <si>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</si>
  <si>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</si>
  <si>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</si>
  <si>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</si>
  <si>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</si>
  <si>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</si>
  <si>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</si>
  <si>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</si>
  <si>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</si>
  <si>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</si>
  <si>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</si>
  <si>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</si>
  <si>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</si>
  <si>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</si>
  <si>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</si>
  <si>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</si>
  <si>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</si>
  <si>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</si>
  <si>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</si>
  <si>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</si>
  <si>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</si>
  <si>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</si>
  <si>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</si>
  <si>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</si>
  <si>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</si>
  <si>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</si>
  <si>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</si>
  <si>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</si>
  <si>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</si>
  <si>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</si>
  <si>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</si>
  <si>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</si>
  <si>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</si>
  <si>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</si>
  <si>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</si>
  <si>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</si>
  <si>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</si>
  <si>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</si>
  <si>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</si>
  <si>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</si>
  <si>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</si>
  <si>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</si>
  <si>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</si>
  <si>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</si>
  <si>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</si>
  <si>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</si>
  <si>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</si>
  <si>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</si>
  <si>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</si>
  <si>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</si>
  <si>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</si>
  <si>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</si>
  <si>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</si>
  <si>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</si>
  <si>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</si>
  <si>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</si>
  <si>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</si>
  <si>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</si>
  <si>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</si>
  <si>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</si>
  <si>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</si>
  <si>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</si>
  <si>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</si>
  <si>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</si>
  <si>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</si>
  <si>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</si>
  <si>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</si>
  <si>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</si>
  <si>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</si>
  <si>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</si>
  <si>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</si>
  <si>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</si>
  <si>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</si>
  <si>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</si>
  <si>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</si>
  <si>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</si>
  <si>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</si>
  <si>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</si>
  <si>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</si>
  <si>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</si>
  <si>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</si>
  <si>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</si>
  <si>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</si>
  <si>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</si>
  <si>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</si>
  <si>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</si>
  <si>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</si>
  <si>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</si>
  <si>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</si>
  <si>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</si>
  <si>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</si>
  <si>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</si>
  <si>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</si>
  <si>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</si>
  <si>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</si>
  <si>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</si>
  <si>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</si>
  <si>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</si>
  <si>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</si>
  <si>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</si>
  <si>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</si>
  <si>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</si>
  <si>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</si>
  <si>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</si>
  <si>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</si>
  <si>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</si>
  <si>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</si>
  <si>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</si>
  <si>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</si>
  <si>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</si>
  <si>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</si>
  <si>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</si>
  <si>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</si>
  <si>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</si>
  <si>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</si>
  <si>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</si>
  <si>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</si>
  <si>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</si>
  <si>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</si>
  <si>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</si>
  <si>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</si>
  <si>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</si>
  <si>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</si>
  <si>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</si>
  <si>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</si>
  <si>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</si>
  <si>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</si>
  <si>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</si>
  <si>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</si>
  <si>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</si>
  <si>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</si>
  <si>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</si>
  <si>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</si>
  <si>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</si>
  <si>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</si>
  <si>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</si>
  <si>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</si>
  <si>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</si>
  <si>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</si>
  <si>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</si>
  <si>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</si>
  <si>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</si>
  <si>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</si>
  <si>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</si>
  <si>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</si>
  <si>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</si>
  <si>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</si>
  <si>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</si>
  <si>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</si>
  <si>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</si>
  <si>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</si>
  <si>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</si>
  <si>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</si>
  <si>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</si>
  <si>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</si>
  <si>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</si>
  <si>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</si>
  <si>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</si>
  <si>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</si>
  <si>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</si>
  <si>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</si>
  <si>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</si>
  <si>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</si>
  <si>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</si>
  <si>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</si>
  <si>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</si>
  <si>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</si>
  <si>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</si>
  <si>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</si>
  <si>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</si>
  <si>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</si>
  <si>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</si>
  <si>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</si>
  <si>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</si>
  <si>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</si>
  <si>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</si>
  <si>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</si>
  <si>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</si>
  <si>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</si>
  <si>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</si>
  <si>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</si>
  <si>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</si>
  <si>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</si>
  <si>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</si>
  <si>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</si>
  <si>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</si>
  <si>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</si>
  <si>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</si>
  <si>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</si>
  <si>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</si>
  <si>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</si>
  <si>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</si>
  <si>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</si>
  <si>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</si>
  <si>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</si>
  <si>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</si>
  <si>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</si>
  <si>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</si>
  <si>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</si>
  <si>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</si>
  <si>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</si>
  <si>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</si>
  <si>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</si>
  <si>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</si>
  <si>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</si>
  <si>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</si>
  <si>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Unknown</t>
  </si>
  <si>
    <t>cleaned_discount</t>
  </si>
  <si>
    <t>shipping_delay_days</t>
  </si>
  <si>
    <t>date_flag</t>
  </si>
  <si>
    <t>Exact rows</t>
  </si>
  <si>
    <t>same order id different data</t>
  </si>
  <si>
    <t>data_quality_flag</t>
  </si>
  <si>
    <t>calculated_sales</t>
  </si>
  <si>
    <t>calculated_profit</t>
  </si>
  <si>
    <t>profit_margin</t>
  </si>
  <si>
    <t>order_month</t>
  </si>
  <si>
    <t>order_year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</si>
</sst>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5" formatCode="dd\-mm\-yy"/>
  </numFmts>
  <fonts count="3">
    <font>
      <sz val="12"/>
      <color theme="1"/>
      <name val="Aptos Narrow"/>
      <family val="2"/>
      <scheme val="minor"/>
    </font>
    <font>
      <b/>
      <sz val="11"/>
      <color rgb="FFFFFFFF"/>
      <name val="Carlito"/>
    </font>
    <font>
      <sz val="11"/>
      <color theme="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NumberFormat="1" applyAlignment="1">
      <alignment horizontal="right"/>
    </xf>
    <xf numFmtId="17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right"/>
    </xf>
    <xf numFmtId="0" fontId="2" fillId="0" borderId="0" xfId="0" applyFont="1"/>
    <xf numFmtId="2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2BC8C-5600-7240-98FC-CFAE7638DE2E}">
  <dimension ref="A1:AK933"/>
  <sheetViews>
    <sheetView tabSelected="1" workbookViewId="0">
      <selection activeCell="AF878" sqref="AF878"/>
    </sheetView>
  </sheetViews>
  <sheetFormatPr baseColWidth="10" defaultRowHeight="16"/>
  <cols>
    <col min="1" max="1" width="15.33203125" bestFit="1" customWidth="1"/>
    <col min="2" max="2" width="31" customWidth="1"/>
    <col min="3" max="3" width="31.83203125" customWidth="1"/>
    <col min="4" max="5" width="22.5" customWidth="1"/>
    <col min="6" max="6" width="10.5" bestFit="1" customWidth="1"/>
    <col min="7" max="7" width="14.33203125" bestFit="1" customWidth="1"/>
    <col min="8" max="8" width="14.83203125" bestFit="1" customWidth="1"/>
    <col min="9" max="9" width="7.1640625" bestFit="1" customWidth="1"/>
    <col min="10" max="10" width="14.33203125" bestFit="1" customWidth="1"/>
    <col min="11" max="11" width="12.1640625" bestFit="1" customWidth="1"/>
    <col min="12" max="12" width="15.1640625" bestFit="1" customWidth="1"/>
    <col min="14" max="14" width="20.6640625" bestFit="1" customWidth="1"/>
    <col min="15" max="15" width="15.6640625" bestFit="1" customWidth="1"/>
    <col min="16" max="16" width="8.5" bestFit="1" customWidth="1"/>
    <col min="17" max="17" width="10" bestFit="1" customWidth="1"/>
    <col min="18" max="18" width="9" bestFit="1" customWidth="1"/>
    <col min="19" max="20" width="9.1640625" bestFit="1" customWidth="1"/>
    <col min="21" max="21" width="9.1640625" customWidth="1"/>
    <col min="22" max="22" width="10.83203125" customWidth="1"/>
    <col min="23" max="23" width="11.33203125" customWidth="1"/>
    <col min="24" max="26" width="11.33203125" hidden="1" customWidth="1"/>
    <col min="27" max="27" width="21" customWidth="1"/>
    <col min="28" max="28" width="9" customWidth="1"/>
    <col min="29" max="29" width="14" bestFit="1" customWidth="1"/>
    <col min="30" max="34" width="9" customWidth="1"/>
    <col min="35" max="35" width="23.33203125" customWidth="1"/>
    <col min="36" max="36" width="23.6640625" customWidth="1"/>
    <col min="37" max="37" width="17" customWidth="1"/>
  </cols>
  <sheetData>
    <row r="1" spans="1:37" ht="48">
      <c r="A1" s="1" t="s">
        <v>0</v>
      </c>
      <c r="B1" s="1" t="s">
        <v>1</v>
      </c>
      <c r="C1" s="1" t="s">
        <v>2</v>
      </c>
      <c r="D1" s="1" t="s">
        <v>2764</v>
      </c>
      <c r="E1" s="1" t="s">
        <v>2765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/>
      <c r="Y1" s="1"/>
      <c r="Z1" s="1"/>
      <c r="AA1" s="1" t="s">
        <v>2765</v>
      </c>
      <c r="AB1" s="1" t="s">
        <v>2763</v>
      </c>
      <c r="AC1" s="1" t="s">
        <v>2769</v>
      </c>
      <c r="AD1" s="1" t="s">
        <v>2770</v>
      </c>
      <c r="AE1" s="1" t="s">
        <v>2771</v>
      </c>
      <c r="AF1" s="1" t="s">
        <v>2764</v>
      </c>
      <c r="AG1" s="1" t="s">
        <v>2772</v>
      </c>
      <c r="AH1" s="1" t="s">
        <v>2773</v>
      </c>
      <c r="AI1" s="1" t="s">
        <v>2768</v>
      </c>
      <c r="AJ1" s="1" t="s">
        <v>2766</v>
      </c>
      <c r="AK1" s="1" t="s">
        <v>2767</v>
      </c>
    </row>
    <row r="2" spans="1:37">
      <c r="A2" t="s">
        <v>21</v>
      </c>
      <c r="B2" s="5">
        <v>45494</v>
      </c>
      <c r="C2" s="5">
        <v>45500</v>
      </c>
      <c r="D2" s="6">
        <f>IF(AND(C2&lt;&gt;"",B2&lt;&gt;""), C2-B2, "Missing Date")</f>
        <v>6</v>
      </c>
      <c r="E2" s="6" t="str">
        <f>IF(OR(B2="",C2=""), "Missing Date",
    IF(C2&lt;B2, "Invalid: Ship before Order",
      "OK"))</f>
        <v>OK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>
        <v>8</v>
      </c>
      <c r="Q2">
        <v>2976.45</v>
      </c>
      <c r="R2">
        <v>0.2</v>
      </c>
      <c r="S2">
        <v>19049.28</v>
      </c>
      <c r="T2">
        <v>15841.89</v>
      </c>
      <c r="U2">
        <v>3207.39</v>
      </c>
      <c r="V2" t="s">
        <v>32</v>
      </c>
      <c r="W2" t="s">
        <v>33</v>
      </c>
      <c r="X2" t="str">
        <f>_xlfn.TEXTJOIN("|", TRUE, A2:W2)</f>
        <v>ORD-2024-10001|45494|45500|6|OK|CUST-4655|Karan Malhotra|Consumer|North|Rajasthan|Jaipur|Office Supplies|Paper|Pro Paper 122|Second Class|8|2976.45|0.2|19049.28|15841.89|3207.39|Paid|Completed</v>
      </c>
      <c r="Y2">
        <f>COUNTIF($X$2:$X$1000, X2)</f>
        <v>1</v>
      </c>
      <c r="Z2">
        <f>COUNTIF($A$2:$A$1000, A2)</f>
        <v>1</v>
      </c>
      <c r="AA2" t="str">
        <f>IF(Y2&gt;1, "Exact Duplicate",
  IF(Z2&gt;1, "Conflicting Duplicate - Review",
    "Unique"))</f>
        <v>Unique</v>
      </c>
      <c r="AB2" s="2">
        <f>IF(ISBLANK(R2), 0, IF(ISTEXT(R2), VALUE(SUBSTITUTE(R2, "%", ""))/100, IF(OR(R2&lt;0, R2&gt;1), "Invalid", R2)))</f>
        <v>0.2</v>
      </c>
      <c r="AC2" s="4">
        <f>IF(AB2="Invalid", "Error", P2 * Q2 * (1 - AB2))</f>
        <v>19049.28</v>
      </c>
      <c r="AD2" s="4">
        <f>IF(AC2="Error", "Error", AC2 - T2)</f>
        <v>3207.3899999999994</v>
      </c>
      <c r="AE2" s="2">
        <f>IF(AC2="Error", "Error", IF(AC2=0, 0, AD2 / AC2))</f>
        <v>0.16837329284886357</v>
      </c>
      <c r="AF2" s="7">
        <f>C2-B2</f>
        <v>6</v>
      </c>
      <c r="AG2" s="2" t="str">
        <f>TEXT(B2, "mmmm")</f>
        <v>July</v>
      </c>
      <c r="AH2" s="4">
        <f>YEAR(B2)</f>
        <v>2024</v>
      </c>
      <c r="AI2" s="2" t="str">
        <f>IF(OR(R2&lt;0,R2&gt;1),"Invalid: Discount",
IF(AND(I2="Unknown",J2&lt;&gt;""),"Warning: Missing Region",
IF(W2="Cancelled","Excluded from Sales",
IF(V2="Failed","Excluded from Sales",
IF(O2="Unknown","Warning: Missing Shipping Mode",
IF(W2="Refunded","Refund – Separate Summary",
IF(C2&lt;B2,"Invalid Shipping Record",
"Clean")))))))</f>
        <v>Clean</v>
      </c>
      <c r="AJ2">
        <f>COUNTIFS($A$2:$A$1000,A2,$B$2:$B$1000,B2,$C$2:$C$1000,C2,$D$2:$D$1000,D2,$E$2:$E$1000,E2,$F$2:$F$1000,F2)</f>
        <v>1</v>
      </c>
      <c r="AK2">
        <f>COUNTIF($A$2:$A$1000, A2)</f>
        <v>1</v>
      </c>
    </row>
    <row r="3" spans="1:37">
      <c r="A3" t="s">
        <v>34</v>
      </c>
      <c r="B3" s="5">
        <v>45535</v>
      </c>
      <c r="C3" s="5">
        <v>45540</v>
      </c>
      <c r="D3" s="6">
        <f t="shared" ref="D3:D66" si="0">IF(AND(C3&lt;&gt;"",B3&lt;&gt;""), C3-B3, "Missing Date")</f>
        <v>5</v>
      </c>
      <c r="E3" s="6" t="str">
        <f t="shared" ref="E3:E66" si="1">IF(OR(B3="",C3=""), "Missing Date",
    IF(C3&lt;B3, "Invalid: Ship before Order",
      "OK"))</f>
        <v>OK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42</v>
      </c>
      <c r="N3" t="s">
        <v>43</v>
      </c>
      <c r="O3" t="s">
        <v>44</v>
      </c>
      <c r="P3">
        <v>3</v>
      </c>
      <c r="Q3">
        <v>2437.5</v>
      </c>
      <c r="R3">
        <v>0</v>
      </c>
      <c r="S3">
        <v>7312.5</v>
      </c>
      <c r="T3">
        <v>4904.7299999999996</v>
      </c>
      <c r="U3">
        <v>2407.77</v>
      </c>
      <c r="V3" t="s">
        <v>32</v>
      </c>
      <c r="W3" t="s">
        <v>33</v>
      </c>
      <c r="X3" t="str">
        <f t="shared" ref="X3:X66" si="2">_xlfn.TEXTJOIN("|", TRUE, A3:W3)</f>
        <v>ORD-2024-10002|45535|45540|5|OK|CUST-2054|Mira Das|Small Business|East|Odisha|Bhubaneswar|Furniture|Tables|Pro Tables 258|Same Day|3|2437.5|0|7312.5|4904.73|2407.77|Paid|Completed</v>
      </c>
      <c r="Y3">
        <f t="shared" ref="Y3:Y66" si="3">COUNTIF($X$2:$X$1000, X3)</f>
        <v>1</v>
      </c>
      <c r="Z3">
        <f t="shared" ref="Z3:Z66" si="4">COUNTIF($A$2:$A$1000, A3)</f>
        <v>1</v>
      </c>
      <c r="AA3" t="str">
        <f t="shared" ref="AA3:AA66" si="5">IF(Y3&gt;1, "Exact Duplicate",
  IF(Z3&gt;1, "Conflicting Duplicate - Review",
    "Unique"))</f>
        <v>Unique</v>
      </c>
      <c r="AB3" s="2">
        <f>IF(ISBLANK(R3), 0, IF(ISTEXT(R3), VALUE(SUBSTITUTE(R3, "%", ""))/100, IF(OR(R3&lt;0, R3&gt;1), "Invalid", R3)))</f>
        <v>0</v>
      </c>
      <c r="AC3" s="4">
        <f t="shared" ref="AC3:AC66" si="6">IF(AB3="Invalid", "Error", P3 * Q3 * (1 - AB3))</f>
        <v>7312.5</v>
      </c>
      <c r="AD3" s="4">
        <f t="shared" ref="AD3:AD66" si="7">IF(AC3="Error", "Error", AC3 - T3)</f>
        <v>2407.7700000000004</v>
      </c>
      <c r="AE3" s="2">
        <f t="shared" ref="AE3:AE66" si="8">IF(AC3="Error", "Error", IF(AC3=0, 0, AD3 / AC3))</f>
        <v>0.32926769230769237</v>
      </c>
      <c r="AF3" s="7">
        <f t="shared" ref="AF3:AF66" si="9">C3-B3</f>
        <v>5</v>
      </c>
      <c r="AG3" s="2" t="str">
        <f t="shared" ref="AG3:AG66" si="10">TEXT(B3, "mmmm")</f>
        <v>August</v>
      </c>
      <c r="AH3" s="4">
        <f t="shared" ref="AH3:AH66" si="11">YEAR(B3)</f>
        <v>2024</v>
      </c>
      <c r="AI3" s="2" t="str">
        <f t="shared" ref="AI3:AI66" si="12">IF(OR(R3&lt;0,R3&gt;1),"Invalid: Discount",
IF(AND(I3="Unknown",J3&lt;&gt;""),"Warning: Missing Region",
IF(W3="Cancelled","Excluded from Sales",
IF(V3="Failed","Excluded from Sales",
IF(O3="Unknown","Warning: Missing Shipping Mode",
IF(W3="Refunded","Refund – Separate Summary",
IF(C3&lt;B3,"Invalid Shipping Record",
"Clean")))))))</f>
        <v>Clean</v>
      </c>
      <c r="AJ3">
        <f t="shared" ref="AJ3:AJ66" si="13">COUNTIFS($A$2:$A$1000,A3,$B$2:$B$1000,B3,$C$2:$C$1000,C3,$D$2:$D$1000,D3,$E$2:$E$1000,E3,$F$2:$F$1000,F3)</f>
        <v>1</v>
      </c>
      <c r="AK3">
        <f t="shared" ref="AK3:AK66" si="14">COUNTIF($A$2:$A$1000, A3)</f>
        <v>1</v>
      </c>
    </row>
    <row r="4" spans="1:37">
      <c r="A4" t="s">
        <v>45</v>
      </c>
      <c r="B4" s="5">
        <v>45510</v>
      </c>
      <c r="C4" s="5">
        <v>45458</v>
      </c>
      <c r="D4" s="6">
        <f t="shared" si="0"/>
        <v>-52</v>
      </c>
      <c r="E4" s="6" t="str">
        <f t="shared" si="1"/>
        <v>Invalid: Ship before Order</v>
      </c>
      <c r="F4" t="s">
        <v>46</v>
      </c>
      <c r="G4" t="s">
        <v>47</v>
      </c>
      <c r="H4" t="s">
        <v>24</v>
      </c>
      <c r="I4" t="s">
        <v>38</v>
      </c>
      <c r="J4" t="s">
        <v>39</v>
      </c>
      <c r="K4" t="s">
        <v>40</v>
      </c>
      <c r="L4" t="s">
        <v>28</v>
      </c>
      <c r="M4" t="s">
        <v>48</v>
      </c>
      <c r="N4" t="s">
        <v>49</v>
      </c>
      <c r="O4" t="s">
        <v>50</v>
      </c>
      <c r="P4">
        <v>4</v>
      </c>
      <c r="Q4">
        <v>1065.43</v>
      </c>
      <c r="R4">
        <v>0.55000000000000004</v>
      </c>
      <c r="S4">
        <v>4261.72</v>
      </c>
      <c r="T4">
        <v>2465.69</v>
      </c>
      <c r="U4">
        <v>1796.03</v>
      </c>
      <c r="V4" t="s">
        <v>32</v>
      </c>
      <c r="W4" t="s">
        <v>33</v>
      </c>
      <c r="X4" t="str">
        <f t="shared" si="2"/>
        <v>ORD-2024-10003|45510|45458|-52|Invalid: Ship before Order|CUST-6843|Isha Nair|Consumer|East|Odisha|Bhubaneswar|Office Supplies|Art|Elite Art 525|First Class|4|1065.43|0.55|4261.72|2465.69|1796.03|Paid|Completed</v>
      </c>
      <c r="Y4">
        <f t="shared" si="3"/>
        <v>1</v>
      </c>
      <c r="Z4">
        <f t="shared" si="4"/>
        <v>1</v>
      </c>
      <c r="AA4" t="str">
        <f t="shared" si="5"/>
        <v>Unique</v>
      </c>
      <c r="AB4" s="2">
        <f>IF(ISBLANK(R4), 0, IF(ISTEXT(R4), VALUE(SUBSTITUTE(R4, "%", ""))/100, IF(OR(R4&lt;0, R4&gt;1), "Invalid", R4)))</f>
        <v>0.55000000000000004</v>
      </c>
      <c r="AC4" s="4">
        <f t="shared" si="6"/>
        <v>1917.7739999999999</v>
      </c>
      <c r="AD4" s="4">
        <f t="shared" si="7"/>
        <v>-547.91600000000017</v>
      </c>
      <c r="AE4" s="2">
        <f t="shared" si="8"/>
        <v>-0.28570415492127865</v>
      </c>
      <c r="AF4" s="7">
        <f t="shared" si="9"/>
        <v>-52</v>
      </c>
      <c r="AG4" s="2" t="str">
        <f t="shared" si="10"/>
        <v>August</v>
      </c>
      <c r="AH4" s="4">
        <f t="shared" si="11"/>
        <v>2024</v>
      </c>
      <c r="AI4" s="2" t="str">
        <f t="shared" si="12"/>
        <v>Invalid Shipping Record</v>
      </c>
      <c r="AJ4">
        <f t="shared" si="13"/>
        <v>1</v>
      </c>
      <c r="AK4">
        <f t="shared" si="14"/>
        <v>1</v>
      </c>
    </row>
    <row r="5" spans="1:37">
      <c r="A5" t="s">
        <v>51</v>
      </c>
      <c r="B5" s="5">
        <v>45624</v>
      </c>
      <c r="C5" s="5">
        <v>45625</v>
      </c>
      <c r="D5" s="6">
        <f t="shared" si="0"/>
        <v>1</v>
      </c>
      <c r="E5" s="6" t="str">
        <f t="shared" si="1"/>
        <v>OK</v>
      </c>
      <c r="F5" t="s">
        <v>52</v>
      </c>
      <c r="G5" t="s">
        <v>53</v>
      </c>
      <c r="H5" t="s">
        <v>37</v>
      </c>
      <c r="I5" t="s">
        <v>54</v>
      </c>
      <c r="J5" t="s">
        <v>55</v>
      </c>
      <c r="K5" t="s">
        <v>56</v>
      </c>
      <c r="L5" t="s">
        <v>41</v>
      </c>
      <c r="M5" t="s">
        <v>57</v>
      </c>
      <c r="N5" t="s">
        <v>58</v>
      </c>
      <c r="O5" t="s">
        <v>59</v>
      </c>
      <c r="P5">
        <v>6</v>
      </c>
      <c r="Q5">
        <v>1848.43</v>
      </c>
      <c r="R5">
        <v>0.25</v>
      </c>
      <c r="S5">
        <v>8317.93</v>
      </c>
      <c r="T5">
        <v>6796.77</v>
      </c>
      <c r="U5">
        <v>1521.16</v>
      </c>
      <c r="V5" t="s">
        <v>32</v>
      </c>
      <c r="W5" t="s">
        <v>33</v>
      </c>
      <c r="X5" t="str">
        <f t="shared" si="2"/>
        <v>ORD-2024-10004|45624|45625|1|OK|CUST-3722|Arjun Bose|Small Business|South|Telangana|Hyderabad|Furniture|Furnishings|Smart Furnishings 294|Standard Class|6|1848.43|0.25|8317.93|6796.77|1521.16|Paid|Completed</v>
      </c>
      <c r="Y5">
        <f t="shared" si="3"/>
        <v>1</v>
      </c>
      <c r="Z5">
        <f t="shared" si="4"/>
        <v>1</v>
      </c>
      <c r="AA5" t="str">
        <f t="shared" si="5"/>
        <v>Unique</v>
      </c>
      <c r="AB5" s="2">
        <f>IF(ISBLANK(R5), 0, IF(ISTEXT(R5), VALUE(SUBSTITUTE(R5, "%", ""))/100, IF(OR(R5&lt;0, R5&gt;1), "Invalid", R5)))</f>
        <v>0.25</v>
      </c>
      <c r="AC5" s="4">
        <f t="shared" si="6"/>
        <v>8317.9349999999995</v>
      </c>
      <c r="AD5" s="4">
        <f t="shared" si="7"/>
        <v>1521.1649999999991</v>
      </c>
      <c r="AE5" s="2">
        <f t="shared" si="8"/>
        <v>0.18287772145370204</v>
      </c>
      <c r="AF5" s="7">
        <f t="shared" si="9"/>
        <v>1</v>
      </c>
      <c r="AG5" s="2" t="str">
        <f t="shared" si="10"/>
        <v>November</v>
      </c>
      <c r="AH5" s="4">
        <f t="shared" si="11"/>
        <v>2024</v>
      </c>
      <c r="AI5" s="2" t="str">
        <f t="shared" si="12"/>
        <v>Clean</v>
      </c>
      <c r="AJ5">
        <f t="shared" si="13"/>
        <v>1</v>
      </c>
      <c r="AK5">
        <f t="shared" si="14"/>
        <v>1</v>
      </c>
    </row>
    <row r="6" spans="1:37">
      <c r="A6" t="s">
        <v>60</v>
      </c>
      <c r="B6" s="5">
        <v>45898</v>
      </c>
      <c r="C6" s="5">
        <v>45901</v>
      </c>
      <c r="D6" s="6">
        <f t="shared" si="0"/>
        <v>3</v>
      </c>
      <c r="E6" s="6" t="str">
        <f t="shared" si="1"/>
        <v>OK</v>
      </c>
      <c r="F6" t="s">
        <v>61</v>
      </c>
      <c r="G6" t="s">
        <v>62</v>
      </c>
      <c r="H6" t="s">
        <v>37</v>
      </c>
      <c r="I6" t="s">
        <v>63</v>
      </c>
      <c r="J6" t="s">
        <v>64</v>
      </c>
      <c r="K6" t="s">
        <v>65</v>
      </c>
      <c r="L6" t="s">
        <v>41</v>
      </c>
      <c r="M6" t="s">
        <v>66</v>
      </c>
      <c r="N6" t="s">
        <v>67</v>
      </c>
      <c r="O6" t="s">
        <v>50</v>
      </c>
      <c r="P6">
        <v>7</v>
      </c>
      <c r="Q6">
        <v>2973.76</v>
      </c>
      <c r="R6">
        <v>0</v>
      </c>
      <c r="S6">
        <v>20816.32</v>
      </c>
      <c r="T6">
        <v>17705.37</v>
      </c>
      <c r="U6">
        <v>3110.95</v>
      </c>
      <c r="V6" t="s">
        <v>32</v>
      </c>
      <c r="W6" t="s">
        <v>68</v>
      </c>
      <c r="X6" t="str">
        <f t="shared" si="2"/>
        <v>ORD-2025-10005|45898|45901|3|OK|CUST-8130|Ananya Rao|Small Business|West|Maharashtra|Mumbai|Furniture|Chairs|Elite Chairs 543|First Class|7|2973.76|0|20816.32|17705.37|3110.95|Paid|Cancelled</v>
      </c>
      <c r="Y6">
        <f t="shared" si="3"/>
        <v>1</v>
      </c>
      <c r="Z6">
        <f t="shared" si="4"/>
        <v>1</v>
      </c>
      <c r="AA6" t="str">
        <f t="shared" si="5"/>
        <v>Unique</v>
      </c>
      <c r="AB6" s="2">
        <f>IF(ISBLANK(R6), 0, IF(ISTEXT(R6), VALUE(SUBSTITUTE(R6, "%", ""))/100, IF(OR(R6&lt;0, R6&gt;1), "Invalid", R6)))</f>
        <v>0</v>
      </c>
      <c r="AC6" s="4">
        <f t="shared" si="6"/>
        <v>20816.32</v>
      </c>
      <c r="AD6" s="4">
        <f t="shared" si="7"/>
        <v>3110.9500000000007</v>
      </c>
      <c r="AE6" s="2">
        <f t="shared" si="8"/>
        <v>0.14944764492475138</v>
      </c>
      <c r="AF6" s="7">
        <f t="shared" si="9"/>
        <v>3</v>
      </c>
      <c r="AG6" s="2" t="str">
        <f t="shared" si="10"/>
        <v>August</v>
      </c>
      <c r="AH6" s="4">
        <f t="shared" si="11"/>
        <v>2025</v>
      </c>
      <c r="AI6" s="2" t="str">
        <f t="shared" si="12"/>
        <v>Excluded from Sales</v>
      </c>
      <c r="AJ6">
        <f t="shared" si="13"/>
        <v>1</v>
      </c>
      <c r="AK6">
        <f t="shared" si="14"/>
        <v>1</v>
      </c>
    </row>
    <row r="7" spans="1:37">
      <c r="A7" t="s">
        <v>69</v>
      </c>
      <c r="B7" s="5">
        <v>45436</v>
      </c>
      <c r="C7" s="5">
        <v>45440</v>
      </c>
      <c r="D7" s="6">
        <f t="shared" si="0"/>
        <v>4</v>
      </c>
      <c r="E7" s="6" t="str">
        <f t="shared" si="1"/>
        <v>OK</v>
      </c>
      <c r="F7" t="s">
        <v>70</v>
      </c>
      <c r="G7" t="s">
        <v>71</v>
      </c>
      <c r="H7" t="s">
        <v>37</v>
      </c>
      <c r="I7" t="s">
        <v>63</v>
      </c>
      <c r="J7" t="s">
        <v>72</v>
      </c>
      <c r="K7" t="s">
        <v>73</v>
      </c>
      <c r="L7" t="s">
        <v>74</v>
      </c>
      <c r="M7" t="s">
        <v>75</v>
      </c>
      <c r="N7" t="s">
        <v>76</v>
      </c>
      <c r="O7" t="s">
        <v>44</v>
      </c>
      <c r="P7">
        <v>3</v>
      </c>
      <c r="Q7">
        <v>1053.1099999999999</v>
      </c>
      <c r="R7">
        <v>0.2</v>
      </c>
      <c r="S7">
        <v>2527.46</v>
      </c>
      <c r="T7">
        <v>1533.58</v>
      </c>
      <c r="U7">
        <v>993.88</v>
      </c>
      <c r="V7" t="s">
        <v>32</v>
      </c>
      <c r="W7" t="s">
        <v>33</v>
      </c>
      <c r="X7" t="str">
        <f t="shared" si="2"/>
        <v>ORD-2024-10006|45436|45440|4|OK|CUST-6056|Vikram Iyer|Small Business|West|Madhya Pradesh|Indore|Technology|Accessories|Pro Accessories 821|Same Day|3|1053.11|0.2|2527.46|1533.58|993.88|Paid|Completed</v>
      </c>
      <c r="Y7">
        <f t="shared" si="3"/>
        <v>1</v>
      </c>
      <c r="Z7">
        <f t="shared" si="4"/>
        <v>1</v>
      </c>
      <c r="AA7" t="str">
        <f t="shared" si="5"/>
        <v>Unique</v>
      </c>
      <c r="AB7" s="2">
        <f>IF(ISBLANK(R7), 0, IF(ISTEXT(R7), VALUE(SUBSTITUTE(R7, "%", ""))/100, IF(OR(R7&lt;0, R7&gt;1), "Invalid", R7)))</f>
        <v>0.2</v>
      </c>
      <c r="AC7" s="4">
        <f t="shared" si="6"/>
        <v>2527.4639999999999</v>
      </c>
      <c r="AD7" s="4">
        <f t="shared" si="7"/>
        <v>993.88400000000001</v>
      </c>
      <c r="AE7" s="2">
        <f t="shared" si="8"/>
        <v>0.39323369195367375</v>
      </c>
      <c r="AF7" s="7">
        <f t="shared" si="9"/>
        <v>4</v>
      </c>
      <c r="AG7" s="2" t="str">
        <f t="shared" si="10"/>
        <v>May</v>
      </c>
      <c r="AH7" s="4">
        <f t="shared" si="11"/>
        <v>2024</v>
      </c>
      <c r="AI7" s="2" t="str">
        <f t="shared" si="12"/>
        <v>Clean</v>
      </c>
      <c r="AJ7">
        <f t="shared" si="13"/>
        <v>1</v>
      </c>
      <c r="AK7">
        <f t="shared" si="14"/>
        <v>1</v>
      </c>
    </row>
    <row r="8" spans="1:37">
      <c r="A8" t="s">
        <v>77</v>
      </c>
      <c r="B8" s="5">
        <v>45934</v>
      </c>
      <c r="C8" s="5">
        <v>45763</v>
      </c>
      <c r="D8" s="6">
        <f>IF(AND(C8&lt;&gt;"",B8&lt;&gt;""), C8-B8, "Missing Date")</f>
        <v>-171</v>
      </c>
      <c r="E8" s="6" t="str">
        <f>IF(OR(B8="",C8=""), "Missing Date",
    IF(C8&lt;B8, "Invalid: Ship before Order",
      "OK"))</f>
        <v>Invalid: Ship before Order</v>
      </c>
      <c r="F8" t="s">
        <v>78</v>
      </c>
      <c r="G8" t="s">
        <v>79</v>
      </c>
      <c r="H8" t="s">
        <v>24</v>
      </c>
      <c r="I8" t="s">
        <v>38</v>
      </c>
      <c r="J8" t="s">
        <v>39</v>
      </c>
      <c r="K8" t="s">
        <v>40</v>
      </c>
      <c r="L8" t="s">
        <v>74</v>
      </c>
      <c r="M8" t="s">
        <v>80</v>
      </c>
      <c r="N8" t="s">
        <v>81</v>
      </c>
      <c r="O8" t="s">
        <v>59</v>
      </c>
      <c r="P8">
        <v>4</v>
      </c>
      <c r="Q8">
        <v>1719.87</v>
      </c>
      <c r="R8">
        <v>0.15</v>
      </c>
      <c r="S8">
        <v>5847.56</v>
      </c>
      <c r="T8">
        <v>4727.25</v>
      </c>
      <c r="U8">
        <v>1120.31</v>
      </c>
      <c r="V8" t="s">
        <v>32</v>
      </c>
      <c r="W8" t="s">
        <v>33</v>
      </c>
      <c r="X8" t="str">
        <f>_xlfn.TEXTJOIN("|", TRUE, A8:W8)</f>
        <v>ORD-2025-10007|45934|45763|-171|Invalid: Ship before Order|CUST-3656|Neha Gupta|Consumer|East|Odisha|Bhubaneswar|Technology|Copiers|Eco Copiers 790|Standard Class|4|1719.87|0.15|5847.56|4727.25|1120.31|Paid|Completed</v>
      </c>
      <c r="Y8">
        <f>COUNTIF($X$2:$X$1000, X8)</f>
        <v>1</v>
      </c>
      <c r="Z8">
        <f>COUNTIF($A$2:$A$1000, A8)</f>
        <v>2</v>
      </c>
      <c r="AA8" t="str">
        <f>IF(Y8&gt;1, "Exact Duplicate",
  IF(Z8&gt;1, "Conflicting Duplicate - Review",
    "Unique"))</f>
        <v>Conflicting Duplicate - Review</v>
      </c>
      <c r="AB8" s="2">
        <f>IF(ISBLANK(R8), 0, IF(ISTEXT(R8), VALUE(SUBSTITUTE(R8, "%", ""))/100, IF(OR(R8&lt;0, R8&gt;1), "Invalid", R8)))</f>
        <v>0.15</v>
      </c>
      <c r="AC8" s="4">
        <f>IF(AB8="Invalid", "Error", P8 * Q8 * (1 - AB8))</f>
        <v>5847.5579999999991</v>
      </c>
      <c r="AD8" s="4">
        <f>IF(AC8="Error", "Error", AC8 - T8)</f>
        <v>1120.3079999999991</v>
      </c>
      <c r="AE8" s="2">
        <f>IF(AC8="Error", "Error", IF(AC8=0, 0, AD8 / AC8))</f>
        <v>0.19158561573908275</v>
      </c>
      <c r="AF8" s="7">
        <f>C8-B8</f>
        <v>-171</v>
      </c>
      <c r="AG8" s="2" t="str">
        <f>TEXT(B8, "mmmm")</f>
        <v>October</v>
      </c>
      <c r="AH8" s="4">
        <f>YEAR(B8)</f>
        <v>2025</v>
      </c>
      <c r="AI8" s="2" t="str">
        <f t="shared" si="12"/>
        <v>Invalid Shipping Record</v>
      </c>
      <c r="AJ8">
        <f>COUNTIFS($A$2:$A$1000,A8,$B$2:$B$1000,B8,$C$2:$C$1000,C8,$D$2:$D$1000,D8,$E$2:$E$1000,E8,$F$2:$F$1000,F8)</f>
        <v>2</v>
      </c>
      <c r="AK8">
        <f>COUNTIF($A$2:$A$1000, A8)</f>
        <v>2</v>
      </c>
    </row>
    <row r="9" spans="1:37">
      <c r="A9" t="s">
        <v>82</v>
      </c>
      <c r="B9" s="5">
        <v>45711</v>
      </c>
      <c r="C9" s="5">
        <v>45714</v>
      </c>
      <c r="D9" s="6">
        <f>IF(AND(C9&lt;&gt;"",B9&lt;&gt;""), C9-B9, "Missing Date")</f>
        <v>3</v>
      </c>
      <c r="E9" s="6" t="str">
        <f>IF(OR(B9="",C9=""), "Missing Date",
    IF(C9&lt;B9, "Invalid: Ship before Order",
      "OK"))</f>
        <v>OK</v>
      </c>
      <c r="F9" t="s">
        <v>83</v>
      </c>
      <c r="G9" t="s">
        <v>47</v>
      </c>
      <c r="H9" t="s">
        <v>37</v>
      </c>
      <c r="I9" t="s">
        <v>54</v>
      </c>
      <c r="J9" t="s">
        <v>84</v>
      </c>
      <c r="K9" t="s">
        <v>85</v>
      </c>
      <c r="L9" t="s">
        <v>28</v>
      </c>
      <c r="M9" t="s">
        <v>48</v>
      </c>
      <c r="N9" t="s">
        <v>86</v>
      </c>
      <c r="O9" t="s">
        <v>50</v>
      </c>
      <c r="P9">
        <v>1</v>
      </c>
      <c r="Q9">
        <v>2980.71</v>
      </c>
      <c r="R9">
        <v>0</v>
      </c>
      <c r="S9">
        <v>2980.71</v>
      </c>
      <c r="T9">
        <v>2357.2199999999998</v>
      </c>
      <c r="U9">
        <v>623.49</v>
      </c>
      <c r="V9" t="s">
        <v>32</v>
      </c>
      <c r="W9" t="s">
        <v>33</v>
      </c>
      <c r="X9" t="str">
        <f>_xlfn.TEXTJOIN("|", TRUE, A9:W9)</f>
        <v>ORD-2025-10008|45711|45714|3|OK|CUST-4683|Isha Nair|Small Business|South|Andhra Pradesh|Vijayawada|Office Supplies|Art|Eco Art 848|First Class|1|2980.71|0|2980.71|2357.22|623.49|Paid|Completed</v>
      </c>
      <c r="Y9">
        <f>COUNTIF($X$2:$X$1000, X9)</f>
        <v>1</v>
      </c>
      <c r="Z9">
        <f>COUNTIF($A$2:$A$1000, A9)</f>
        <v>1</v>
      </c>
      <c r="AA9" t="str">
        <f>IF(Y9&gt;1, "Exact Duplicate",
  IF(Z9&gt;1, "Conflicting Duplicate - Review",
    "Unique"))</f>
        <v>Unique</v>
      </c>
      <c r="AB9" s="2">
        <f>IF(ISBLANK(R9), 0, IF(ISTEXT(R9), VALUE(SUBSTITUTE(R9, "%", ""))/100, IF(OR(R9&lt;0, R9&gt;1), "Invalid", R9)))</f>
        <v>0</v>
      </c>
      <c r="AC9" s="4">
        <f>IF(AB9="Invalid", "Error", P9 * Q9 * (1 - AB9))</f>
        <v>2980.71</v>
      </c>
      <c r="AD9" s="4">
        <f>IF(AC9="Error", "Error", AC9 - T9)</f>
        <v>623.49000000000024</v>
      </c>
      <c r="AE9" s="2">
        <f>IF(AC9="Error", "Error", IF(AC9=0, 0, AD9 / AC9))</f>
        <v>0.20917499521925992</v>
      </c>
      <c r="AF9" s="7">
        <f>C9-B9</f>
        <v>3</v>
      </c>
      <c r="AG9" s="2" t="str">
        <f>TEXT(B9, "mmmm")</f>
        <v>February</v>
      </c>
      <c r="AH9" s="4">
        <f>YEAR(B9)</f>
        <v>2025</v>
      </c>
      <c r="AI9" s="2" t="str">
        <f t="shared" si="12"/>
        <v>Clean</v>
      </c>
      <c r="AJ9">
        <f>COUNTIFS($A$2:$A$1000,A9,$B$2:$B$1000,B9,$C$2:$C$1000,C9,$D$2:$D$1000,D9,$E$2:$E$1000,E9,$F$2:$F$1000,F9)</f>
        <v>1</v>
      </c>
      <c r="AK9">
        <f>COUNTIF($A$2:$A$1000, A9)</f>
        <v>1</v>
      </c>
    </row>
    <row r="10" spans="1:37">
      <c r="A10" t="s">
        <v>87</v>
      </c>
      <c r="B10" s="5">
        <v>45423</v>
      </c>
      <c r="C10" s="5">
        <v>45576</v>
      </c>
      <c r="D10" s="6">
        <f>IF(AND(C10&lt;&gt;"",B10&lt;&gt;""), C10-B10, "Missing Date")</f>
        <v>153</v>
      </c>
      <c r="E10" s="6" t="str">
        <f>IF(OR(B10="",C10=""), "Missing Date",
    IF(C10&lt;B10, "Invalid: Ship before Order",
      "OK"))</f>
        <v>OK</v>
      </c>
      <c r="F10" t="s">
        <v>88</v>
      </c>
      <c r="G10" t="s">
        <v>89</v>
      </c>
      <c r="H10" t="s">
        <v>90</v>
      </c>
      <c r="I10" t="s">
        <v>54</v>
      </c>
      <c r="J10" t="s">
        <v>55</v>
      </c>
      <c r="K10" t="s">
        <v>56</v>
      </c>
      <c r="L10" t="s">
        <v>28</v>
      </c>
      <c r="M10" t="s">
        <v>91</v>
      </c>
      <c r="N10" t="s">
        <v>92</v>
      </c>
      <c r="O10" t="s">
        <v>50</v>
      </c>
      <c r="P10">
        <v>8</v>
      </c>
      <c r="Q10">
        <v>3134.2</v>
      </c>
      <c r="R10">
        <v>0</v>
      </c>
      <c r="S10">
        <v>25073.599999999999</v>
      </c>
      <c r="T10">
        <v>17347.23</v>
      </c>
      <c r="U10">
        <v>7726.37</v>
      </c>
      <c r="V10" t="s">
        <v>32</v>
      </c>
      <c r="W10" t="s">
        <v>33</v>
      </c>
      <c r="X10" t="str">
        <f>_xlfn.TEXTJOIN("|", TRUE, A10:W10)</f>
        <v>ORD-2024-10009|45423|45576|153|OK|CUST-2598|Aditi Sen|Corporate|South|Telangana|Hyderabad|Office Supplies|Labels|Classic Labels 815|First Class|8|3134.2|0|25073.6|17347.23|7726.37|Paid|Completed</v>
      </c>
      <c r="Y10">
        <f>COUNTIF($X$2:$X$1000, X10)</f>
        <v>1</v>
      </c>
      <c r="Z10">
        <f>COUNTIF($A$2:$A$1000, A10)</f>
        <v>1</v>
      </c>
      <c r="AA10" t="str">
        <f>IF(Y10&gt;1, "Exact Duplicate",
  IF(Z10&gt;1, "Conflicting Duplicate - Review",
    "Unique"))</f>
        <v>Unique</v>
      </c>
      <c r="AB10" s="2">
        <f>IF(ISBLANK(R10), 0, IF(ISTEXT(R10), VALUE(SUBSTITUTE(R10, "%", ""))/100, IF(OR(R10&lt;0, R10&gt;1), "Invalid", R10)))</f>
        <v>0</v>
      </c>
      <c r="AC10" s="4">
        <f>IF(AB10="Invalid", "Error", P10 * Q10 * (1 - AB10))</f>
        <v>25073.599999999999</v>
      </c>
      <c r="AD10" s="4">
        <f>IF(AC10="Error", "Error", AC10 - T10)</f>
        <v>7726.369999999999</v>
      </c>
      <c r="AE10" s="2">
        <f>IF(AC10="Error", "Error", IF(AC10=0, 0, AD10 / AC10))</f>
        <v>0.30814761342607361</v>
      </c>
      <c r="AF10" s="7">
        <f>C10-B10</f>
        <v>153</v>
      </c>
      <c r="AG10" s="2" t="str">
        <f>TEXT(B10, "mmmm")</f>
        <v>May</v>
      </c>
      <c r="AH10" s="4">
        <f>YEAR(B10)</f>
        <v>2024</v>
      </c>
      <c r="AI10" s="2" t="str">
        <f t="shared" si="12"/>
        <v>Clean</v>
      </c>
      <c r="AJ10">
        <f>COUNTIFS($A$2:$A$1000,A10,$B$2:$B$1000,B10,$C$2:$C$1000,C10,$D$2:$D$1000,D10,$E$2:$E$1000,E10,$F$2:$F$1000,F10)</f>
        <v>1</v>
      </c>
      <c r="AK10">
        <f>COUNTIF($A$2:$A$1000, A10)</f>
        <v>1</v>
      </c>
    </row>
    <row r="11" spans="1:37">
      <c r="A11" t="s">
        <v>93</v>
      </c>
      <c r="B11" s="5">
        <v>45907</v>
      </c>
      <c r="C11" s="5">
        <v>46000</v>
      </c>
      <c r="D11" s="6">
        <f>IF(AND(C11&lt;&gt;"",B11&lt;&gt;""), C11-B11, "Missing Date")</f>
        <v>93</v>
      </c>
      <c r="E11" s="6" t="str">
        <f>IF(OR(B11="",C11=""), "Missing Date",
    IF(C11&lt;B11, "Invalid: Ship before Order",
      "OK"))</f>
        <v>OK</v>
      </c>
      <c r="F11" t="s">
        <v>94</v>
      </c>
      <c r="G11" t="s">
        <v>36</v>
      </c>
      <c r="H11" t="s">
        <v>95</v>
      </c>
      <c r="I11" t="s">
        <v>54</v>
      </c>
      <c r="J11" t="s">
        <v>55</v>
      </c>
      <c r="K11" t="s">
        <v>56</v>
      </c>
      <c r="L11" t="s">
        <v>28</v>
      </c>
      <c r="M11" t="s">
        <v>29</v>
      </c>
      <c r="N11" t="s">
        <v>96</v>
      </c>
      <c r="O11" t="s">
        <v>31</v>
      </c>
      <c r="P11">
        <v>9</v>
      </c>
      <c r="Q11">
        <v>852.04</v>
      </c>
      <c r="R11">
        <v>0.2</v>
      </c>
      <c r="S11">
        <v>6134.69</v>
      </c>
      <c r="T11">
        <v>3800.19</v>
      </c>
      <c r="U11">
        <v>2334.5</v>
      </c>
      <c r="V11" t="s">
        <v>32</v>
      </c>
      <c r="W11" t="s">
        <v>33</v>
      </c>
      <c r="X11" t="str">
        <f>_xlfn.TEXTJOIN("|", TRUE, A11:W11)</f>
        <v>ORD-2025-10010|45907|46000|93|OK|CUST-2483|Mira Das|Home Office|South|Telangana|Hyderabad|Office Supplies|Paper|Pro Paper 622|Second Class|9|852.04|0.2|6134.69|3800.19|2334.5|Paid|Completed</v>
      </c>
      <c r="Y11">
        <f>COUNTIF($X$2:$X$1000, X11)</f>
        <v>1</v>
      </c>
      <c r="Z11">
        <f>COUNTIF($A$2:$A$1000, A11)</f>
        <v>1</v>
      </c>
      <c r="AA11" t="str">
        <f>IF(Y11&gt;1, "Exact Duplicate",
  IF(Z11&gt;1, "Conflicting Duplicate - Review",
    "Unique"))</f>
        <v>Unique</v>
      </c>
      <c r="AB11" s="2">
        <f>IF(ISBLANK(R11), 0, IF(ISTEXT(R11), VALUE(SUBSTITUTE(R11, "%", ""))/100, IF(OR(R11&lt;0, R11&gt;1), "Invalid", R11)))</f>
        <v>0.2</v>
      </c>
      <c r="AC11" s="4">
        <f>IF(AB11="Invalid", "Error", P11 * Q11 * (1 - AB11))</f>
        <v>6134.6880000000001</v>
      </c>
      <c r="AD11" s="4">
        <f>IF(AC11="Error", "Error", AC11 - T11)</f>
        <v>2334.498</v>
      </c>
      <c r="AE11" s="2">
        <f>IF(AC11="Error", "Error", IF(AC11=0, 0, AD11 / AC11))</f>
        <v>0.38054062407085737</v>
      </c>
      <c r="AF11" s="7">
        <f>C11-B11</f>
        <v>93</v>
      </c>
      <c r="AG11" s="2" t="str">
        <f>TEXT(B11, "mmmm")</f>
        <v>September</v>
      </c>
      <c r="AH11" s="4">
        <f>YEAR(B11)</f>
        <v>2025</v>
      </c>
      <c r="AI11" s="2" t="str">
        <f t="shared" si="12"/>
        <v>Clean</v>
      </c>
      <c r="AJ11">
        <f>COUNTIFS($A$2:$A$1000,A11,$B$2:$B$1000,B11,$C$2:$C$1000,C11,$D$2:$D$1000,D11,$E$2:$E$1000,E11,$F$2:$F$1000,F11)</f>
        <v>1</v>
      </c>
      <c r="AK11">
        <f>COUNTIF($A$2:$A$1000, A11)</f>
        <v>1</v>
      </c>
    </row>
    <row r="12" spans="1:37">
      <c r="A12" t="s">
        <v>97</v>
      </c>
      <c r="B12" s="5">
        <v>45797</v>
      </c>
      <c r="C12" s="5">
        <v>45797</v>
      </c>
      <c r="D12" s="6">
        <f>IF(AND(C12&lt;&gt;"",B12&lt;&gt;""), C12-B12, "Missing Date")</f>
        <v>0</v>
      </c>
      <c r="E12" s="6" t="str">
        <f>IF(OR(B12="",C12=""), "Missing Date",
    IF(C12&lt;B12, "Invalid: Ship before Order",
      "OK"))</f>
        <v>OK</v>
      </c>
      <c r="F12" t="s">
        <v>98</v>
      </c>
      <c r="G12" t="s">
        <v>62</v>
      </c>
      <c r="H12" t="s">
        <v>90</v>
      </c>
      <c r="I12" t="s">
        <v>38</v>
      </c>
      <c r="J12" t="s">
        <v>99</v>
      </c>
      <c r="K12" t="s">
        <v>100</v>
      </c>
      <c r="L12" t="s">
        <v>28</v>
      </c>
      <c r="M12" t="s">
        <v>91</v>
      </c>
      <c r="N12" t="s">
        <v>101</v>
      </c>
      <c r="O12" t="s">
        <v>31</v>
      </c>
      <c r="P12">
        <v>3</v>
      </c>
      <c r="Q12">
        <v>3534.83</v>
      </c>
      <c r="R12">
        <v>0.05</v>
      </c>
      <c r="S12">
        <v>10074.27</v>
      </c>
      <c r="T12">
        <v>6048.27</v>
      </c>
      <c r="U12">
        <v>4026</v>
      </c>
      <c r="V12" t="s">
        <v>102</v>
      </c>
      <c r="W12" t="s">
        <v>103</v>
      </c>
      <c r="X12" t="str">
        <f>_xlfn.TEXTJOIN("|", TRUE, A12:W12)</f>
        <v>ORD-2025-10011|45797|45797|0|OK|CUST-8092|Ananya Rao|Corporate|East|West Bengal|Kolkata|Office Supplies|Labels|Prime Labels 644|Second Class|3|3534.83|0.05|10074.27|6048.27|4026|Refunded|Returned</v>
      </c>
      <c r="Y12">
        <f>COUNTIF($X$2:$X$1000, X12)</f>
        <v>1</v>
      </c>
      <c r="Z12">
        <f>COUNTIF($A$2:$A$1000, A12)</f>
        <v>1</v>
      </c>
      <c r="AA12" t="str">
        <f>IF(Y12&gt;1, "Exact Duplicate",
  IF(Z12&gt;1, "Conflicting Duplicate - Review",
    "Unique"))</f>
        <v>Unique</v>
      </c>
      <c r="AB12" s="2">
        <f>IF(ISBLANK(R12), 0, IF(ISTEXT(R12), VALUE(SUBSTITUTE(R12, "%", ""))/100, IF(OR(R12&lt;0, R12&gt;1), "Invalid", R12)))</f>
        <v>0.05</v>
      </c>
      <c r="AC12" s="4">
        <f>IF(AB12="Invalid", "Error", P12 * Q12 * (1 - AB12))</f>
        <v>10074.2655</v>
      </c>
      <c r="AD12" s="4">
        <f>IF(AC12="Error", "Error", AC12 - T12)</f>
        <v>4025.9954999999991</v>
      </c>
      <c r="AE12" s="2">
        <f>IF(AC12="Error", "Error", IF(AC12=0, 0, AD12 / AC12))</f>
        <v>0.39963166545491574</v>
      </c>
      <c r="AF12" s="7">
        <f>C12-B12</f>
        <v>0</v>
      </c>
      <c r="AG12" s="2" t="str">
        <f>TEXT(B12, "mmmm")</f>
        <v>May</v>
      </c>
      <c r="AH12" s="4">
        <f>YEAR(B12)</f>
        <v>2025</v>
      </c>
      <c r="AI12" s="2" t="str">
        <f t="shared" si="12"/>
        <v>Clean</v>
      </c>
      <c r="AJ12">
        <f>COUNTIFS($A$2:$A$1000,A12,$B$2:$B$1000,B12,$C$2:$C$1000,C12,$D$2:$D$1000,D12,$E$2:$E$1000,E12,$F$2:$F$1000,F12)</f>
        <v>1</v>
      </c>
      <c r="AK12">
        <f>COUNTIF($A$2:$A$1000, A12)</f>
        <v>1</v>
      </c>
    </row>
    <row r="13" spans="1:37">
      <c r="A13" t="s">
        <v>104</v>
      </c>
      <c r="B13" s="5">
        <v>45495</v>
      </c>
      <c r="C13" s="5">
        <v>45496</v>
      </c>
      <c r="D13" s="6">
        <f>IF(AND(C13&lt;&gt;"",B13&lt;&gt;""), C13-B13, "Missing Date")</f>
        <v>1</v>
      </c>
      <c r="E13" s="6" t="str">
        <f>IF(OR(B13="",C13=""), "Missing Date",
    IF(C13&lt;B13, "Invalid: Ship before Order",
      "OK"))</f>
        <v>OK</v>
      </c>
      <c r="F13" t="s">
        <v>105</v>
      </c>
      <c r="G13" t="s">
        <v>71</v>
      </c>
      <c r="H13" t="s">
        <v>37</v>
      </c>
      <c r="I13" t="s">
        <v>38</v>
      </c>
      <c r="J13" t="s">
        <v>39</v>
      </c>
      <c r="K13" t="s">
        <v>40</v>
      </c>
      <c r="L13" t="s">
        <v>74</v>
      </c>
      <c r="M13" t="s">
        <v>75</v>
      </c>
      <c r="N13" t="s">
        <v>106</v>
      </c>
      <c r="O13" t="s">
        <v>44</v>
      </c>
      <c r="P13">
        <v>6</v>
      </c>
      <c r="Q13">
        <v>2005.95</v>
      </c>
      <c r="R13">
        <v>0.2</v>
      </c>
      <c r="S13">
        <v>9628.56</v>
      </c>
      <c r="T13">
        <v>8038.59</v>
      </c>
      <c r="U13">
        <v>1589.97</v>
      </c>
      <c r="V13" t="s">
        <v>32</v>
      </c>
      <c r="W13" t="s">
        <v>33</v>
      </c>
      <c r="X13" t="str">
        <f>_xlfn.TEXTJOIN("|", TRUE, A13:W13)</f>
        <v>ORD-2024-10012|45495|45496|1|OK|CUST-6528|Vikram Iyer|Small Business|East|Odisha|Bhubaneswar|Technology|Accessories|Smart Accessories 603|Same Day|6|2005.95|0.2|9628.56|8038.59|1589.97|Paid|Completed</v>
      </c>
      <c r="Y13">
        <f>COUNTIF($X$2:$X$1000, X13)</f>
        <v>1</v>
      </c>
      <c r="Z13">
        <f>COUNTIF($A$2:$A$1000, A13)</f>
        <v>1</v>
      </c>
      <c r="AA13" t="str">
        <f>IF(Y13&gt;1, "Exact Duplicate",
  IF(Z13&gt;1, "Conflicting Duplicate - Review",
    "Unique"))</f>
        <v>Unique</v>
      </c>
      <c r="AB13" s="2">
        <f>IF(ISBLANK(R13), 0, IF(ISTEXT(R13), VALUE(SUBSTITUTE(R13, "%", ""))/100, IF(OR(R13&lt;0, R13&gt;1), "Invalid", R13)))</f>
        <v>0.2</v>
      </c>
      <c r="AC13" s="4">
        <f>IF(AB13="Invalid", "Error", P13 * Q13 * (1 - AB13))</f>
        <v>9628.5600000000013</v>
      </c>
      <c r="AD13" s="4">
        <f>IF(AC13="Error", "Error", AC13 - T13)</f>
        <v>1589.9700000000012</v>
      </c>
      <c r="AE13" s="2">
        <f>IF(AC13="Error", "Error", IF(AC13=0, 0, AD13 / AC13))</f>
        <v>0.16513061143099289</v>
      </c>
      <c r="AF13" s="7">
        <f>C13-B13</f>
        <v>1</v>
      </c>
      <c r="AG13" s="2" t="str">
        <f>TEXT(B13, "mmmm")</f>
        <v>July</v>
      </c>
      <c r="AH13" s="4">
        <f>YEAR(B13)</f>
        <v>2024</v>
      </c>
      <c r="AI13" s="2" t="str">
        <f t="shared" si="12"/>
        <v>Clean</v>
      </c>
      <c r="AJ13">
        <f>COUNTIFS($A$2:$A$1000,A13,$B$2:$B$1000,B13,$C$2:$C$1000,C13,$D$2:$D$1000,D13,$E$2:$E$1000,E13,$F$2:$F$1000,F13)</f>
        <v>1</v>
      </c>
      <c r="AK13">
        <f>COUNTIF($A$2:$A$1000, A13)</f>
        <v>1</v>
      </c>
    </row>
    <row r="14" spans="1:37">
      <c r="A14" t="s">
        <v>107</v>
      </c>
      <c r="B14" s="5">
        <v>45646</v>
      </c>
      <c r="C14" s="5">
        <v>45647</v>
      </c>
      <c r="D14" s="6">
        <f>IF(AND(C14&lt;&gt;"",B14&lt;&gt;""), C14-B14, "Missing Date")</f>
        <v>1</v>
      </c>
      <c r="E14" s="6" t="str">
        <f>IF(OR(B14="",C14=""), "Missing Date",
    IF(C14&lt;B14, "Invalid: Ship before Order",
      "OK"))</f>
        <v>OK</v>
      </c>
      <c r="F14" t="s">
        <v>108</v>
      </c>
      <c r="G14" t="s">
        <v>62</v>
      </c>
      <c r="H14" t="s">
        <v>90</v>
      </c>
      <c r="I14" t="s">
        <v>63</v>
      </c>
      <c r="J14" t="s">
        <v>26</v>
      </c>
      <c r="K14" t="s">
        <v>109</v>
      </c>
      <c r="L14" t="s">
        <v>28</v>
      </c>
      <c r="M14" t="s">
        <v>29</v>
      </c>
      <c r="N14" t="s">
        <v>110</v>
      </c>
      <c r="O14" t="s">
        <v>50</v>
      </c>
      <c r="P14">
        <v>1</v>
      </c>
      <c r="Q14">
        <v>702.14</v>
      </c>
      <c r="R14">
        <v>0.15</v>
      </c>
      <c r="S14">
        <v>596.82000000000005</v>
      </c>
      <c r="T14">
        <v>380.25</v>
      </c>
      <c r="U14">
        <v>216.57</v>
      </c>
      <c r="V14" t="s">
        <v>111</v>
      </c>
      <c r="W14" t="s">
        <v>103</v>
      </c>
      <c r="X14" t="str">
        <f>_xlfn.TEXTJOIN("|", TRUE, A14:W14)</f>
        <v>ORD-2024-10013|45646|45647|1|OK|CUST-2648|Ananya Rao|Corporate|West|Rajasthan|Udaipur|Office Supplies|Paper|Pro Paper 481|First Class|1|702.14|0.15|596.82|380.25|216.57|Pending|Returned</v>
      </c>
      <c r="Y14">
        <f>COUNTIF($X$2:$X$1000, X14)</f>
        <v>1</v>
      </c>
      <c r="Z14">
        <f>COUNTIF($A$2:$A$1000, A14)</f>
        <v>1</v>
      </c>
      <c r="AA14" t="str">
        <f>IF(Y14&gt;1, "Exact Duplicate",
  IF(Z14&gt;1, "Conflicting Duplicate - Review",
    "Unique"))</f>
        <v>Unique</v>
      </c>
      <c r="AB14" s="2">
        <f>IF(ISBLANK(R14), 0, IF(ISTEXT(R14), VALUE(SUBSTITUTE(R14, "%", ""))/100, IF(OR(R14&lt;0, R14&gt;1), "Invalid", R14)))</f>
        <v>0.15</v>
      </c>
      <c r="AC14" s="4">
        <f>IF(AB14="Invalid", "Error", P14 * Q14 * (1 - AB14))</f>
        <v>596.81899999999996</v>
      </c>
      <c r="AD14" s="4">
        <f>IF(AC14="Error", "Error", AC14 - T14)</f>
        <v>216.56899999999996</v>
      </c>
      <c r="AE14" s="2">
        <f>IF(AC14="Error", "Error", IF(AC14=0, 0, AD14 / AC14))</f>
        <v>0.36287216057129545</v>
      </c>
      <c r="AF14" s="7">
        <f>C14-B14</f>
        <v>1</v>
      </c>
      <c r="AG14" s="2" t="str">
        <f>TEXT(B14, "mmmm")</f>
        <v>December</v>
      </c>
      <c r="AH14" s="4">
        <f>YEAR(B14)</f>
        <v>2024</v>
      </c>
      <c r="AI14" s="2" t="str">
        <f t="shared" si="12"/>
        <v>Clean</v>
      </c>
      <c r="AJ14">
        <f>COUNTIFS($A$2:$A$1000,A14,$B$2:$B$1000,B14,$C$2:$C$1000,C14,$D$2:$D$1000,D14,$E$2:$E$1000,E14,$F$2:$F$1000,F14)</f>
        <v>1</v>
      </c>
      <c r="AK14">
        <f>COUNTIF($A$2:$A$1000, A14)</f>
        <v>1</v>
      </c>
    </row>
    <row r="15" spans="1:37">
      <c r="A15" t="s">
        <v>112</v>
      </c>
      <c r="B15" s="5">
        <v>45942</v>
      </c>
      <c r="C15" s="5">
        <v>45946</v>
      </c>
      <c r="D15" s="6">
        <f>IF(AND(C15&lt;&gt;"",B15&lt;&gt;""), C15-B15, "Missing Date")</f>
        <v>4</v>
      </c>
      <c r="E15" s="6" t="str">
        <f>IF(OR(B15="",C15=""), "Missing Date",
    IF(C15&lt;B15, "Invalid: Ship before Order",
      "OK"))</f>
        <v>OK</v>
      </c>
      <c r="F15" t="s">
        <v>113</v>
      </c>
      <c r="G15" t="s">
        <v>114</v>
      </c>
      <c r="H15" t="s">
        <v>37</v>
      </c>
      <c r="I15" t="s">
        <v>63</v>
      </c>
      <c r="J15" t="s">
        <v>64</v>
      </c>
      <c r="K15" t="s">
        <v>65</v>
      </c>
      <c r="L15" t="s">
        <v>28</v>
      </c>
      <c r="M15" t="s">
        <v>48</v>
      </c>
      <c r="N15" t="s">
        <v>115</v>
      </c>
      <c r="O15" t="s">
        <v>31</v>
      </c>
      <c r="P15">
        <v>7</v>
      </c>
      <c r="Q15">
        <v>3964.72</v>
      </c>
      <c r="R15">
        <v>0.05</v>
      </c>
      <c r="S15">
        <v>26365.39</v>
      </c>
      <c r="T15">
        <v>22306.240000000002</v>
      </c>
      <c r="U15">
        <v>4059.15</v>
      </c>
      <c r="V15" t="s">
        <v>32</v>
      </c>
      <c r="W15" t="s">
        <v>33</v>
      </c>
      <c r="X15" t="str">
        <f>_xlfn.TEXTJOIN("|", TRUE, A15:W15)</f>
        <v>ORD-2025-10014|45942|45946|4|OK|CUST-7482|Priya Menon|Small Business|West|Maharashtra|Mumbai|Office Supplies|Art|Smart Art 795|Second Class|7|3964.72|0.05|26365.39|22306.24|4059.15|Paid|Completed</v>
      </c>
      <c r="Y15">
        <f>COUNTIF($X$2:$X$1000, X15)</f>
        <v>1</v>
      </c>
      <c r="Z15">
        <f>COUNTIF($A$2:$A$1000, A15)</f>
        <v>1</v>
      </c>
      <c r="AA15" t="str">
        <f>IF(Y15&gt;1, "Exact Duplicate",
  IF(Z15&gt;1, "Conflicting Duplicate - Review",
    "Unique"))</f>
        <v>Unique</v>
      </c>
      <c r="AB15" s="2">
        <f>IF(ISBLANK(R15), 0, IF(ISTEXT(R15), VALUE(SUBSTITUTE(R15, "%", ""))/100, IF(OR(R15&lt;0, R15&gt;1), "Invalid", R15)))</f>
        <v>0.05</v>
      </c>
      <c r="AC15" s="4">
        <f>IF(AB15="Invalid", "Error", P15 * Q15 * (1 - AB15))</f>
        <v>26365.387999999995</v>
      </c>
      <c r="AD15" s="4">
        <f>IF(AC15="Error", "Error", AC15 - T15)</f>
        <v>4059.1479999999938</v>
      </c>
      <c r="AE15" s="2">
        <f>IF(AC15="Error", "Error", IF(AC15=0, 0, AD15 / AC15))</f>
        <v>0.15395745361304733</v>
      </c>
      <c r="AF15" s="7">
        <f>C15-B15</f>
        <v>4</v>
      </c>
      <c r="AG15" s="2" t="str">
        <f>TEXT(B15, "mmmm")</f>
        <v>October</v>
      </c>
      <c r="AH15" s="4">
        <f>YEAR(B15)</f>
        <v>2025</v>
      </c>
      <c r="AI15" s="2" t="str">
        <f t="shared" si="12"/>
        <v>Clean</v>
      </c>
      <c r="AJ15">
        <f>COUNTIFS($A$2:$A$1000,A15,$B$2:$B$1000,B15,$C$2:$C$1000,C15,$D$2:$D$1000,D15,$E$2:$E$1000,E15,$F$2:$F$1000,F15)</f>
        <v>1</v>
      </c>
      <c r="AK15">
        <f>COUNTIF($A$2:$A$1000, A15)</f>
        <v>1</v>
      </c>
    </row>
    <row r="16" spans="1:37">
      <c r="A16" t="s">
        <v>116</v>
      </c>
      <c r="B16" s="5">
        <v>45653</v>
      </c>
      <c r="C16" s="5">
        <v>45654</v>
      </c>
      <c r="D16" s="6">
        <f>IF(AND(C16&lt;&gt;"",B16&lt;&gt;""), C16-B16, "Missing Date")</f>
        <v>1</v>
      </c>
      <c r="E16" s="6" t="str">
        <f>IF(OR(B16="",C16=""), "Missing Date",
    IF(C16&lt;B16, "Invalid: Ship before Order",
      "OK"))</f>
        <v>OK</v>
      </c>
      <c r="F16" t="s">
        <v>117</v>
      </c>
      <c r="G16" t="s">
        <v>118</v>
      </c>
      <c r="H16" t="s">
        <v>24</v>
      </c>
      <c r="I16" t="s">
        <v>63</v>
      </c>
      <c r="J16" t="s">
        <v>26</v>
      </c>
      <c r="K16" t="s">
        <v>109</v>
      </c>
      <c r="L16" t="s">
        <v>74</v>
      </c>
      <c r="M16" t="s">
        <v>80</v>
      </c>
      <c r="N16" t="s">
        <v>119</v>
      </c>
      <c r="O16" t="s">
        <v>59</v>
      </c>
      <c r="P16">
        <v>2</v>
      </c>
      <c r="Q16">
        <v>2737.83</v>
      </c>
      <c r="R16">
        <v>0.25</v>
      </c>
      <c r="S16">
        <v>4106.74</v>
      </c>
      <c r="T16">
        <v>2666.3</v>
      </c>
      <c r="U16">
        <v>1440.44</v>
      </c>
      <c r="V16" t="s">
        <v>32</v>
      </c>
      <c r="W16" t="s">
        <v>33</v>
      </c>
      <c r="X16" t="str">
        <f>_xlfn.TEXTJOIN("|", TRUE, A16:W16)</f>
        <v>ORD-2024-10015|45653|45654|1|OK|CUST-4912|Rahul Verma|Consumer|West|Rajasthan|Udaipur|Technology|Copiers|Max Copiers 983|Standard Class|2|2737.83|0.25|4106.74|2666.3|1440.44|Paid|Completed</v>
      </c>
      <c r="Y16">
        <f>COUNTIF($X$2:$X$1000, X16)</f>
        <v>1</v>
      </c>
      <c r="Z16">
        <f>COUNTIF($A$2:$A$1000, A16)</f>
        <v>1</v>
      </c>
      <c r="AA16" t="str">
        <f>IF(Y16&gt;1, "Exact Duplicate",
  IF(Z16&gt;1, "Conflicting Duplicate - Review",
    "Unique"))</f>
        <v>Unique</v>
      </c>
      <c r="AB16" s="2">
        <f>IF(ISBLANK(R16), 0, IF(ISTEXT(R16), VALUE(SUBSTITUTE(R16, "%", ""))/100, IF(OR(R16&lt;0, R16&gt;1), "Invalid", R16)))</f>
        <v>0.25</v>
      </c>
      <c r="AC16" s="4">
        <f>IF(AB16="Invalid", "Error", P16 * Q16 * (1 - AB16))</f>
        <v>4106.7449999999999</v>
      </c>
      <c r="AD16" s="4">
        <f>IF(AC16="Error", "Error", AC16 - T16)</f>
        <v>1440.4449999999997</v>
      </c>
      <c r="AE16" s="2">
        <f>IF(AC16="Error", "Error", IF(AC16=0, 0, AD16 / AC16))</f>
        <v>0.35075102057712365</v>
      </c>
      <c r="AF16" s="7">
        <f>C16-B16</f>
        <v>1</v>
      </c>
      <c r="AG16" s="2" t="str">
        <f>TEXT(B16, "mmmm")</f>
        <v>December</v>
      </c>
      <c r="AH16" s="4">
        <f>YEAR(B16)</f>
        <v>2024</v>
      </c>
      <c r="AI16" s="2" t="str">
        <f t="shared" si="12"/>
        <v>Clean</v>
      </c>
      <c r="AJ16">
        <f>COUNTIFS($A$2:$A$1000,A16,$B$2:$B$1000,B16,$C$2:$C$1000,C16,$D$2:$D$1000,D16,$E$2:$E$1000,E16,$F$2:$F$1000,F16)</f>
        <v>1</v>
      </c>
      <c r="AK16">
        <f>COUNTIF($A$2:$A$1000, A16)</f>
        <v>1</v>
      </c>
    </row>
    <row r="17" spans="1:37">
      <c r="A17" t="s">
        <v>120</v>
      </c>
      <c r="B17" s="5">
        <v>45542</v>
      </c>
      <c r="C17" s="5">
        <v>45482</v>
      </c>
      <c r="D17" s="6">
        <f>IF(AND(C17&lt;&gt;"",B17&lt;&gt;""), C17-B17, "Missing Date")</f>
        <v>-60</v>
      </c>
      <c r="E17" s="6" t="str">
        <f>IF(OR(B17="",C17=""), "Missing Date",
    IF(C17&lt;B17, "Invalid: Ship before Order",
      "OK"))</f>
        <v>Invalid: Ship before Order</v>
      </c>
      <c r="F17" t="s">
        <v>121</v>
      </c>
      <c r="G17" t="s">
        <v>23</v>
      </c>
      <c r="H17" t="s">
        <v>37</v>
      </c>
      <c r="I17" t="s">
        <v>25</v>
      </c>
      <c r="J17" t="s">
        <v>122</v>
      </c>
      <c r="K17" t="s">
        <v>123</v>
      </c>
      <c r="L17" t="s">
        <v>28</v>
      </c>
      <c r="M17" t="s">
        <v>124</v>
      </c>
      <c r="N17" t="s">
        <v>125</v>
      </c>
      <c r="O17" t="s">
        <v>31</v>
      </c>
      <c r="P17">
        <v>6</v>
      </c>
      <c r="Q17">
        <v>3965.76</v>
      </c>
      <c r="R17">
        <v>0</v>
      </c>
      <c r="S17">
        <v>23794.560000000001</v>
      </c>
      <c r="T17">
        <v>15698.47</v>
      </c>
      <c r="U17">
        <v>8096.09</v>
      </c>
      <c r="V17" t="s">
        <v>32</v>
      </c>
      <c r="W17" t="s">
        <v>33</v>
      </c>
      <c r="X17" t="str">
        <f>_xlfn.TEXTJOIN("|", TRUE, A17:W17)</f>
        <v>ORD-2024-10016|45542|45482|-60|Invalid: Ship before Order|CUST-7656|Karan Malhotra|Small Business|North|Punjab|Ludhiana|Office Supplies|Storage|Classic Storage 198|Second Class|6|3965.76|0|23794.56|15698.47|8096.09|Paid|Completed</v>
      </c>
      <c r="Y17">
        <f>COUNTIF($X$2:$X$1000, X17)</f>
        <v>1</v>
      </c>
      <c r="Z17">
        <f>COUNTIF($A$2:$A$1000, A17)</f>
        <v>1</v>
      </c>
      <c r="AA17" t="str">
        <f>IF(Y17&gt;1, "Exact Duplicate",
  IF(Z17&gt;1, "Conflicting Duplicate - Review",
    "Unique"))</f>
        <v>Unique</v>
      </c>
      <c r="AB17" s="2">
        <f>IF(ISBLANK(R17), 0, IF(ISTEXT(R17), VALUE(SUBSTITUTE(R17, "%", ""))/100, IF(OR(R17&lt;0, R17&gt;1), "Invalid", R17)))</f>
        <v>0</v>
      </c>
      <c r="AC17" s="4">
        <f>IF(AB17="Invalid", "Error", P17 * Q17 * (1 - AB17))</f>
        <v>23794.560000000001</v>
      </c>
      <c r="AD17" s="4">
        <f>IF(AC17="Error", "Error", AC17 - T17)</f>
        <v>8096.090000000002</v>
      </c>
      <c r="AE17" s="2">
        <f>IF(AC17="Error", "Error", IF(AC17=0, 0, AD17 / AC17))</f>
        <v>0.34024962008122872</v>
      </c>
      <c r="AF17" s="7">
        <f>C17-B17</f>
        <v>-60</v>
      </c>
      <c r="AG17" s="2" t="str">
        <f>TEXT(B17, "mmmm")</f>
        <v>September</v>
      </c>
      <c r="AH17" s="4">
        <f>YEAR(B17)</f>
        <v>2024</v>
      </c>
      <c r="AI17" s="2" t="str">
        <f t="shared" si="12"/>
        <v>Invalid Shipping Record</v>
      </c>
      <c r="AJ17">
        <f>COUNTIFS($A$2:$A$1000,A17,$B$2:$B$1000,B17,$C$2:$C$1000,C17,$D$2:$D$1000,D17,$E$2:$E$1000,E17,$F$2:$F$1000,F17)</f>
        <v>1</v>
      </c>
      <c r="AK17">
        <f>COUNTIF($A$2:$A$1000, A17)</f>
        <v>1</v>
      </c>
    </row>
    <row r="18" spans="1:37">
      <c r="A18" t="s">
        <v>126</v>
      </c>
      <c r="B18" s="5">
        <v>45509</v>
      </c>
      <c r="C18" s="5">
        <v>45427</v>
      </c>
      <c r="D18" s="6">
        <f>IF(AND(C18&lt;&gt;"",B18&lt;&gt;""), C18-B18, "Missing Date")</f>
        <v>-82</v>
      </c>
      <c r="E18" s="6" t="str">
        <f>IF(OR(B18="",C18=""), "Missing Date",
    IF(C18&lt;B18, "Invalid: Ship before Order",
      "OK"))</f>
        <v>Invalid: Ship before Order</v>
      </c>
      <c r="F18" t="s">
        <v>127</v>
      </c>
      <c r="G18" t="s">
        <v>128</v>
      </c>
      <c r="H18" t="s">
        <v>24</v>
      </c>
      <c r="I18" t="s">
        <v>54</v>
      </c>
      <c r="J18" t="s">
        <v>55</v>
      </c>
      <c r="K18" t="s">
        <v>56</v>
      </c>
      <c r="L18" t="s">
        <v>28</v>
      </c>
      <c r="M18" t="s">
        <v>48</v>
      </c>
      <c r="N18" t="s">
        <v>129</v>
      </c>
      <c r="O18" t="s">
        <v>50</v>
      </c>
      <c r="P18">
        <v>4</v>
      </c>
      <c r="Q18">
        <v>3323.51</v>
      </c>
      <c r="R18">
        <v>0.25</v>
      </c>
      <c r="S18">
        <v>9970.5300000000007</v>
      </c>
      <c r="T18">
        <v>5668.17</v>
      </c>
      <c r="U18">
        <v>4302.3599999999997</v>
      </c>
      <c r="V18" t="s">
        <v>32</v>
      </c>
      <c r="W18" t="s">
        <v>33</v>
      </c>
      <c r="X18" t="str">
        <f>_xlfn.TEXTJOIN("|", TRUE, A18:W18)</f>
        <v>ORD-2024-10017|45509|45427|-82|Invalid: Ship before Order|CUST-6214|Aarav Sharma|Consumer|South|Telangana|Hyderabad|Office Supplies|Art|Basic Art 204|First Class|4|3323.51|0.25|9970.53|5668.17|4302.36|Paid|Completed</v>
      </c>
      <c r="Y18">
        <f>COUNTIF($X$2:$X$1000, X18)</f>
        <v>1</v>
      </c>
      <c r="Z18">
        <f>COUNTIF($A$2:$A$1000, A18)</f>
        <v>1</v>
      </c>
      <c r="AA18" t="str">
        <f>IF(Y18&gt;1, "Exact Duplicate",
  IF(Z18&gt;1, "Conflicting Duplicate - Review",
    "Unique"))</f>
        <v>Unique</v>
      </c>
      <c r="AB18" s="2">
        <f>IF(ISBLANK(R18), 0, IF(ISTEXT(R18), VALUE(SUBSTITUTE(R18, "%", ""))/100, IF(OR(R18&lt;0, R18&gt;1), "Invalid", R18)))</f>
        <v>0.25</v>
      </c>
      <c r="AC18" s="4">
        <f>IF(AB18="Invalid", "Error", P18 * Q18 * (1 - AB18))</f>
        <v>9970.5300000000007</v>
      </c>
      <c r="AD18" s="4">
        <f>IF(AC18="Error", "Error", AC18 - T18)</f>
        <v>4302.3600000000006</v>
      </c>
      <c r="AE18" s="2">
        <f>IF(AC18="Error", "Error", IF(AC18=0, 0, AD18 / AC18))</f>
        <v>0.43150765305354882</v>
      </c>
      <c r="AF18" s="7">
        <f>C18-B18</f>
        <v>-82</v>
      </c>
      <c r="AG18" s="2" t="str">
        <f>TEXT(B18, "mmmm")</f>
        <v>August</v>
      </c>
      <c r="AH18" s="4">
        <f>YEAR(B18)</f>
        <v>2024</v>
      </c>
      <c r="AI18" s="2" t="str">
        <f t="shared" si="12"/>
        <v>Invalid Shipping Record</v>
      </c>
      <c r="AJ18">
        <f>COUNTIFS($A$2:$A$1000,A18,$B$2:$B$1000,B18,$C$2:$C$1000,C18,$D$2:$D$1000,D18,$E$2:$E$1000,E18,$F$2:$F$1000,F18)</f>
        <v>1</v>
      </c>
      <c r="AK18">
        <f>COUNTIF($A$2:$A$1000, A18)</f>
        <v>1</v>
      </c>
    </row>
    <row r="19" spans="1:37">
      <c r="A19" t="s">
        <v>130</v>
      </c>
      <c r="B19" s="5">
        <v>45474</v>
      </c>
      <c r="C19" s="5">
        <v>45299</v>
      </c>
      <c r="D19" s="6">
        <f>IF(AND(C19&lt;&gt;"",B19&lt;&gt;""), C19-B19, "Missing Date")</f>
        <v>-175</v>
      </c>
      <c r="E19" s="6" t="str">
        <f>IF(OR(B19="",C19=""), "Missing Date",
    IF(C19&lt;B19, "Invalid: Ship before Order",
      "OK"))</f>
        <v>Invalid: Ship before Order</v>
      </c>
      <c r="F19" t="s">
        <v>131</v>
      </c>
      <c r="G19" t="s">
        <v>132</v>
      </c>
      <c r="H19" t="s">
        <v>37</v>
      </c>
      <c r="I19" t="s">
        <v>25</v>
      </c>
      <c r="J19" t="s">
        <v>26</v>
      </c>
      <c r="K19" t="s">
        <v>27</v>
      </c>
      <c r="L19" t="s">
        <v>41</v>
      </c>
      <c r="M19" t="s">
        <v>57</v>
      </c>
      <c r="N19" t="s">
        <v>133</v>
      </c>
      <c r="O19" t="s">
        <v>44</v>
      </c>
      <c r="P19">
        <v>5</v>
      </c>
      <c r="Q19">
        <v>1526.78</v>
      </c>
      <c r="R19">
        <v>0</v>
      </c>
      <c r="S19">
        <v>7633.9</v>
      </c>
      <c r="T19">
        <v>4706.91</v>
      </c>
      <c r="U19">
        <v>2926.99</v>
      </c>
      <c r="V19" t="s">
        <v>32</v>
      </c>
      <c r="W19" t="s">
        <v>33</v>
      </c>
      <c r="X19" t="str">
        <f>_xlfn.TEXTJOIN("|", TRUE, A19:W19)</f>
        <v>ORD-2024-10018|45474|45299|-175|Invalid: Ship before Order|CUST-1626|Sneha Kapoor|Small Business|North|Rajasthan|Jaipur|Furniture|Furnishings|Basic Furnishings 434|Same Day|5|1526.78|0|7633.9|4706.91|2926.99|Paid|Completed</v>
      </c>
      <c r="Y19">
        <f>COUNTIF($X$2:$X$1000, X19)</f>
        <v>1</v>
      </c>
      <c r="Z19">
        <f>COUNTIF($A$2:$A$1000, A19)</f>
        <v>1</v>
      </c>
      <c r="AA19" t="str">
        <f>IF(Y19&gt;1, "Exact Duplicate",
  IF(Z19&gt;1, "Conflicting Duplicate - Review",
    "Unique"))</f>
        <v>Unique</v>
      </c>
      <c r="AB19" s="2">
        <f>IF(ISBLANK(R19), 0, IF(ISTEXT(R19), VALUE(SUBSTITUTE(R19, "%", ""))/100, IF(OR(R19&lt;0, R19&gt;1), "Invalid", R19)))</f>
        <v>0</v>
      </c>
      <c r="AC19" s="4">
        <f>IF(AB19="Invalid", "Error", P19 * Q19 * (1 - AB19))</f>
        <v>7633.9</v>
      </c>
      <c r="AD19" s="4">
        <f>IF(AC19="Error", "Error", AC19 - T19)</f>
        <v>2926.99</v>
      </c>
      <c r="AE19" s="2">
        <f>IF(AC19="Error", "Error", IF(AC19=0, 0, AD19 / AC19))</f>
        <v>0.38342000812166782</v>
      </c>
      <c r="AF19" s="7">
        <f>C19-B19</f>
        <v>-175</v>
      </c>
      <c r="AG19" s="2" t="str">
        <f>TEXT(B19, "mmmm")</f>
        <v>July</v>
      </c>
      <c r="AH19" s="4">
        <f>YEAR(B19)</f>
        <v>2024</v>
      </c>
      <c r="AI19" s="2" t="str">
        <f t="shared" si="12"/>
        <v>Invalid Shipping Record</v>
      </c>
      <c r="AJ19">
        <f>COUNTIFS($A$2:$A$1000,A19,$B$2:$B$1000,B19,$C$2:$C$1000,C19,$D$2:$D$1000,D19,$E$2:$E$1000,E19,$F$2:$F$1000,F19)</f>
        <v>1</v>
      </c>
      <c r="AK19">
        <f>COUNTIF($A$2:$A$1000, A19)</f>
        <v>1</v>
      </c>
    </row>
    <row r="20" spans="1:37">
      <c r="A20" t="s">
        <v>134</v>
      </c>
      <c r="B20" s="5">
        <v>45853</v>
      </c>
      <c r="C20" s="5">
        <v>45855</v>
      </c>
      <c r="D20" s="6">
        <f>IF(AND(C20&lt;&gt;"",B20&lt;&gt;""), C20-B20, "Missing Date")</f>
        <v>2</v>
      </c>
      <c r="E20" s="6" t="str">
        <f>IF(OR(B20="",C20=""), "Missing Date",
    IF(C20&lt;B20, "Invalid: Ship before Order",
      "OK"))</f>
        <v>OK</v>
      </c>
      <c r="F20" t="s">
        <v>135</v>
      </c>
      <c r="G20" t="s">
        <v>128</v>
      </c>
      <c r="H20" t="s">
        <v>95</v>
      </c>
      <c r="I20" t="s">
        <v>25</v>
      </c>
      <c r="J20" t="s">
        <v>136</v>
      </c>
      <c r="K20" t="s">
        <v>137</v>
      </c>
      <c r="L20" t="s">
        <v>74</v>
      </c>
      <c r="M20" t="s">
        <v>80</v>
      </c>
      <c r="N20" t="s">
        <v>138</v>
      </c>
      <c r="O20" t="s">
        <v>50</v>
      </c>
      <c r="P20">
        <v>2</v>
      </c>
      <c r="Q20">
        <v>1997.99</v>
      </c>
      <c r="R20">
        <v>0</v>
      </c>
      <c r="S20">
        <v>3995.98</v>
      </c>
      <c r="T20">
        <v>2633.2</v>
      </c>
      <c r="U20">
        <v>1362.78</v>
      </c>
      <c r="V20" t="s">
        <v>102</v>
      </c>
      <c r="W20" t="s">
        <v>68</v>
      </c>
      <c r="X20" t="str">
        <f>_xlfn.TEXTJOIN("|", TRUE, A20:W20)</f>
        <v>ORD-2025-10019|45853|45855|2|OK|CUST-2110|Aarav Sharma|Home Office|North|Uttar Pradesh|Noida|Technology|Copiers|Eco Copiers 755|First Class|2|1997.99|0|3995.98|2633.2|1362.78|Refunded|Cancelled</v>
      </c>
      <c r="Y20">
        <f>COUNTIF($X$2:$X$1000, X20)</f>
        <v>1</v>
      </c>
      <c r="Z20">
        <f>COUNTIF($A$2:$A$1000, A20)</f>
        <v>1</v>
      </c>
      <c r="AA20" t="str">
        <f>IF(Y20&gt;1, "Exact Duplicate",
  IF(Z20&gt;1, "Conflicting Duplicate - Review",
    "Unique"))</f>
        <v>Unique</v>
      </c>
      <c r="AB20" s="2">
        <f>IF(ISBLANK(R20), 0, IF(ISTEXT(R20), VALUE(SUBSTITUTE(R20, "%", ""))/100, IF(OR(R20&lt;0, R20&gt;1), "Invalid", R20)))</f>
        <v>0</v>
      </c>
      <c r="AC20" s="4">
        <f>IF(AB20="Invalid", "Error", P20 * Q20 * (1 - AB20))</f>
        <v>3995.98</v>
      </c>
      <c r="AD20" s="4">
        <f>IF(AC20="Error", "Error", AC20 - T20)</f>
        <v>1362.7800000000002</v>
      </c>
      <c r="AE20" s="2">
        <f>IF(AC20="Error", "Error", IF(AC20=0, 0, AD20 / AC20))</f>
        <v>0.34103774293164635</v>
      </c>
      <c r="AF20" s="7">
        <f>C20-B20</f>
        <v>2</v>
      </c>
      <c r="AG20" s="2" t="str">
        <f>TEXT(B20, "mmmm")</f>
        <v>July</v>
      </c>
      <c r="AH20" s="4">
        <f>YEAR(B20)</f>
        <v>2025</v>
      </c>
      <c r="AI20" s="2" t="str">
        <f t="shared" si="12"/>
        <v>Excluded from Sales</v>
      </c>
      <c r="AJ20">
        <f>COUNTIFS($A$2:$A$1000,A20,$B$2:$B$1000,B20,$C$2:$C$1000,C20,$D$2:$D$1000,D20,$E$2:$E$1000,E20,$F$2:$F$1000,F20)</f>
        <v>1</v>
      </c>
      <c r="AK20">
        <f>COUNTIF($A$2:$A$1000, A20)</f>
        <v>1</v>
      </c>
    </row>
    <row r="21" spans="1:37">
      <c r="A21" t="s">
        <v>139</v>
      </c>
      <c r="B21" s="5">
        <v>45500</v>
      </c>
      <c r="C21" s="5">
        <v>45504</v>
      </c>
      <c r="D21" s="6">
        <f>IF(AND(C21&lt;&gt;"",B21&lt;&gt;""), C21-B21, "Missing Date")</f>
        <v>4</v>
      </c>
      <c r="E21" s="6" t="str">
        <f>IF(OR(B21="",C21=""), "Missing Date",
    IF(C21&lt;B21, "Invalid: Ship before Order",
      "OK"))</f>
        <v>OK</v>
      </c>
      <c r="F21" t="s">
        <v>140</v>
      </c>
      <c r="G21" t="s">
        <v>141</v>
      </c>
      <c r="H21" t="s">
        <v>95</v>
      </c>
      <c r="I21" t="s">
        <v>63</v>
      </c>
      <c r="J21" t="s">
        <v>72</v>
      </c>
      <c r="K21" t="s">
        <v>73</v>
      </c>
      <c r="L21" t="s">
        <v>28</v>
      </c>
      <c r="M21" t="s">
        <v>124</v>
      </c>
      <c r="N21" t="s">
        <v>142</v>
      </c>
      <c r="O21" t="s">
        <v>31</v>
      </c>
      <c r="P21">
        <v>3</v>
      </c>
      <c r="Q21">
        <v>3887.94</v>
      </c>
      <c r="R21">
        <v>-0.19</v>
      </c>
      <c r="S21">
        <v>9331.06</v>
      </c>
      <c r="T21">
        <v>7529.31</v>
      </c>
      <c r="U21">
        <v>1801.75</v>
      </c>
      <c r="V21" t="s">
        <v>32</v>
      </c>
      <c r="W21" t="s">
        <v>33</v>
      </c>
      <c r="X21" t="str">
        <f>_xlfn.TEXTJOIN("|", TRUE, A21:W21)</f>
        <v>ORD-2024-10020|45500|45504|4|OK|CUST-3186|Rohan Mehta|Home Office|West|Madhya Pradesh|Indore|Office Supplies|Storage|Prime Storage 121|Second Class|3|3887.94|-0.19|9331.06|7529.31|1801.75|Paid|Completed</v>
      </c>
      <c r="Y21">
        <f>COUNTIF($X$2:$X$1000, X21)</f>
        <v>1</v>
      </c>
      <c r="Z21">
        <f>COUNTIF($A$2:$A$1000, A21)</f>
        <v>1</v>
      </c>
      <c r="AA21" t="str">
        <f>IF(Y21&gt;1, "Exact Duplicate",
  IF(Z21&gt;1, "Conflicting Duplicate - Review",
    "Unique"))</f>
        <v>Unique</v>
      </c>
      <c r="AB21" s="2" t="str">
        <f>IF(ISBLANK(R21), 0, IF(ISTEXT(R21), VALUE(SUBSTITUTE(R21, "%", ""))/100, IF(OR(R21&lt;0, R21&gt;1), "Invalid", R21)))</f>
        <v>Invalid</v>
      </c>
      <c r="AC21" s="4" t="str">
        <f>IF(AB21="Invalid", "Error", P21 * Q21 * (1 - AB21))</f>
        <v>Error</v>
      </c>
      <c r="AD21" s="4" t="str">
        <f>IF(AC21="Error", "Error", AC21 - T21)</f>
        <v>Error</v>
      </c>
      <c r="AE21" s="2" t="str">
        <f>IF(AC21="Error", "Error", IF(AC21=0, 0, AD21 / AC21))</f>
        <v>Error</v>
      </c>
      <c r="AF21" s="7">
        <f>C21-B21</f>
        <v>4</v>
      </c>
      <c r="AG21" s="2" t="str">
        <f>TEXT(B21, "mmmm")</f>
        <v>July</v>
      </c>
      <c r="AH21" s="4">
        <f>YEAR(B21)</f>
        <v>2024</v>
      </c>
      <c r="AI21" s="2" t="str">
        <f t="shared" si="12"/>
        <v>Invalid: Discount</v>
      </c>
      <c r="AJ21">
        <f>COUNTIFS($A$2:$A$1000,A21,$B$2:$B$1000,B21,$C$2:$C$1000,C21,$D$2:$D$1000,D21,$E$2:$E$1000,E21,$F$2:$F$1000,F21)</f>
        <v>1</v>
      </c>
      <c r="AK21">
        <f>COUNTIF($A$2:$A$1000, A21)</f>
        <v>1</v>
      </c>
    </row>
    <row r="22" spans="1:37">
      <c r="A22" t="s">
        <v>143</v>
      </c>
      <c r="B22" s="5">
        <v>45678</v>
      </c>
      <c r="C22" s="5">
        <v>45680</v>
      </c>
      <c r="D22" s="6">
        <f>IF(AND(C22&lt;&gt;"",B22&lt;&gt;""), C22-B22, "Missing Date")</f>
        <v>2</v>
      </c>
      <c r="E22" s="6" t="str">
        <f>IF(OR(B22="",C22=""), "Missing Date",
    IF(C22&lt;B22, "Invalid: Ship before Order",
      "OK"))</f>
        <v>OK</v>
      </c>
      <c r="F22" t="s">
        <v>144</v>
      </c>
      <c r="G22" t="s">
        <v>89</v>
      </c>
      <c r="H22" t="s">
        <v>95</v>
      </c>
      <c r="I22" t="s">
        <v>38</v>
      </c>
      <c r="J22" t="s">
        <v>145</v>
      </c>
      <c r="K22" t="s">
        <v>146</v>
      </c>
      <c r="L22" t="s">
        <v>74</v>
      </c>
      <c r="M22" t="s">
        <v>80</v>
      </c>
      <c r="N22" t="s">
        <v>147</v>
      </c>
      <c r="O22" t="s">
        <v>50</v>
      </c>
      <c r="P22">
        <v>5</v>
      </c>
      <c r="Q22">
        <v>4373.0600000000004</v>
      </c>
      <c r="R22">
        <v>0.25</v>
      </c>
      <c r="S22">
        <v>16398.98</v>
      </c>
      <c r="T22">
        <v>9556.52</v>
      </c>
      <c r="U22">
        <v>6842.46</v>
      </c>
      <c r="V22" t="s">
        <v>32</v>
      </c>
      <c r="W22" t="s">
        <v>33</v>
      </c>
      <c r="X22" t="str">
        <f>_xlfn.TEXTJOIN("|", TRUE, A22:W22)</f>
        <v>ORD-2025-10021|45678|45680|2|OK|CUST-3190|Aditi Sen|Home Office|East|Bihar|Patna|Technology|Copiers|Elite Copiers 233|First Class|5|4373.06|0.25|16398.98|9556.52|6842.46|Paid|Completed</v>
      </c>
      <c r="Y22">
        <f>COUNTIF($X$2:$X$1000, X22)</f>
        <v>1</v>
      </c>
      <c r="Z22">
        <f>COUNTIF($A$2:$A$1000, A22)</f>
        <v>1</v>
      </c>
      <c r="AA22" t="str">
        <f>IF(Y22&gt;1, "Exact Duplicate",
  IF(Z22&gt;1, "Conflicting Duplicate - Review",
    "Unique"))</f>
        <v>Unique</v>
      </c>
      <c r="AB22" s="2">
        <f>IF(ISBLANK(R22), 0, IF(ISTEXT(R22), VALUE(SUBSTITUTE(R22, "%", ""))/100, IF(OR(R22&lt;0, R22&gt;1), "Invalid", R22)))</f>
        <v>0.25</v>
      </c>
      <c r="AC22" s="4">
        <f>IF(AB22="Invalid", "Error", P22 * Q22 * (1 - AB22))</f>
        <v>16398.975000000002</v>
      </c>
      <c r="AD22" s="4">
        <f>IF(AC22="Error", "Error", AC22 - T22)</f>
        <v>6842.4550000000017</v>
      </c>
      <c r="AE22" s="2">
        <f>IF(AC22="Error", "Error", IF(AC22=0, 0, AD22 / AC22))</f>
        <v>0.4172489439126531</v>
      </c>
      <c r="AF22" s="7">
        <f>C22-B22</f>
        <v>2</v>
      </c>
      <c r="AG22" s="2" t="str">
        <f>TEXT(B22, "mmmm")</f>
        <v>January</v>
      </c>
      <c r="AH22" s="4">
        <f>YEAR(B22)</f>
        <v>2025</v>
      </c>
      <c r="AI22" s="2" t="str">
        <f t="shared" si="12"/>
        <v>Clean</v>
      </c>
      <c r="AJ22">
        <f>COUNTIFS($A$2:$A$1000,A22,$B$2:$B$1000,B22,$C$2:$C$1000,C22,$D$2:$D$1000,D22,$E$2:$E$1000,E22,$F$2:$F$1000,F22)</f>
        <v>1</v>
      </c>
      <c r="AK22">
        <f>COUNTIF($A$2:$A$1000, A22)</f>
        <v>1</v>
      </c>
    </row>
    <row r="23" spans="1:37">
      <c r="A23" t="s">
        <v>148</v>
      </c>
      <c r="B23" s="5">
        <v>45681</v>
      </c>
      <c r="C23" s="5">
        <v>45687</v>
      </c>
      <c r="D23" s="6">
        <f>IF(AND(C23&lt;&gt;"",B23&lt;&gt;""), C23-B23, "Missing Date")</f>
        <v>6</v>
      </c>
      <c r="E23" s="6" t="str">
        <f>IF(OR(B23="",C23=""), "Missing Date",
    IF(C23&lt;B23, "Invalid: Ship before Order",
      "OK"))</f>
        <v>OK</v>
      </c>
      <c r="F23" t="s">
        <v>149</v>
      </c>
      <c r="G23" t="s">
        <v>132</v>
      </c>
      <c r="H23" t="s">
        <v>24</v>
      </c>
      <c r="I23" t="s">
        <v>63</v>
      </c>
      <c r="J23" t="s">
        <v>72</v>
      </c>
      <c r="K23" t="s">
        <v>73</v>
      </c>
      <c r="L23" t="s">
        <v>41</v>
      </c>
      <c r="M23" t="s">
        <v>57</v>
      </c>
      <c r="N23" t="s">
        <v>150</v>
      </c>
      <c r="O23" t="s">
        <v>31</v>
      </c>
      <c r="P23">
        <v>4</v>
      </c>
      <c r="Q23">
        <v>697.69</v>
      </c>
      <c r="R23">
        <v>-0.23</v>
      </c>
      <c r="S23">
        <v>2790.76</v>
      </c>
      <c r="T23">
        <v>2037.71</v>
      </c>
      <c r="U23">
        <v>753.05</v>
      </c>
      <c r="V23" t="s">
        <v>32</v>
      </c>
      <c r="W23" t="s">
        <v>33</v>
      </c>
      <c r="X23" t="str">
        <f>_xlfn.TEXTJOIN("|", TRUE, A23:W23)</f>
        <v>ORD-2025-10022|45681|45687|6|OK|CUST-3036|Sneha Kapoor|Consumer|West|Madhya Pradesh|Indore|Furniture|Furnishings|Eco Furnishings 897|Second Class|4|697.69|-0.23|2790.76|2037.71|753.05|Paid|Completed</v>
      </c>
      <c r="Y23">
        <f>COUNTIF($X$2:$X$1000, X23)</f>
        <v>1</v>
      </c>
      <c r="Z23">
        <f>COUNTIF($A$2:$A$1000, A23)</f>
        <v>1</v>
      </c>
      <c r="AA23" t="str">
        <f>IF(Y23&gt;1, "Exact Duplicate",
  IF(Z23&gt;1, "Conflicting Duplicate - Review",
    "Unique"))</f>
        <v>Unique</v>
      </c>
      <c r="AB23" s="2" t="str">
        <f>IF(ISBLANK(R23), 0, IF(ISTEXT(R23), VALUE(SUBSTITUTE(R23, "%", ""))/100, IF(OR(R23&lt;0, R23&gt;1), "Invalid", R23)))</f>
        <v>Invalid</v>
      </c>
      <c r="AC23" s="4" t="str">
        <f>IF(AB23="Invalid", "Error", P23 * Q23 * (1 - AB23))</f>
        <v>Error</v>
      </c>
      <c r="AD23" s="4" t="str">
        <f>IF(AC23="Error", "Error", AC23 - T23)</f>
        <v>Error</v>
      </c>
      <c r="AE23" s="2" t="str">
        <f>IF(AC23="Error", "Error", IF(AC23=0, 0, AD23 / AC23))</f>
        <v>Error</v>
      </c>
      <c r="AF23" s="7">
        <f>C23-B23</f>
        <v>6</v>
      </c>
      <c r="AG23" s="2" t="str">
        <f>TEXT(B23, "mmmm")</f>
        <v>January</v>
      </c>
      <c r="AH23" s="4">
        <f>YEAR(B23)</f>
        <v>2025</v>
      </c>
      <c r="AI23" s="2" t="str">
        <f t="shared" si="12"/>
        <v>Invalid: Discount</v>
      </c>
      <c r="AJ23">
        <f>COUNTIFS($A$2:$A$1000,A23,$B$2:$B$1000,B23,$C$2:$C$1000,C23,$D$2:$D$1000,D23,$E$2:$E$1000,E23,$F$2:$F$1000,F23)</f>
        <v>1</v>
      </c>
      <c r="AK23">
        <f>COUNTIF($A$2:$A$1000, A23)</f>
        <v>1</v>
      </c>
    </row>
    <row r="24" spans="1:37">
      <c r="A24" t="s">
        <v>151</v>
      </c>
      <c r="B24" s="5">
        <v>45676</v>
      </c>
      <c r="C24" s="5">
        <v>45678</v>
      </c>
      <c r="D24" s="6">
        <f>IF(AND(C24&lt;&gt;"",B24&lt;&gt;""), C24-B24, "Missing Date")</f>
        <v>2</v>
      </c>
      <c r="E24" s="6" t="str">
        <f>IF(OR(B24="",C24=""), "Missing Date",
    IF(C24&lt;B24, "Invalid: Ship before Order",
      "OK"))</f>
        <v>OK</v>
      </c>
      <c r="F24" t="s">
        <v>152</v>
      </c>
      <c r="G24" t="s">
        <v>36</v>
      </c>
      <c r="H24" t="s">
        <v>24</v>
      </c>
      <c r="I24" t="s">
        <v>54</v>
      </c>
      <c r="J24" t="s">
        <v>55</v>
      </c>
      <c r="K24" t="s">
        <v>56</v>
      </c>
      <c r="L24" t="s">
        <v>28</v>
      </c>
      <c r="M24" t="s">
        <v>153</v>
      </c>
      <c r="N24" t="s">
        <v>154</v>
      </c>
      <c r="O24" t="s">
        <v>59</v>
      </c>
      <c r="P24">
        <v>8</v>
      </c>
      <c r="Q24">
        <v>1219.3399999999999</v>
      </c>
      <c r="R24">
        <v>0.15</v>
      </c>
      <c r="S24">
        <v>8291.51</v>
      </c>
      <c r="T24">
        <v>6685.03</v>
      </c>
      <c r="U24">
        <v>1606.48</v>
      </c>
      <c r="V24" t="s">
        <v>155</v>
      </c>
      <c r="W24" t="s">
        <v>103</v>
      </c>
      <c r="X24" t="str">
        <f>_xlfn.TEXTJOIN("|", TRUE, A24:W24)</f>
        <v>ORD-2025-10023|45676|45678|2|OK|CUST-3588|Mira Das|Consumer|South|Telangana|Hyderabad|Office Supplies|Binders|Max Binders 355|Standard Class|8|1219.34|0.15|8291.51|6685.03|1606.48|Failed|Returned</v>
      </c>
      <c r="Y24">
        <f>COUNTIF($X$2:$X$1000, X24)</f>
        <v>1</v>
      </c>
      <c r="Z24">
        <f>COUNTIF($A$2:$A$1000, A24)</f>
        <v>1</v>
      </c>
      <c r="AA24" t="str">
        <f>IF(Y24&gt;1, "Exact Duplicate",
  IF(Z24&gt;1, "Conflicting Duplicate - Review",
    "Unique"))</f>
        <v>Unique</v>
      </c>
      <c r="AB24" s="2">
        <f>IF(ISBLANK(R24), 0, IF(ISTEXT(R24), VALUE(SUBSTITUTE(R24, "%", ""))/100, IF(OR(R24&lt;0, R24&gt;1), "Invalid", R24)))</f>
        <v>0.15</v>
      </c>
      <c r="AC24" s="4">
        <f>IF(AB24="Invalid", "Error", P24 * Q24 * (1 - AB24))</f>
        <v>8291.5119999999988</v>
      </c>
      <c r="AD24" s="4">
        <f>IF(AC24="Error", "Error", AC24 - T24)</f>
        <v>1606.4819999999991</v>
      </c>
      <c r="AE24" s="2">
        <f>IF(AC24="Error", "Error", IF(AC24=0, 0, AD24 / AC24))</f>
        <v>0.19375018693816029</v>
      </c>
      <c r="AF24" s="7">
        <f>C24-B24</f>
        <v>2</v>
      </c>
      <c r="AG24" s="2" t="str">
        <f>TEXT(B24, "mmmm")</f>
        <v>January</v>
      </c>
      <c r="AH24" s="4">
        <f>YEAR(B24)</f>
        <v>2025</v>
      </c>
      <c r="AI24" s="2" t="str">
        <f t="shared" si="12"/>
        <v>Excluded from Sales</v>
      </c>
      <c r="AJ24">
        <f>COUNTIFS($A$2:$A$1000,A24,$B$2:$B$1000,B24,$C$2:$C$1000,C24,$D$2:$D$1000,D24,$E$2:$E$1000,E24,$F$2:$F$1000,F24)</f>
        <v>1</v>
      </c>
      <c r="AK24">
        <f>COUNTIF($A$2:$A$1000, A24)</f>
        <v>1</v>
      </c>
    </row>
    <row r="25" spans="1:37">
      <c r="A25" t="s">
        <v>156</v>
      </c>
      <c r="B25" s="5">
        <v>45898</v>
      </c>
      <c r="C25" s="5">
        <v>45900</v>
      </c>
      <c r="D25" s="6">
        <f>IF(AND(C25&lt;&gt;"",B25&lt;&gt;""), C25-B25, "Missing Date")</f>
        <v>2</v>
      </c>
      <c r="E25" s="6" t="str">
        <f>IF(OR(B25="",C25=""), "Missing Date",
    IF(C25&lt;B25, "Invalid: Ship before Order",
      "OK"))</f>
        <v>OK</v>
      </c>
      <c r="F25" t="s">
        <v>157</v>
      </c>
      <c r="G25" t="s">
        <v>118</v>
      </c>
      <c r="H25" t="s">
        <v>95</v>
      </c>
      <c r="I25" t="s">
        <v>38</v>
      </c>
      <c r="J25" t="s">
        <v>145</v>
      </c>
      <c r="K25" t="s">
        <v>146</v>
      </c>
      <c r="L25" t="s">
        <v>41</v>
      </c>
      <c r="M25" t="s">
        <v>158</v>
      </c>
      <c r="N25" t="s">
        <v>159</v>
      </c>
      <c r="O25" t="s">
        <v>50</v>
      </c>
      <c r="P25">
        <v>4</v>
      </c>
      <c r="Q25">
        <v>1958.01</v>
      </c>
      <c r="R25">
        <v>0.2</v>
      </c>
      <c r="S25">
        <v>6265.63</v>
      </c>
      <c r="T25">
        <v>4321.8599999999997</v>
      </c>
      <c r="U25">
        <v>1943.77</v>
      </c>
      <c r="V25" t="s">
        <v>32</v>
      </c>
      <c r="W25" t="s">
        <v>33</v>
      </c>
      <c r="X25" t="str">
        <f>_xlfn.TEXTJOIN("|", TRUE, A25:W25)</f>
        <v>ORD-2025-10024|45898|45900|2|OK|CUST-7098|Rahul Verma|Home Office|East|Bihar|Patna|Furniture|Bookcases|Pro Bookcases 394|First Class|4|1958.01|0.2|6265.63|4321.86|1943.77|Paid|Completed</v>
      </c>
      <c r="Y25">
        <f>COUNTIF($X$2:$X$1000, X25)</f>
        <v>1</v>
      </c>
      <c r="Z25">
        <f>COUNTIF($A$2:$A$1000, A25)</f>
        <v>1</v>
      </c>
      <c r="AA25" t="str">
        <f>IF(Y25&gt;1, "Exact Duplicate",
  IF(Z25&gt;1, "Conflicting Duplicate - Review",
    "Unique"))</f>
        <v>Unique</v>
      </c>
      <c r="AB25" s="2">
        <f>IF(ISBLANK(R25), 0, IF(ISTEXT(R25), VALUE(SUBSTITUTE(R25, "%", ""))/100, IF(OR(R25&lt;0, R25&gt;1), "Invalid", R25)))</f>
        <v>0.2</v>
      </c>
      <c r="AC25" s="4">
        <f>IF(AB25="Invalid", "Error", P25 * Q25 * (1 - AB25))</f>
        <v>6265.6320000000005</v>
      </c>
      <c r="AD25" s="4">
        <f>IF(AC25="Error", "Error", AC25 - T25)</f>
        <v>1943.7720000000008</v>
      </c>
      <c r="AE25" s="2">
        <f>IF(AC25="Error", "Error", IF(AC25=0, 0, AD25 / AC25))</f>
        <v>0.31022760353624351</v>
      </c>
      <c r="AF25" s="7">
        <f>C25-B25</f>
        <v>2</v>
      </c>
      <c r="AG25" s="2" t="str">
        <f>TEXT(B25, "mmmm")</f>
        <v>August</v>
      </c>
      <c r="AH25" s="4">
        <f>YEAR(B25)</f>
        <v>2025</v>
      </c>
      <c r="AI25" s="2" t="str">
        <f t="shared" si="12"/>
        <v>Clean</v>
      </c>
      <c r="AJ25">
        <f>COUNTIFS($A$2:$A$1000,A25,$B$2:$B$1000,B25,$C$2:$C$1000,C25,$D$2:$D$1000,D25,$E$2:$E$1000,E25,$F$2:$F$1000,F25)</f>
        <v>1</v>
      </c>
      <c r="AK25">
        <f>COUNTIF($A$2:$A$1000, A25)</f>
        <v>1</v>
      </c>
    </row>
    <row r="26" spans="1:37">
      <c r="A26" t="s">
        <v>160</v>
      </c>
      <c r="B26" s="5">
        <v>45355</v>
      </c>
      <c r="C26" s="5">
        <v>45294</v>
      </c>
      <c r="D26" s="6">
        <f>IF(AND(C26&lt;&gt;"",B26&lt;&gt;""), C26-B26, "Missing Date")</f>
        <v>-61</v>
      </c>
      <c r="E26" s="6" t="str">
        <f>IF(OR(B26="",C26=""), "Missing Date",
    IF(C26&lt;B26, "Invalid: Ship before Order",
      "OK"))</f>
        <v>Invalid: Ship before Order</v>
      </c>
      <c r="F26" t="s">
        <v>161</v>
      </c>
      <c r="G26" t="s">
        <v>162</v>
      </c>
      <c r="H26" t="s">
        <v>24</v>
      </c>
      <c r="I26" t="s">
        <v>25</v>
      </c>
      <c r="J26" t="s">
        <v>122</v>
      </c>
      <c r="K26" t="s">
        <v>123</v>
      </c>
      <c r="L26" t="s">
        <v>28</v>
      </c>
      <c r="M26" t="s">
        <v>48</v>
      </c>
      <c r="N26" t="s">
        <v>163</v>
      </c>
      <c r="O26" t="s">
        <v>59</v>
      </c>
      <c r="P26">
        <v>4</v>
      </c>
      <c r="Q26">
        <v>4492.9399999999996</v>
      </c>
      <c r="R26">
        <v>0.25</v>
      </c>
      <c r="S26">
        <v>13478.82</v>
      </c>
      <c r="T26">
        <v>10937.35</v>
      </c>
      <c r="U26">
        <v>2541.4699999999998</v>
      </c>
      <c r="V26" t="s">
        <v>111</v>
      </c>
      <c r="W26" t="s">
        <v>68</v>
      </c>
      <c r="X26" t="str">
        <f>_xlfn.TEXTJOIN("|", TRUE, A26:W26)</f>
        <v>ORD-2024-10025|45355|45294|-61|Invalid: Ship before Order|CUST-1747|Diya Patel|Consumer|North|Punjab|Ludhiana|Office Supplies|Art|Max Art 215|Standard Class|4|4492.94|0.25|13478.82|10937.35|2541.47|Pending|Cancelled</v>
      </c>
      <c r="Y26">
        <f>COUNTIF($X$2:$X$1000, X26)</f>
        <v>1</v>
      </c>
      <c r="Z26">
        <f>COUNTIF($A$2:$A$1000, A26)</f>
        <v>1</v>
      </c>
      <c r="AA26" t="str">
        <f>IF(Y26&gt;1, "Exact Duplicate",
  IF(Z26&gt;1, "Conflicting Duplicate - Review",
    "Unique"))</f>
        <v>Unique</v>
      </c>
      <c r="AB26" s="2">
        <f>IF(ISBLANK(R26), 0, IF(ISTEXT(R26), VALUE(SUBSTITUTE(R26, "%", ""))/100, IF(OR(R26&lt;0, R26&gt;1), "Invalid", R26)))</f>
        <v>0.25</v>
      </c>
      <c r="AC26" s="4">
        <f>IF(AB26="Invalid", "Error", P26 * Q26 * (1 - AB26))</f>
        <v>13478.82</v>
      </c>
      <c r="AD26" s="4">
        <f>IF(AC26="Error", "Error", AC26 - T26)</f>
        <v>2541.4699999999993</v>
      </c>
      <c r="AE26" s="2">
        <f>IF(AC26="Error", "Error", IF(AC26=0, 0, AD26 / AC26))</f>
        <v>0.18855285551702591</v>
      </c>
      <c r="AF26" s="7">
        <f>C26-B26</f>
        <v>-61</v>
      </c>
      <c r="AG26" s="2" t="str">
        <f>TEXT(B26, "mmmm")</f>
        <v>March</v>
      </c>
      <c r="AH26" s="4">
        <f>YEAR(B26)</f>
        <v>2024</v>
      </c>
      <c r="AI26" s="2" t="str">
        <f t="shared" si="12"/>
        <v>Excluded from Sales</v>
      </c>
      <c r="AJ26">
        <f>COUNTIFS($A$2:$A$1000,A26,$B$2:$B$1000,B26,$C$2:$C$1000,C26,$D$2:$D$1000,D26,$E$2:$E$1000,E26,$F$2:$F$1000,F26)</f>
        <v>1</v>
      </c>
      <c r="AK26">
        <f>COUNTIF($A$2:$A$1000, A26)</f>
        <v>1</v>
      </c>
    </row>
    <row r="27" spans="1:37">
      <c r="A27" t="s">
        <v>164</v>
      </c>
      <c r="B27" s="5">
        <v>45576</v>
      </c>
      <c r="C27" s="5">
        <v>45584</v>
      </c>
      <c r="D27" s="6">
        <f>IF(AND(C27&lt;&gt;"",B27&lt;&gt;""), C27-B27, "Missing Date")</f>
        <v>8</v>
      </c>
      <c r="E27" s="6" t="str">
        <f>IF(OR(B27="",C27=""), "Missing Date",
    IF(C27&lt;B27, "Invalid: Ship before Order",
      "OK"))</f>
        <v>OK</v>
      </c>
      <c r="F27" t="s">
        <v>165</v>
      </c>
      <c r="G27" t="s">
        <v>53</v>
      </c>
      <c r="H27" t="s">
        <v>90</v>
      </c>
      <c r="I27" t="s">
        <v>38</v>
      </c>
      <c r="J27" t="s">
        <v>166</v>
      </c>
      <c r="K27" t="s">
        <v>167</v>
      </c>
      <c r="L27" t="s">
        <v>74</v>
      </c>
      <c r="M27" t="s">
        <v>75</v>
      </c>
      <c r="N27" t="s">
        <v>168</v>
      </c>
      <c r="O27" t="s">
        <v>50</v>
      </c>
      <c r="P27">
        <v>2</v>
      </c>
      <c r="Q27">
        <v>4315.2</v>
      </c>
      <c r="R27">
        <v>0.15</v>
      </c>
      <c r="S27">
        <v>7335.84</v>
      </c>
      <c r="T27">
        <v>4968.41</v>
      </c>
      <c r="U27">
        <v>2367.4299999999998</v>
      </c>
      <c r="V27" t="s">
        <v>32</v>
      </c>
      <c r="W27" t="s">
        <v>33</v>
      </c>
      <c r="X27" t="str">
        <f>_xlfn.TEXTJOIN("|", TRUE, A27:W27)</f>
        <v>ORD-2024-10026|45576|45584|8|OK|CUST-1731|Arjun Bose|Corporate|East|Assam|Guwahati|Technology|Accessories|Classic Accessories 478|First Class|2|4315.2|0.15|7335.84|4968.41|2367.43|Paid|Completed</v>
      </c>
      <c r="Y27">
        <f>COUNTIF($X$2:$X$1000, X27)</f>
        <v>1</v>
      </c>
      <c r="Z27">
        <f>COUNTIF($A$2:$A$1000, A27)</f>
        <v>1</v>
      </c>
      <c r="AA27" t="str">
        <f>IF(Y27&gt;1, "Exact Duplicate",
  IF(Z27&gt;1, "Conflicting Duplicate - Review",
    "Unique"))</f>
        <v>Unique</v>
      </c>
      <c r="AB27" s="2">
        <f>IF(ISBLANK(R27), 0, IF(ISTEXT(R27), VALUE(SUBSTITUTE(R27, "%", ""))/100, IF(OR(R27&lt;0, R27&gt;1), "Invalid", R27)))</f>
        <v>0.15</v>
      </c>
      <c r="AC27" s="4">
        <f>IF(AB27="Invalid", "Error", P27 * Q27 * (1 - AB27))</f>
        <v>7335.8399999999992</v>
      </c>
      <c r="AD27" s="4">
        <f>IF(AC27="Error", "Error", AC27 - T27)</f>
        <v>2367.4299999999994</v>
      </c>
      <c r="AE27" s="2">
        <f>IF(AC27="Error", "Error", IF(AC27=0, 0, AD27 / AC27))</f>
        <v>0.32272105171323251</v>
      </c>
      <c r="AF27" s="7">
        <f>C27-B27</f>
        <v>8</v>
      </c>
      <c r="AG27" s="2" t="str">
        <f>TEXT(B27, "mmmm")</f>
        <v>October</v>
      </c>
      <c r="AH27" s="4">
        <f>YEAR(B27)</f>
        <v>2024</v>
      </c>
      <c r="AI27" s="2" t="str">
        <f t="shared" si="12"/>
        <v>Clean</v>
      </c>
      <c r="AJ27">
        <f>COUNTIFS($A$2:$A$1000,A27,$B$2:$B$1000,B27,$C$2:$C$1000,C27,$D$2:$D$1000,D27,$E$2:$E$1000,E27,$F$2:$F$1000,F27)</f>
        <v>1</v>
      </c>
      <c r="AK27">
        <f>COUNTIF($A$2:$A$1000, A27)</f>
        <v>1</v>
      </c>
    </row>
    <row r="28" spans="1:37">
      <c r="A28" t="s">
        <v>169</v>
      </c>
      <c r="B28" s="5">
        <v>45619</v>
      </c>
      <c r="C28" s="5">
        <v>45619</v>
      </c>
      <c r="D28" s="6">
        <f>IF(AND(C28&lt;&gt;"",B28&lt;&gt;""), C28-B28, "Missing Date")</f>
        <v>0</v>
      </c>
      <c r="E28" s="6" t="str">
        <f>IF(OR(B28="",C28=""), "Missing Date",
    IF(C28&lt;B28, "Invalid: Ship before Order",
      "OK"))</f>
        <v>OK</v>
      </c>
      <c r="F28" t="s">
        <v>170</v>
      </c>
      <c r="G28" t="s">
        <v>162</v>
      </c>
      <c r="H28" t="s">
        <v>90</v>
      </c>
      <c r="I28" t="s">
        <v>25</v>
      </c>
      <c r="J28" t="s">
        <v>136</v>
      </c>
      <c r="K28" t="s">
        <v>137</v>
      </c>
      <c r="L28" t="s">
        <v>74</v>
      </c>
      <c r="M28" t="s">
        <v>171</v>
      </c>
      <c r="N28" t="s">
        <v>172</v>
      </c>
      <c r="O28" t="s">
        <v>59</v>
      </c>
      <c r="P28">
        <v>4</v>
      </c>
      <c r="Q28">
        <v>716.13</v>
      </c>
      <c r="R28">
        <v>0.1</v>
      </c>
      <c r="S28">
        <v>2578.0700000000002</v>
      </c>
      <c r="T28">
        <v>1527.55</v>
      </c>
      <c r="U28">
        <v>1050.52</v>
      </c>
      <c r="V28" t="s">
        <v>32</v>
      </c>
      <c r="W28" t="s">
        <v>103</v>
      </c>
      <c r="X28" t="str">
        <f>_xlfn.TEXTJOIN("|", TRUE, A28:W28)</f>
        <v>ORD-2024-10027|45619|45619|0|OK|CUST-4401|Diya Patel|Corporate|North|Uttar Pradesh|Noida|Technology|Phones|Pro Phones 243|Standard Class|4|716.13|0.1|2578.07|1527.55|1050.52|Paid|Returned</v>
      </c>
      <c r="Y28">
        <f>COUNTIF($X$2:$X$1000, X28)</f>
        <v>1</v>
      </c>
      <c r="Z28">
        <f>COUNTIF($A$2:$A$1000, A28)</f>
        <v>1</v>
      </c>
      <c r="AA28" t="str">
        <f>IF(Y28&gt;1, "Exact Duplicate",
  IF(Z28&gt;1, "Conflicting Duplicate - Review",
    "Unique"))</f>
        <v>Unique</v>
      </c>
      <c r="AB28" s="2">
        <f>IF(ISBLANK(R28), 0, IF(ISTEXT(R28), VALUE(SUBSTITUTE(R28, "%", ""))/100, IF(OR(R28&lt;0, R28&gt;1), "Invalid", R28)))</f>
        <v>0.1</v>
      </c>
      <c r="AC28" s="4">
        <f>IF(AB28="Invalid", "Error", P28 * Q28 * (1 - AB28))</f>
        <v>2578.0680000000002</v>
      </c>
      <c r="AD28" s="4">
        <f>IF(AC28="Error", "Error", AC28 - T28)</f>
        <v>1050.5180000000003</v>
      </c>
      <c r="AE28" s="2">
        <f>IF(AC28="Error", "Error", IF(AC28=0, 0, AD28 / AC28))</f>
        <v>0.40748265755596835</v>
      </c>
      <c r="AF28" s="7">
        <f>C28-B28</f>
        <v>0</v>
      </c>
      <c r="AG28" s="2" t="str">
        <f>TEXT(B28, "mmmm")</f>
        <v>November</v>
      </c>
      <c r="AH28" s="4">
        <f>YEAR(B28)</f>
        <v>2024</v>
      </c>
      <c r="AI28" s="2" t="str">
        <f t="shared" si="12"/>
        <v>Clean</v>
      </c>
      <c r="AJ28">
        <f>COUNTIFS($A$2:$A$1000,A28,$B$2:$B$1000,B28,$C$2:$C$1000,C28,$D$2:$D$1000,D28,$E$2:$E$1000,E28,$F$2:$F$1000,F28)</f>
        <v>1</v>
      </c>
      <c r="AK28">
        <f>COUNTIF($A$2:$A$1000, A28)</f>
        <v>1</v>
      </c>
    </row>
    <row r="29" spans="1:37">
      <c r="A29" t="s">
        <v>173</v>
      </c>
      <c r="B29" s="5">
        <v>45929</v>
      </c>
      <c r="C29" s="5">
        <v>45935</v>
      </c>
      <c r="D29" s="6">
        <f>IF(AND(C29&lt;&gt;"",B29&lt;&gt;""), C29-B29, "Missing Date")</f>
        <v>6</v>
      </c>
      <c r="E29" s="6" t="str">
        <f>IF(OR(B29="",C29=""), "Missing Date",
    IF(C29&lt;B29, "Invalid: Ship before Order",
      "OK"))</f>
        <v>OK</v>
      </c>
      <c r="F29" t="s">
        <v>174</v>
      </c>
      <c r="G29" t="s">
        <v>53</v>
      </c>
      <c r="H29" t="s">
        <v>37</v>
      </c>
      <c r="I29" t="s">
        <v>54</v>
      </c>
      <c r="J29" t="s">
        <v>175</v>
      </c>
      <c r="K29" t="s">
        <v>176</v>
      </c>
      <c r="L29" t="s">
        <v>28</v>
      </c>
      <c r="M29" t="s">
        <v>29</v>
      </c>
      <c r="N29" t="s">
        <v>177</v>
      </c>
      <c r="O29" t="s">
        <v>31</v>
      </c>
      <c r="P29">
        <v>5</v>
      </c>
      <c r="Q29">
        <v>1806.51</v>
      </c>
      <c r="R29">
        <v>0.25</v>
      </c>
      <c r="S29">
        <v>6774.41</v>
      </c>
      <c r="T29">
        <v>4710.3599999999997</v>
      </c>
      <c r="U29">
        <v>2064.0500000000002</v>
      </c>
      <c r="V29" t="s">
        <v>155</v>
      </c>
      <c r="W29" t="s">
        <v>103</v>
      </c>
      <c r="X29" t="str">
        <f>_xlfn.TEXTJOIN("|", TRUE, A29:W29)</f>
        <v>ORD-2025-10028|45929|45935|6|OK|CUST-9875|Arjun Bose|Small Business|South|Karnataka|Bengaluru|Office Supplies|Paper|Basic Paper 613|Second Class|5|1806.51|0.25|6774.41|4710.36|2064.05|Failed|Returned</v>
      </c>
      <c r="Y29">
        <f>COUNTIF($X$2:$X$1000, X29)</f>
        <v>1</v>
      </c>
      <c r="Z29">
        <f>COUNTIF($A$2:$A$1000, A29)</f>
        <v>1</v>
      </c>
      <c r="AA29" t="str">
        <f>IF(Y29&gt;1, "Exact Duplicate",
  IF(Z29&gt;1, "Conflicting Duplicate - Review",
    "Unique"))</f>
        <v>Unique</v>
      </c>
      <c r="AB29" s="2">
        <f>IF(ISBLANK(R29), 0, IF(ISTEXT(R29), VALUE(SUBSTITUTE(R29, "%", ""))/100, IF(OR(R29&lt;0, R29&gt;1), "Invalid", R29)))</f>
        <v>0.25</v>
      </c>
      <c r="AC29" s="4">
        <f>IF(AB29="Invalid", "Error", P29 * Q29 * (1 - AB29))</f>
        <v>6774.4124999999995</v>
      </c>
      <c r="AD29" s="4">
        <f>IF(AC29="Error", "Error", AC29 - T29)</f>
        <v>2064.0524999999998</v>
      </c>
      <c r="AE29" s="2">
        <f>IF(AC29="Error", "Error", IF(AC29=0, 0, AD29 / AC29))</f>
        <v>0.30468361647596748</v>
      </c>
      <c r="AF29" s="7">
        <f>C29-B29</f>
        <v>6</v>
      </c>
      <c r="AG29" s="2" t="str">
        <f>TEXT(B29, "mmmm")</f>
        <v>September</v>
      </c>
      <c r="AH29" s="4">
        <f>YEAR(B29)</f>
        <v>2025</v>
      </c>
      <c r="AI29" s="2" t="str">
        <f t="shared" si="12"/>
        <v>Excluded from Sales</v>
      </c>
      <c r="AJ29">
        <f>COUNTIFS($A$2:$A$1000,A29,$B$2:$B$1000,B29,$C$2:$C$1000,C29,$D$2:$D$1000,D29,$E$2:$E$1000,E29,$F$2:$F$1000,F29)</f>
        <v>1</v>
      </c>
      <c r="AK29">
        <f>COUNTIF($A$2:$A$1000, A29)</f>
        <v>1</v>
      </c>
    </row>
    <row r="30" spans="1:37">
      <c r="A30" t="s">
        <v>178</v>
      </c>
      <c r="B30" s="5">
        <v>45576</v>
      </c>
      <c r="C30" s="5">
        <v>45583</v>
      </c>
      <c r="D30" s="6">
        <f>IF(AND(C30&lt;&gt;"",B30&lt;&gt;""), C30-B30, "Missing Date")</f>
        <v>7</v>
      </c>
      <c r="E30" s="6" t="str">
        <f>IF(OR(B30="",C30=""), "Missing Date",
    IF(C30&lt;B30, "Invalid: Ship before Order",
      "OK"))</f>
        <v>OK</v>
      </c>
      <c r="F30" t="s">
        <v>179</v>
      </c>
      <c r="G30" t="s">
        <v>62</v>
      </c>
      <c r="H30" t="s">
        <v>95</v>
      </c>
      <c r="I30" t="s">
        <v>63</v>
      </c>
      <c r="J30" t="s">
        <v>180</v>
      </c>
      <c r="K30" t="s">
        <v>181</v>
      </c>
      <c r="L30" t="s">
        <v>74</v>
      </c>
      <c r="M30" t="s">
        <v>171</v>
      </c>
      <c r="N30" t="s">
        <v>182</v>
      </c>
      <c r="O30" t="s">
        <v>31</v>
      </c>
      <c r="P30">
        <v>2</v>
      </c>
      <c r="Q30">
        <v>1942.22</v>
      </c>
      <c r="R30">
        <v>0.25</v>
      </c>
      <c r="S30">
        <v>2913.33</v>
      </c>
      <c r="T30">
        <v>2122.33</v>
      </c>
      <c r="U30">
        <v>791</v>
      </c>
      <c r="V30" t="s">
        <v>102</v>
      </c>
      <c r="W30" t="s">
        <v>68</v>
      </c>
      <c r="X30" t="str">
        <f>_xlfn.TEXTJOIN("|", TRUE, A30:W30)</f>
        <v>ORD-2024-10029|45576|45583|7|OK|CUST-1569|Ananya Rao|Home Office|West|Gujarat|Ahmedabad|Technology|Phones|Prime Phones 698|Second Class|2|1942.22|0.25|2913.33|2122.33|791|Refunded|Cancelled</v>
      </c>
      <c r="Y30">
        <f>COUNTIF($X$2:$X$1000, X30)</f>
        <v>1</v>
      </c>
      <c r="Z30">
        <f>COUNTIF($A$2:$A$1000, A30)</f>
        <v>1</v>
      </c>
      <c r="AA30" t="str">
        <f>IF(Y30&gt;1, "Exact Duplicate",
  IF(Z30&gt;1, "Conflicting Duplicate - Review",
    "Unique"))</f>
        <v>Unique</v>
      </c>
      <c r="AB30" s="2">
        <f>IF(ISBLANK(R30), 0, IF(ISTEXT(R30), VALUE(SUBSTITUTE(R30, "%", ""))/100, IF(OR(R30&lt;0, R30&gt;1), "Invalid", R30)))</f>
        <v>0.25</v>
      </c>
      <c r="AC30" s="4">
        <f>IF(AB30="Invalid", "Error", P30 * Q30 * (1 - AB30))</f>
        <v>2913.33</v>
      </c>
      <c r="AD30" s="4">
        <f>IF(AC30="Error", "Error", AC30 - T30)</f>
        <v>791</v>
      </c>
      <c r="AE30" s="2">
        <f>IF(AC30="Error", "Error", IF(AC30=0, 0, AD30 / AC30))</f>
        <v>0.27151060813570727</v>
      </c>
      <c r="AF30" s="7">
        <f>C30-B30</f>
        <v>7</v>
      </c>
      <c r="AG30" s="2" t="str">
        <f>TEXT(B30, "mmmm")</f>
        <v>October</v>
      </c>
      <c r="AH30" s="4">
        <f>YEAR(B30)</f>
        <v>2024</v>
      </c>
      <c r="AI30" s="2" t="str">
        <f t="shared" si="12"/>
        <v>Excluded from Sales</v>
      </c>
      <c r="AJ30">
        <f>COUNTIFS($A$2:$A$1000,A30,$B$2:$B$1000,B30,$C$2:$C$1000,C30,$D$2:$D$1000,D30,$E$2:$E$1000,E30,$F$2:$F$1000,F30)</f>
        <v>1</v>
      </c>
      <c r="AK30">
        <f>COUNTIF($A$2:$A$1000, A30)</f>
        <v>1</v>
      </c>
    </row>
    <row r="31" spans="1:37">
      <c r="A31" t="s">
        <v>183</v>
      </c>
      <c r="B31" s="5">
        <v>45882</v>
      </c>
      <c r="C31" s="5">
        <v>45882</v>
      </c>
      <c r="D31" s="6">
        <f>IF(AND(C31&lt;&gt;"",B31&lt;&gt;""), C31-B31, "Missing Date")</f>
        <v>0</v>
      </c>
      <c r="E31" s="6" t="str">
        <f>IF(OR(B31="",C31=""), "Missing Date",
    IF(C31&lt;B31, "Invalid: Ship before Order",
      "OK"))</f>
        <v>OK</v>
      </c>
      <c r="F31" t="s">
        <v>184</v>
      </c>
      <c r="G31" t="s">
        <v>141</v>
      </c>
      <c r="H31" t="s">
        <v>95</v>
      </c>
      <c r="I31" t="s">
        <v>54</v>
      </c>
      <c r="J31" t="s">
        <v>185</v>
      </c>
      <c r="K31" t="s">
        <v>186</v>
      </c>
      <c r="L31" t="s">
        <v>74</v>
      </c>
      <c r="M31" t="s">
        <v>171</v>
      </c>
      <c r="N31" t="s">
        <v>187</v>
      </c>
      <c r="O31" t="s">
        <v>59</v>
      </c>
      <c r="P31">
        <v>1</v>
      </c>
      <c r="Q31">
        <v>256.01</v>
      </c>
      <c r="R31">
        <v>0.15</v>
      </c>
      <c r="S31">
        <v>217.61</v>
      </c>
      <c r="T31">
        <v>119.77</v>
      </c>
      <c r="U31">
        <v>97.84</v>
      </c>
      <c r="V31" t="s">
        <v>32</v>
      </c>
      <c r="W31" t="s">
        <v>33</v>
      </c>
      <c r="X31" t="str">
        <f>_xlfn.TEXTJOIN("|", TRUE, A31:W31)</f>
        <v>ORD-2025-10030|45882|45882|0|OK|CUST-5936|Rohan Mehta|Home Office|South|Kerala|Kochi|Technology|Phones|Pro Phones 442|Standard Class|1|256.01|0.15|217.61|119.77|97.84|Paid|Completed</v>
      </c>
      <c r="Y31">
        <f>COUNTIF($X$2:$X$1000, X31)</f>
        <v>1</v>
      </c>
      <c r="Z31">
        <f>COUNTIF($A$2:$A$1000, A31)</f>
        <v>1</v>
      </c>
      <c r="AA31" t="str">
        <f>IF(Y31&gt;1, "Exact Duplicate",
  IF(Z31&gt;1, "Conflicting Duplicate - Review",
    "Unique"))</f>
        <v>Unique</v>
      </c>
      <c r="AB31" s="2">
        <f>IF(ISBLANK(R31), 0, IF(ISTEXT(R31), VALUE(SUBSTITUTE(R31, "%", ""))/100, IF(OR(R31&lt;0, R31&gt;1), "Invalid", R31)))</f>
        <v>0.15</v>
      </c>
      <c r="AC31" s="4">
        <f>IF(AB31="Invalid", "Error", P31 * Q31 * (1 - AB31))</f>
        <v>217.60849999999999</v>
      </c>
      <c r="AD31" s="4">
        <f>IF(AC31="Error", "Error", AC31 - T31)</f>
        <v>97.838499999999996</v>
      </c>
      <c r="AE31" s="2">
        <f>IF(AC31="Error", "Error", IF(AC31=0, 0, AD31 / AC31))</f>
        <v>0.44960789675035673</v>
      </c>
      <c r="AF31" s="7">
        <f>C31-B31</f>
        <v>0</v>
      </c>
      <c r="AG31" s="2" t="str">
        <f>TEXT(B31, "mmmm")</f>
        <v>August</v>
      </c>
      <c r="AH31" s="4">
        <f>YEAR(B31)</f>
        <v>2025</v>
      </c>
      <c r="AI31" s="2" t="str">
        <f t="shared" si="12"/>
        <v>Clean</v>
      </c>
      <c r="AJ31">
        <f>COUNTIFS($A$2:$A$1000,A31,$B$2:$B$1000,B31,$C$2:$C$1000,C31,$D$2:$D$1000,D31,$E$2:$E$1000,E31,$F$2:$F$1000,F31)</f>
        <v>1</v>
      </c>
      <c r="AK31">
        <f>COUNTIF($A$2:$A$1000, A31)</f>
        <v>1</v>
      </c>
    </row>
    <row r="32" spans="1:37">
      <c r="A32" t="s">
        <v>188</v>
      </c>
      <c r="B32" s="5">
        <v>45331</v>
      </c>
      <c r="C32" s="5">
        <v>45628</v>
      </c>
      <c r="D32" s="6">
        <f>IF(AND(C32&lt;&gt;"",B32&lt;&gt;""), C32-B32, "Missing Date")</f>
        <v>297</v>
      </c>
      <c r="E32" s="6" t="str">
        <f>IF(OR(B32="",C32=""), "Missing Date",
    IF(C32&lt;B32, "Invalid: Ship before Order",
      "OK"))</f>
        <v>OK</v>
      </c>
      <c r="F32" t="s">
        <v>189</v>
      </c>
      <c r="G32" t="s">
        <v>62</v>
      </c>
      <c r="H32" t="s">
        <v>90</v>
      </c>
      <c r="I32" t="s">
        <v>63</v>
      </c>
      <c r="J32" t="s">
        <v>190</v>
      </c>
      <c r="K32" t="s">
        <v>191</v>
      </c>
      <c r="L32" t="s">
        <v>28</v>
      </c>
      <c r="M32" t="s">
        <v>91</v>
      </c>
      <c r="N32" t="s">
        <v>192</v>
      </c>
      <c r="O32" t="s">
        <v>50</v>
      </c>
      <c r="P32">
        <v>1</v>
      </c>
      <c r="Q32">
        <v>3421.77</v>
      </c>
      <c r="R32">
        <v>0.1</v>
      </c>
      <c r="S32">
        <v>3079.59</v>
      </c>
      <c r="T32">
        <v>2001.89</v>
      </c>
      <c r="U32">
        <v>1077.7</v>
      </c>
      <c r="V32" t="s">
        <v>32</v>
      </c>
      <c r="W32" t="s">
        <v>33</v>
      </c>
      <c r="X32" t="str">
        <f>_xlfn.TEXTJOIN("|", TRUE, A32:W32)</f>
        <v>ORD-2024-10031|45331|45628|297|OK|CUST-8759|Ananya Rao|Corporate|West|Goa|Panaji|Office Supplies|Labels|Pro Labels 355|First Class|1|3421.77|0.1|3079.59|2001.89|1077.7|Paid|Completed</v>
      </c>
      <c r="Y32">
        <f>COUNTIF($X$2:$X$1000, X32)</f>
        <v>1</v>
      </c>
      <c r="Z32">
        <f>COUNTIF($A$2:$A$1000, A32)</f>
        <v>1</v>
      </c>
      <c r="AA32" t="str">
        <f>IF(Y32&gt;1, "Exact Duplicate",
  IF(Z32&gt;1, "Conflicting Duplicate - Review",
    "Unique"))</f>
        <v>Unique</v>
      </c>
      <c r="AB32" s="2">
        <f>IF(ISBLANK(R32), 0, IF(ISTEXT(R32), VALUE(SUBSTITUTE(R32, "%", ""))/100, IF(OR(R32&lt;0, R32&gt;1), "Invalid", R32)))</f>
        <v>0.1</v>
      </c>
      <c r="AC32" s="4">
        <f>IF(AB32="Invalid", "Error", P32 * Q32 * (1 - AB32))</f>
        <v>3079.5929999999998</v>
      </c>
      <c r="AD32" s="4">
        <f>IF(AC32="Error", "Error", AC32 - T32)</f>
        <v>1077.7029999999997</v>
      </c>
      <c r="AE32" s="2">
        <f>IF(AC32="Error", "Error", IF(AC32=0, 0, AD32 / AC32))</f>
        <v>0.34994981479695525</v>
      </c>
      <c r="AF32" s="7">
        <f>C32-B32</f>
        <v>297</v>
      </c>
      <c r="AG32" s="2" t="str">
        <f>TEXT(B32, "mmmm")</f>
        <v>February</v>
      </c>
      <c r="AH32" s="4">
        <f>YEAR(B32)</f>
        <v>2024</v>
      </c>
      <c r="AI32" s="2" t="str">
        <f t="shared" si="12"/>
        <v>Clean</v>
      </c>
      <c r="AJ32">
        <f>COUNTIFS($A$2:$A$1000,A32,$B$2:$B$1000,B32,$C$2:$C$1000,C32,$D$2:$D$1000,D32,$E$2:$E$1000,E32,$F$2:$F$1000,F32)</f>
        <v>1</v>
      </c>
      <c r="AK32">
        <f>COUNTIF($A$2:$A$1000, A32)</f>
        <v>1</v>
      </c>
    </row>
    <row r="33" spans="1:37">
      <c r="A33" t="s">
        <v>193</v>
      </c>
      <c r="B33" s="5">
        <v>45823</v>
      </c>
      <c r="C33" s="5">
        <v>45827</v>
      </c>
      <c r="D33" s="6">
        <f>IF(AND(C33&lt;&gt;"",B33&lt;&gt;""), C33-B33, "Missing Date")</f>
        <v>4</v>
      </c>
      <c r="E33" s="6" t="str">
        <f>IF(OR(B33="",C33=""), "Missing Date",
    IF(C33&lt;B33, "Invalid: Ship before Order",
      "OK"))</f>
        <v>OK</v>
      </c>
      <c r="F33" t="s">
        <v>194</v>
      </c>
      <c r="G33" t="s">
        <v>23</v>
      </c>
      <c r="H33" t="s">
        <v>37</v>
      </c>
      <c r="I33" t="s">
        <v>63</v>
      </c>
      <c r="J33" t="s">
        <v>72</v>
      </c>
      <c r="K33" t="s">
        <v>73</v>
      </c>
      <c r="L33" t="s">
        <v>28</v>
      </c>
      <c r="M33" t="s">
        <v>29</v>
      </c>
      <c r="N33" t="s">
        <v>195</v>
      </c>
      <c r="O33" t="s">
        <v>31</v>
      </c>
      <c r="P33">
        <v>9</v>
      </c>
      <c r="Q33">
        <v>3092.55</v>
      </c>
      <c r="R33">
        <v>0</v>
      </c>
      <c r="S33">
        <v>27832.95</v>
      </c>
      <c r="T33">
        <v>17769.75</v>
      </c>
      <c r="U33">
        <v>10063.200000000001</v>
      </c>
      <c r="V33" t="s">
        <v>155</v>
      </c>
      <c r="W33" t="s">
        <v>103</v>
      </c>
      <c r="X33" t="str">
        <f>_xlfn.TEXTJOIN("|", TRUE, A33:W33)</f>
        <v>ORD-2025-10032|45823|45827|4|OK|CUST-7867|Karan Malhotra|Small Business|West|Madhya Pradesh|Indore|Office Supplies|Paper|Pro Paper 959|Second Class|9|3092.55|0|27832.95|17769.75|10063.2|Failed|Returned</v>
      </c>
      <c r="Y33">
        <f>COUNTIF($X$2:$X$1000, X33)</f>
        <v>1</v>
      </c>
      <c r="Z33">
        <f>COUNTIF($A$2:$A$1000, A33)</f>
        <v>1</v>
      </c>
      <c r="AA33" t="str">
        <f>IF(Y33&gt;1, "Exact Duplicate",
  IF(Z33&gt;1, "Conflicting Duplicate - Review",
    "Unique"))</f>
        <v>Unique</v>
      </c>
      <c r="AB33" s="2">
        <f>IF(ISBLANK(R33), 0, IF(ISTEXT(R33), VALUE(SUBSTITUTE(R33, "%", ""))/100, IF(OR(R33&lt;0, R33&gt;1), "Invalid", R33)))</f>
        <v>0</v>
      </c>
      <c r="AC33" s="4">
        <f>IF(AB33="Invalid", "Error", P33 * Q33 * (1 - AB33))</f>
        <v>27832.95</v>
      </c>
      <c r="AD33" s="4">
        <f>IF(AC33="Error", "Error", AC33 - T33)</f>
        <v>10063.200000000001</v>
      </c>
      <c r="AE33" s="2">
        <f>IF(AC33="Error", "Error", IF(AC33=0, 0, AD33 / AC33))</f>
        <v>0.36155707533696574</v>
      </c>
      <c r="AF33" s="7">
        <f>C33-B33</f>
        <v>4</v>
      </c>
      <c r="AG33" s="2" t="str">
        <f>TEXT(B33, "mmmm")</f>
        <v>June</v>
      </c>
      <c r="AH33" s="4">
        <f>YEAR(B33)</f>
        <v>2025</v>
      </c>
      <c r="AI33" s="2" t="str">
        <f t="shared" si="12"/>
        <v>Excluded from Sales</v>
      </c>
      <c r="AJ33">
        <f>COUNTIFS($A$2:$A$1000,A33,$B$2:$B$1000,B33,$C$2:$C$1000,C33,$D$2:$D$1000,D33,$E$2:$E$1000,E33,$F$2:$F$1000,F33)</f>
        <v>1</v>
      </c>
      <c r="AK33">
        <f>COUNTIF($A$2:$A$1000, A33)</f>
        <v>1</v>
      </c>
    </row>
    <row r="34" spans="1:37">
      <c r="A34" t="s">
        <v>196</v>
      </c>
      <c r="B34" s="5">
        <v>45618</v>
      </c>
      <c r="C34" s="5">
        <v>45622</v>
      </c>
      <c r="D34" s="6">
        <f>IF(AND(C34&lt;&gt;"",B34&lt;&gt;""), C34-B34, "Missing Date")</f>
        <v>4</v>
      </c>
      <c r="E34" s="6" t="str">
        <f>IF(OR(B34="",C34=""), "Missing Date",
    IF(C34&lt;B34, "Invalid: Ship before Order",
      "OK"))</f>
        <v>OK</v>
      </c>
      <c r="F34" t="s">
        <v>197</v>
      </c>
      <c r="G34" t="s">
        <v>128</v>
      </c>
      <c r="H34" t="s">
        <v>90</v>
      </c>
      <c r="I34" t="s">
        <v>54</v>
      </c>
      <c r="J34" t="s">
        <v>84</v>
      </c>
      <c r="K34" t="s">
        <v>85</v>
      </c>
      <c r="L34" t="s">
        <v>74</v>
      </c>
      <c r="M34" t="s">
        <v>171</v>
      </c>
      <c r="N34" t="s">
        <v>198</v>
      </c>
      <c r="O34" t="s">
        <v>31</v>
      </c>
      <c r="P34">
        <v>3</v>
      </c>
      <c r="Q34">
        <v>4001.25</v>
      </c>
      <c r="S34">
        <v>9002.81</v>
      </c>
      <c r="T34">
        <v>7529.92</v>
      </c>
      <c r="U34">
        <v>1472.89</v>
      </c>
      <c r="V34" t="s">
        <v>32</v>
      </c>
      <c r="W34" t="s">
        <v>33</v>
      </c>
      <c r="X34" t="str">
        <f>_xlfn.TEXTJOIN("|", TRUE, A34:W34)</f>
        <v>ORD-2024-10033|45618|45622|4|OK|CUST-6509|Aarav Sharma|Corporate|South|Andhra Pradesh|Vijayawada|Technology|Phones|Basic Phones 242|Second Class|3|4001.25|9002.81|7529.92|1472.89|Paid|Completed</v>
      </c>
      <c r="Y34">
        <f>COUNTIF($X$2:$X$1000, X34)</f>
        <v>1</v>
      </c>
      <c r="Z34">
        <f>COUNTIF($A$2:$A$1000, A34)</f>
        <v>1</v>
      </c>
      <c r="AA34" t="str">
        <f>IF(Y34&gt;1, "Exact Duplicate",
  IF(Z34&gt;1, "Conflicting Duplicate - Review",
    "Unique"))</f>
        <v>Unique</v>
      </c>
      <c r="AB34" s="2">
        <f>IF(ISBLANK(R34), 0, IF(ISTEXT(R34), VALUE(SUBSTITUTE(R34, "%", ""))/100, IF(OR(R34&lt;0, R34&gt;1), "Invalid", R34)))</f>
        <v>0</v>
      </c>
      <c r="AC34" s="4">
        <f>IF(AB34="Invalid", "Error", P34 * Q34 * (1 - AB34))</f>
        <v>12003.75</v>
      </c>
      <c r="AD34" s="4">
        <f>IF(AC34="Error", "Error", AC34 - T34)</f>
        <v>4473.83</v>
      </c>
      <c r="AE34" s="2">
        <f>IF(AC34="Error", "Error", IF(AC34=0, 0, AD34 / AC34))</f>
        <v>0.37270269707383108</v>
      </c>
      <c r="AF34" s="7">
        <f>C34-B34</f>
        <v>4</v>
      </c>
      <c r="AG34" s="2" t="str">
        <f>TEXT(B34, "mmmm")</f>
        <v>November</v>
      </c>
      <c r="AH34" s="4">
        <f>YEAR(B34)</f>
        <v>2024</v>
      </c>
      <c r="AI34" s="2" t="str">
        <f t="shared" si="12"/>
        <v>Clean</v>
      </c>
      <c r="AJ34">
        <f>COUNTIFS($A$2:$A$1000,A34,$B$2:$B$1000,B34,$C$2:$C$1000,C34,$D$2:$D$1000,D34,$E$2:$E$1000,E34,$F$2:$F$1000,F34)</f>
        <v>1</v>
      </c>
      <c r="AK34">
        <f>COUNTIF($A$2:$A$1000, A34)</f>
        <v>1</v>
      </c>
    </row>
    <row r="35" spans="1:37">
      <c r="A35" t="s">
        <v>199</v>
      </c>
      <c r="B35" s="5">
        <v>45495</v>
      </c>
      <c r="C35" s="5">
        <v>45500</v>
      </c>
      <c r="D35" s="6">
        <f>IF(AND(C35&lt;&gt;"",B35&lt;&gt;""), C35-B35, "Missing Date")</f>
        <v>5</v>
      </c>
      <c r="E35" s="6" t="str">
        <f>IF(OR(B35="",C35=""), "Missing Date",
    IF(C35&lt;B35, "Invalid: Ship before Order",
      "OK"))</f>
        <v>OK</v>
      </c>
      <c r="F35" t="s">
        <v>200</v>
      </c>
      <c r="G35" t="s">
        <v>114</v>
      </c>
      <c r="H35" t="s">
        <v>95</v>
      </c>
      <c r="I35" t="s">
        <v>63</v>
      </c>
      <c r="J35" t="s">
        <v>190</v>
      </c>
      <c r="K35" t="s">
        <v>191</v>
      </c>
      <c r="L35" t="s">
        <v>41</v>
      </c>
      <c r="M35" t="s">
        <v>42</v>
      </c>
      <c r="N35" t="s">
        <v>201</v>
      </c>
      <c r="O35" t="s">
        <v>44</v>
      </c>
      <c r="P35">
        <v>7</v>
      </c>
      <c r="Q35">
        <v>492.41</v>
      </c>
      <c r="R35">
        <v>0.25</v>
      </c>
      <c r="S35">
        <v>2585.15</v>
      </c>
      <c r="T35">
        <v>2070.73</v>
      </c>
      <c r="U35">
        <v>514.41999999999996</v>
      </c>
      <c r="V35" t="s">
        <v>32</v>
      </c>
      <c r="W35" t="s">
        <v>33</v>
      </c>
      <c r="X35" t="str">
        <f>_xlfn.TEXTJOIN("|", TRUE, A35:W35)</f>
        <v>ORD-2024-10034|45495|45500|5|OK|CUST-6660|Priya Menon|Home Office|West|Goa|Panaji|Furniture|Tables|Max Tables 836|Same Day|7|492.41|0.25|2585.15|2070.73|514.42|Paid|Completed</v>
      </c>
      <c r="Y35">
        <f>COUNTIF($X$2:$X$1000, X35)</f>
        <v>1</v>
      </c>
      <c r="Z35">
        <f>COUNTIF($A$2:$A$1000, A35)</f>
        <v>1</v>
      </c>
      <c r="AA35" t="str">
        <f>IF(Y35&gt;1, "Exact Duplicate",
  IF(Z35&gt;1, "Conflicting Duplicate - Review",
    "Unique"))</f>
        <v>Unique</v>
      </c>
      <c r="AB35" s="2">
        <f>IF(ISBLANK(R35), 0, IF(ISTEXT(R35), VALUE(SUBSTITUTE(R35, "%", ""))/100, IF(OR(R35&lt;0, R35&gt;1), "Invalid", R35)))</f>
        <v>0.25</v>
      </c>
      <c r="AC35" s="4">
        <f>IF(AB35="Invalid", "Error", P35 * Q35 * (1 - AB35))</f>
        <v>2585.1525000000001</v>
      </c>
      <c r="AD35" s="4">
        <f>IF(AC35="Error", "Error", AC35 - T35)</f>
        <v>514.42250000000013</v>
      </c>
      <c r="AE35" s="2">
        <f>IF(AC35="Error", "Error", IF(AC35=0, 0, AD35 / AC35))</f>
        <v>0.19899116203009304</v>
      </c>
      <c r="AF35" s="7">
        <f>C35-B35</f>
        <v>5</v>
      </c>
      <c r="AG35" s="2" t="str">
        <f>TEXT(B35, "mmmm")</f>
        <v>July</v>
      </c>
      <c r="AH35" s="4">
        <f>YEAR(B35)</f>
        <v>2024</v>
      </c>
      <c r="AI35" s="2" t="str">
        <f t="shared" si="12"/>
        <v>Clean</v>
      </c>
      <c r="AJ35">
        <f>COUNTIFS($A$2:$A$1000,A35,$B$2:$B$1000,B35,$C$2:$C$1000,C35,$D$2:$D$1000,D35,$E$2:$E$1000,E35,$F$2:$F$1000,F35)</f>
        <v>1</v>
      </c>
      <c r="AK35">
        <f>COUNTIF($A$2:$A$1000, A35)</f>
        <v>1</v>
      </c>
    </row>
    <row r="36" spans="1:37">
      <c r="A36" t="s">
        <v>202</v>
      </c>
      <c r="B36" s="5">
        <v>45688</v>
      </c>
      <c r="C36" s="5">
        <v>45693</v>
      </c>
      <c r="D36" s="6">
        <f>IF(AND(C36&lt;&gt;"",B36&lt;&gt;""), C36-B36, "Missing Date")</f>
        <v>5</v>
      </c>
      <c r="E36" s="6" t="str">
        <f>IF(OR(B36="",C36=""), "Missing Date",
    IF(C36&lt;B36, "Invalid: Ship before Order",
      "OK"))</f>
        <v>OK</v>
      </c>
      <c r="F36" t="s">
        <v>203</v>
      </c>
      <c r="G36" t="s">
        <v>114</v>
      </c>
      <c r="H36" t="s">
        <v>95</v>
      </c>
      <c r="I36" t="s">
        <v>38</v>
      </c>
      <c r="J36" t="s">
        <v>99</v>
      </c>
      <c r="K36" t="s">
        <v>100</v>
      </c>
      <c r="L36" t="s">
        <v>41</v>
      </c>
      <c r="M36" t="s">
        <v>66</v>
      </c>
      <c r="N36" t="s">
        <v>204</v>
      </c>
      <c r="O36" t="s">
        <v>2762</v>
      </c>
      <c r="P36">
        <v>2</v>
      </c>
      <c r="Q36">
        <v>4159.6899999999996</v>
      </c>
      <c r="R36">
        <v>0.2</v>
      </c>
      <c r="S36">
        <v>6655.5</v>
      </c>
      <c r="T36">
        <v>4340.21</v>
      </c>
      <c r="U36">
        <v>2607.3200000000002</v>
      </c>
      <c r="V36" t="s">
        <v>32</v>
      </c>
      <c r="W36" t="s">
        <v>33</v>
      </c>
      <c r="X36" t="str">
        <f>_xlfn.TEXTJOIN("|", TRUE, A36:W36)</f>
        <v>ORD-2025-10035|45688|45693|5|OK|CUST-2392|Priya Menon|Home Office|East|West Bengal|Kolkata|Furniture|Chairs|Elite Chairs 862|Unknown|2|4159.69|0.2|6655.5|4340.21|2607.32|Paid|Completed</v>
      </c>
      <c r="Y36">
        <f>COUNTIF($X$2:$X$1000, X36)</f>
        <v>1</v>
      </c>
      <c r="Z36">
        <f>COUNTIF($A$2:$A$1000, A36)</f>
        <v>1</v>
      </c>
      <c r="AA36" t="str">
        <f>IF(Y36&gt;1, "Exact Duplicate",
  IF(Z36&gt;1, "Conflicting Duplicate - Review",
    "Unique"))</f>
        <v>Unique</v>
      </c>
      <c r="AB36" s="2">
        <f>IF(ISBLANK(R36), 0, IF(ISTEXT(R36), VALUE(SUBSTITUTE(R36, "%", ""))/100, IF(OR(R36&lt;0, R36&gt;1), "Invalid", R36)))</f>
        <v>0.2</v>
      </c>
      <c r="AC36" s="4">
        <f>IF(AB36="Invalid", "Error", P36 * Q36 * (1 - AB36))</f>
        <v>6655.5039999999999</v>
      </c>
      <c r="AD36" s="4">
        <f>IF(AC36="Error", "Error", AC36 - T36)</f>
        <v>2315.2939999999999</v>
      </c>
      <c r="AE36" s="2">
        <f>IF(AC36="Error", "Error", IF(AC36=0, 0, AD36 / AC36))</f>
        <v>0.34787658455317583</v>
      </c>
      <c r="AF36" s="7">
        <f>C36-B36</f>
        <v>5</v>
      </c>
      <c r="AG36" s="2" t="str">
        <f>TEXT(B36, "mmmm")</f>
        <v>January</v>
      </c>
      <c r="AH36" s="4">
        <f>YEAR(B36)</f>
        <v>2025</v>
      </c>
      <c r="AI36" s="2" t="str">
        <f t="shared" si="12"/>
        <v>Warning: Missing Shipping Mode</v>
      </c>
      <c r="AJ36">
        <f>COUNTIFS($A$2:$A$1000,A36,$B$2:$B$1000,B36,$C$2:$C$1000,C36,$D$2:$D$1000,D36,$E$2:$E$1000,E36,$F$2:$F$1000,F36)</f>
        <v>1</v>
      </c>
      <c r="AK36">
        <f>COUNTIF($A$2:$A$1000, A36)</f>
        <v>1</v>
      </c>
    </row>
    <row r="37" spans="1:37">
      <c r="A37" t="s">
        <v>205</v>
      </c>
      <c r="B37" s="5">
        <v>45441</v>
      </c>
      <c r="C37" s="5">
        <v>45441</v>
      </c>
      <c r="D37" s="6">
        <f>IF(AND(C37&lt;&gt;"",B37&lt;&gt;""), C37-B37, "Missing Date")</f>
        <v>0</v>
      </c>
      <c r="E37" s="6" t="str">
        <f>IF(OR(B37="",C37=""), "Missing Date",
    IF(C37&lt;B37, "Invalid: Ship before Order",
      "OK"))</f>
        <v>OK</v>
      </c>
      <c r="F37" t="s">
        <v>206</v>
      </c>
      <c r="G37" t="s">
        <v>132</v>
      </c>
      <c r="H37" t="s">
        <v>37</v>
      </c>
      <c r="I37" t="s">
        <v>63</v>
      </c>
      <c r="J37" t="s">
        <v>180</v>
      </c>
      <c r="K37" t="s">
        <v>181</v>
      </c>
      <c r="L37" t="s">
        <v>41</v>
      </c>
      <c r="M37" t="s">
        <v>158</v>
      </c>
      <c r="N37" t="s">
        <v>207</v>
      </c>
      <c r="O37" t="s">
        <v>31</v>
      </c>
      <c r="P37">
        <v>8</v>
      </c>
      <c r="Q37">
        <v>2507.12</v>
      </c>
      <c r="R37">
        <v>0.05</v>
      </c>
      <c r="S37">
        <v>19054.11</v>
      </c>
      <c r="T37">
        <v>15313.83</v>
      </c>
      <c r="U37">
        <v>3740.28</v>
      </c>
      <c r="V37" t="s">
        <v>111</v>
      </c>
      <c r="W37" t="s">
        <v>103</v>
      </c>
      <c r="X37" t="str">
        <f>_xlfn.TEXTJOIN("|", TRUE, A37:W37)</f>
        <v>ORD-2024-10036|45441|45441|0|OK|CUST-1611|Sneha Kapoor|Small Business|West|Gujarat|Ahmedabad|Furniture|Bookcases|Prime Bookcases 414|Second Class|8|2507.12|0.05|19054.11|15313.83|3740.28|Pending|Returned</v>
      </c>
      <c r="Y37">
        <f>COUNTIF($X$2:$X$1000, X37)</f>
        <v>1</v>
      </c>
      <c r="Z37">
        <f>COUNTIF($A$2:$A$1000, A37)</f>
        <v>1</v>
      </c>
      <c r="AA37" t="str">
        <f>IF(Y37&gt;1, "Exact Duplicate",
  IF(Z37&gt;1, "Conflicting Duplicate - Review",
    "Unique"))</f>
        <v>Unique</v>
      </c>
      <c r="AB37" s="2">
        <f>IF(ISBLANK(R37), 0, IF(ISTEXT(R37), VALUE(SUBSTITUTE(R37, "%", ""))/100, IF(OR(R37&lt;0, R37&gt;1), "Invalid", R37)))</f>
        <v>0.05</v>
      </c>
      <c r="AC37" s="4">
        <f>IF(AB37="Invalid", "Error", P37 * Q37 * (1 - AB37))</f>
        <v>19054.111999999997</v>
      </c>
      <c r="AD37" s="4">
        <f>IF(AC37="Error", "Error", AC37 - T37)</f>
        <v>3740.2819999999974</v>
      </c>
      <c r="AE37" s="2">
        <f>IF(AC37="Error", "Error", IF(AC37=0, 0, AD37 / AC37))</f>
        <v>0.19629789097492437</v>
      </c>
      <c r="AF37" s="7">
        <f>C37-B37</f>
        <v>0</v>
      </c>
      <c r="AG37" s="2" t="str">
        <f>TEXT(B37, "mmmm")</f>
        <v>May</v>
      </c>
      <c r="AH37" s="4">
        <f>YEAR(B37)</f>
        <v>2024</v>
      </c>
      <c r="AI37" s="2" t="str">
        <f t="shared" si="12"/>
        <v>Clean</v>
      </c>
      <c r="AJ37">
        <f>COUNTIFS($A$2:$A$1000,A37,$B$2:$B$1000,B37,$C$2:$C$1000,C37,$D$2:$D$1000,D37,$E$2:$E$1000,E37,$F$2:$F$1000,F37)</f>
        <v>1</v>
      </c>
      <c r="AK37">
        <f>COUNTIF($A$2:$A$1000, A37)</f>
        <v>1</v>
      </c>
    </row>
    <row r="38" spans="1:37">
      <c r="A38" t="s">
        <v>208</v>
      </c>
      <c r="B38" s="5">
        <v>45590</v>
      </c>
      <c r="C38" s="5">
        <v>45593</v>
      </c>
      <c r="D38" s="6">
        <f>IF(AND(C38&lt;&gt;"",B38&lt;&gt;""), C38-B38, "Missing Date")</f>
        <v>3</v>
      </c>
      <c r="E38" s="6" t="str">
        <f>IF(OR(B38="",C38=""), "Missing Date",
    IF(C38&lt;B38, "Invalid: Ship before Order",
      "OK"))</f>
        <v>OK</v>
      </c>
      <c r="F38" t="s">
        <v>209</v>
      </c>
      <c r="G38" t="s">
        <v>141</v>
      </c>
      <c r="H38" t="s">
        <v>90</v>
      </c>
      <c r="I38" t="s">
        <v>63</v>
      </c>
      <c r="J38" t="s">
        <v>64</v>
      </c>
      <c r="K38" t="s">
        <v>65</v>
      </c>
      <c r="L38" t="s">
        <v>41</v>
      </c>
      <c r="M38" t="s">
        <v>158</v>
      </c>
      <c r="N38" t="s">
        <v>210</v>
      </c>
      <c r="O38" t="s">
        <v>31</v>
      </c>
      <c r="P38">
        <v>3</v>
      </c>
      <c r="Q38">
        <v>3126.47</v>
      </c>
      <c r="R38">
        <v>0</v>
      </c>
      <c r="S38">
        <v>9379.41</v>
      </c>
      <c r="T38">
        <v>6670.85</v>
      </c>
      <c r="U38">
        <v>2708.56</v>
      </c>
      <c r="V38" t="s">
        <v>32</v>
      </c>
      <c r="W38" t="s">
        <v>103</v>
      </c>
      <c r="X38" t="str">
        <f>_xlfn.TEXTJOIN("|", TRUE, A38:W38)</f>
        <v>ORD-2024-10037|45590|45593|3|OK|CUST-8296|Rohan Mehta|Corporate|West|Maharashtra|Mumbai|Furniture|Bookcases|Eco Bookcases 220|Second Class|3|3126.47|0|9379.41|6670.85|2708.56|Paid|Returned</v>
      </c>
      <c r="Y38">
        <f>COUNTIF($X$2:$X$1000, X38)</f>
        <v>1</v>
      </c>
      <c r="Z38">
        <f>COUNTIF($A$2:$A$1000, A38)</f>
        <v>1</v>
      </c>
      <c r="AA38" t="str">
        <f>IF(Y38&gt;1, "Exact Duplicate",
  IF(Z38&gt;1, "Conflicting Duplicate - Review",
    "Unique"))</f>
        <v>Unique</v>
      </c>
      <c r="AB38" s="2">
        <f>IF(ISBLANK(R38), 0, IF(ISTEXT(R38), VALUE(SUBSTITUTE(R38, "%", ""))/100, IF(OR(R38&lt;0, R38&gt;1), "Invalid", R38)))</f>
        <v>0</v>
      </c>
      <c r="AC38" s="4">
        <f>IF(AB38="Invalid", "Error", P38 * Q38 * (1 - AB38))</f>
        <v>9379.41</v>
      </c>
      <c r="AD38" s="4">
        <f>IF(AC38="Error", "Error", AC38 - T38)</f>
        <v>2708.5599999999995</v>
      </c>
      <c r="AE38" s="2">
        <f>IF(AC38="Error", "Error", IF(AC38=0, 0, AD38 / AC38))</f>
        <v>0.28877722585962223</v>
      </c>
      <c r="AF38" s="7">
        <f>C38-B38</f>
        <v>3</v>
      </c>
      <c r="AG38" s="2" t="str">
        <f>TEXT(B38, "mmmm")</f>
        <v>October</v>
      </c>
      <c r="AH38" s="4">
        <f>YEAR(B38)</f>
        <v>2024</v>
      </c>
      <c r="AI38" s="2" t="str">
        <f t="shared" si="12"/>
        <v>Clean</v>
      </c>
      <c r="AJ38">
        <f>COUNTIFS($A$2:$A$1000,A38,$B$2:$B$1000,B38,$C$2:$C$1000,C38,$D$2:$D$1000,D38,$E$2:$E$1000,E38,$F$2:$F$1000,F38)</f>
        <v>1</v>
      </c>
      <c r="AK38">
        <f>COUNTIF($A$2:$A$1000, A38)</f>
        <v>1</v>
      </c>
    </row>
    <row r="39" spans="1:37">
      <c r="A39" t="s">
        <v>211</v>
      </c>
      <c r="B39" s="5">
        <v>45867</v>
      </c>
      <c r="C39" s="5">
        <v>45867</v>
      </c>
      <c r="D39" s="6">
        <f>IF(AND(C39&lt;&gt;"",B39&lt;&gt;""), C39-B39, "Missing Date")</f>
        <v>0</v>
      </c>
      <c r="E39" s="6" t="str">
        <f>IF(OR(B39="",C39=""), "Missing Date",
    IF(C39&lt;B39, "Invalid: Ship before Order",
      "OK"))</f>
        <v>OK</v>
      </c>
      <c r="F39" t="s">
        <v>212</v>
      </c>
      <c r="G39" t="s">
        <v>162</v>
      </c>
      <c r="H39" t="s">
        <v>24</v>
      </c>
      <c r="I39" t="s">
        <v>63</v>
      </c>
      <c r="J39" t="s">
        <v>64</v>
      </c>
      <c r="K39" t="s">
        <v>65</v>
      </c>
      <c r="L39" t="s">
        <v>74</v>
      </c>
      <c r="M39" t="s">
        <v>80</v>
      </c>
      <c r="N39" t="s">
        <v>213</v>
      </c>
      <c r="O39" t="s">
        <v>59</v>
      </c>
      <c r="P39">
        <v>4</v>
      </c>
      <c r="Q39">
        <v>1327.54</v>
      </c>
      <c r="R39">
        <v>0.2</v>
      </c>
      <c r="S39">
        <v>4248.13</v>
      </c>
      <c r="T39">
        <v>3321.09</v>
      </c>
      <c r="U39">
        <v>927.04</v>
      </c>
      <c r="V39" t="s">
        <v>32</v>
      </c>
      <c r="W39" t="s">
        <v>33</v>
      </c>
      <c r="X39" t="str">
        <f>_xlfn.TEXTJOIN("|", TRUE, A39:W39)</f>
        <v>ORD-2025-10038|45867|45867|0|OK|CUST-4646|Diya Patel|Consumer|West|Maharashtra|Mumbai|Technology|Copiers|Pro Copiers 830|Standard Class|4|1327.54|0.2|4248.13|3321.09|927.04|Paid|Completed</v>
      </c>
      <c r="Y39">
        <f>COUNTIF($X$2:$X$1000, X39)</f>
        <v>1</v>
      </c>
      <c r="Z39">
        <f>COUNTIF($A$2:$A$1000, A39)</f>
        <v>1</v>
      </c>
      <c r="AA39" t="str">
        <f>IF(Y39&gt;1, "Exact Duplicate",
  IF(Z39&gt;1, "Conflicting Duplicate - Review",
    "Unique"))</f>
        <v>Unique</v>
      </c>
      <c r="AB39" s="2">
        <f>IF(ISBLANK(R39), 0, IF(ISTEXT(R39), VALUE(SUBSTITUTE(R39, "%", ""))/100, IF(OR(R39&lt;0, R39&gt;1), "Invalid", R39)))</f>
        <v>0.2</v>
      </c>
      <c r="AC39" s="4">
        <f>IF(AB39="Invalid", "Error", P39 * Q39 * (1 - AB39))</f>
        <v>4248.1279999999997</v>
      </c>
      <c r="AD39" s="4">
        <f>IF(AC39="Error", "Error", AC39 - T39)</f>
        <v>927.03799999999956</v>
      </c>
      <c r="AE39" s="2">
        <f>IF(AC39="Error", "Error", IF(AC39=0, 0, AD39 / AC39))</f>
        <v>0.21822270892025844</v>
      </c>
      <c r="AF39" s="7">
        <f>C39-B39</f>
        <v>0</v>
      </c>
      <c r="AG39" s="2" t="str">
        <f>TEXT(B39, "mmmm")</f>
        <v>July</v>
      </c>
      <c r="AH39" s="4">
        <f>YEAR(B39)</f>
        <v>2025</v>
      </c>
      <c r="AI39" s="2" t="str">
        <f t="shared" si="12"/>
        <v>Clean</v>
      </c>
      <c r="AJ39">
        <f>COUNTIFS($A$2:$A$1000,A39,$B$2:$B$1000,B39,$C$2:$C$1000,C39,$D$2:$D$1000,D39,$E$2:$E$1000,E39,$F$2:$F$1000,F39)</f>
        <v>1</v>
      </c>
      <c r="AK39">
        <f>COUNTIF($A$2:$A$1000, A39)</f>
        <v>1</v>
      </c>
    </row>
    <row r="40" spans="1:37">
      <c r="A40" t="s">
        <v>214</v>
      </c>
      <c r="B40" s="5">
        <v>45460</v>
      </c>
      <c r="C40" s="5">
        <v>45465</v>
      </c>
      <c r="D40" s="6">
        <f>IF(AND(C40&lt;&gt;"",B40&lt;&gt;""), C40-B40, "Missing Date")</f>
        <v>5</v>
      </c>
      <c r="E40" s="6" t="str">
        <f>IF(OR(B40="",C40=""), "Missing Date",
    IF(C40&lt;B40, "Invalid: Ship before Order",
      "OK"))</f>
        <v>OK</v>
      </c>
      <c r="F40" t="s">
        <v>215</v>
      </c>
      <c r="G40" t="s">
        <v>128</v>
      </c>
      <c r="H40" t="s">
        <v>90</v>
      </c>
      <c r="I40" t="s">
        <v>63</v>
      </c>
      <c r="J40" t="s">
        <v>180</v>
      </c>
      <c r="K40" t="s">
        <v>181</v>
      </c>
      <c r="L40" t="s">
        <v>74</v>
      </c>
      <c r="M40" t="s">
        <v>171</v>
      </c>
      <c r="N40" t="s">
        <v>216</v>
      </c>
      <c r="O40" t="s">
        <v>50</v>
      </c>
      <c r="P40">
        <v>7</v>
      </c>
      <c r="Q40">
        <v>2210.6799999999998</v>
      </c>
      <c r="R40">
        <v>0.1</v>
      </c>
      <c r="S40">
        <v>13927.28</v>
      </c>
      <c r="T40">
        <v>10504.87</v>
      </c>
      <c r="U40">
        <v>3422.41</v>
      </c>
      <c r="V40" t="s">
        <v>32</v>
      </c>
      <c r="W40" t="s">
        <v>33</v>
      </c>
      <c r="X40" t="str">
        <f>_xlfn.TEXTJOIN("|", TRUE, A40:W40)</f>
        <v>ORD-2024-10039|45460|45465|5|OK|CUST-8235|Aarav Sharma|Corporate|West|Gujarat|Ahmedabad|Technology|Phones|Prime Phones 507|First Class|7|2210.68|0.1|13927.28|10504.87|3422.41|Paid|Completed</v>
      </c>
      <c r="Y40">
        <f>COUNTIF($X$2:$X$1000, X40)</f>
        <v>1</v>
      </c>
      <c r="Z40">
        <f>COUNTIF($A$2:$A$1000, A40)</f>
        <v>1</v>
      </c>
      <c r="AA40" t="str">
        <f>IF(Y40&gt;1, "Exact Duplicate",
  IF(Z40&gt;1, "Conflicting Duplicate - Review",
    "Unique"))</f>
        <v>Unique</v>
      </c>
      <c r="AB40" s="2">
        <f>IF(ISBLANK(R40), 0, IF(ISTEXT(R40), VALUE(SUBSTITUTE(R40, "%", ""))/100, IF(OR(R40&lt;0, R40&gt;1), "Invalid", R40)))</f>
        <v>0.1</v>
      </c>
      <c r="AC40" s="4">
        <f>IF(AB40="Invalid", "Error", P40 * Q40 * (1 - AB40))</f>
        <v>13927.284</v>
      </c>
      <c r="AD40" s="4">
        <f>IF(AC40="Error", "Error", AC40 - T40)</f>
        <v>3422.4139999999989</v>
      </c>
      <c r="AE40" s="2">
        <f>IF(AC40="Error", "Error", IF(AC40=0, 0, AD40 / AC40))</f>
        <v>0.24573448778670692</v>
      </c>
      <c r="AF40" s="7">
        <f>C40-B40</f>
        <v>5</v>
      </c>
      <c r="AG40" s="2" t="str">
        <f>TEXT(B40, "mmmm")</f>
        <v>June</v>
      </c>
      <c r="AH40" s="4">
        <f>YEAR(B40)</f>
        <v>2024</v>
      </c>
      <c r="AI40" s="2" t="str">
        <f t="shared" si="12"/>
        <v>Clean</v>
      </c>
      <c r="AJ40">
        <f>COUNTIFS($A$2:$A$1000,A40,$B$2:$B$1000,B40,$C$2:$C$1000,C40,$D$2:$D$1000,D40,$E$2:$E$1000,E40,$F$2:$F$1000,F40)</f>
        <v>1</v>
      </c>
      <c r="AK40">
        <f>COUNTIF($A$2:$A$1000, A40)</f>
        <v>1</v>
      </c>
    </row>
    <row r="41" spans="1:37">
      <c r="A41" t="s">
        <v>217</v>
      </c>
      <c r="B41" s="5">
        <v>45608</v>
      </c>
      <c r="C41" s="5">
        <v>45637</v>
      </c>
      <c r="D41" s="6">
        <f>IF(AND(C41&lt;&gt;"",B41&lt;&gt;""), C41-B41, "Missing Date")</f>
        <v>29</v>
      </c>
      <c r="E41" s="6" t="str">
        <f>IF(OR(B41="",C41=""), "Missing Date",
    IF(C41&lt;B41, "Invalid: Ship before Order",
      "OK"))</f>
        <v>OK</v>
      </c>
      <c r="F41" t="s">
        <v>218</v>
      </c>
      <c r="G41" t="s">
        <v>36</v>
      </c>
      <c r="H41" t="s">
        <v>37</v>
      </c>
      <c r="I41" t="s">
        <v>63</v>
      </c>
      <c r="J41" t="s">
        <v>72</v>
      </c>
      <c r="K41" t="s">
        <v>73</v>
      </c>
      <c r="L41" t="s">
        <v>74</v>
      </c>
      <c r="M41" t="s">
        <v>80</v>
      </c>
      <c r="N41" t="s">
        <v>219</v>
      </c>
      <c r="O41" t="s">
        <v>50</v>
      </c>
      <c r="P41">
        <v>4</v>
      </c>
      <c r="Q41">
        <v>1370.92</v>
      </c>
      <c r="R41">
        <v>0.1</v>
      </c>
      <c r="S41">
        <v>4935.3100000000004</v>
      </c>
      <c r="T41">
        <v>3374.77</v>
      </c>
      <c r="U41">
        <v>1560.54</v>
      </c>
      <c r="V41" t="s">
        <v>111</v>
      </c>
      <c r="W41" t="s">
        <v>103</v>
      </c>
      <c r="X41" t="str">
        <f>_xlfn.TEXTJOIN("|", TRUE, A41:W41)</f>
        <v>ORD-2024-10040|45608|45637|29|OK|CUST-5830|Mira Das|Small Business|West|Madhya Pradesh|Indore|Technology|Copiers|Classic Copiers 590|First Class|4|1370.92|0.1|4935.31|3374.77|1560.54|Pending|Returned</v>
      </c>
      <c r="Y41">
        <f>COUNTIF($X$2:$X$1000, X41)</f>
        <v>1</v>
      </c>
      <c r="Z41">
        <f>COUNTIF($A$2:$A$1000, A41)</f>
        <v>1</v>
      </c>
      <c r="AA41" t="str">
        <f>IF(Y41&gt;1, "Exact Duplicate",
  IF(Z41&gt;1, "Conflicting Duplicate - Review",
    "Unique"))</f>
        <v>Unique</v>
      </c>
      <c r="AB41" s="2">
        <f>IF(ISBLANK(R41), 0, IF(ISTEXT(R41), VALUE(SUBSTITUTE(R41, "%", ""))/100, IF(OR(R41&lt;0, R41&gt;1), "Invalid", R41)))</f>
        <v>0.1</v>
      </c>
      <c r="AC41" s="4">
        <f>IF(AB41="Invalid", "Error", P41 * Q41 * (1 - AB41))</f>
        <v>4935.3120000000008</v>
      </c>
      <c r="AD41" s="4">
        <f>IF(AC41="Error", "Error", AC41 - T41)</f>
        <v>1560.5420000000008</v>
      </c>
      <c r="AE41" s="2">
        <f>IF(AC41="Error", "Error", IF(AC41=0, 0, AD41 / AC41))</f>
        <v>0.31619925954022776</v>
      </c>
      <c r="AF41" s="7">
        <f>C41-B41</f>
        <v>29</v>
      </c>
      <c r="AG41" s="2" t="str">
        <f>TEXT(B41, "mmmm")</f>
        <v>November</v>
      </c>
      <c r="AH41" s="4">
        <f>YEAR(B41)</f>
        <v>2024</v>
      </c>
      <c r="AI41" s="2" t="str">
        <f t="shared" si="12"/>
        <v>Clean</v>
      </c>
      <c r="AJ41">
        <f>COUNTIFS($A$2:$A$1000,A41,$B$2:$B$1000,B41,$C$2:$C$1000,C41,$D$2:$D$1000,D41,$E$2:$E$1000,E41,$F$2:$F$1000,F41)</f>
        <v>1</v>
      </c>
      <c r="AK41">
        <f>COUNTIF($A$2:$A$1000, A41)</f>
        <v>1</v>
      </c>
    </row>
    <row r="42" spans="1:37">
      <c r="A42" t="s">
        <v>220</v>
      </c>
      <c r="B42" s="5">
        <v>45575</v>
      </c>
      <c r="C42" s="5">
        <v>45581</v>
      </c>
      <c r="D42" s="6">
        <f>IF(AND(C42&lt;&gt;"",B42&lt;&gt;""), C42-B42, "Missing Date")</f>
        <v>6</v>
      </c>
      <c r="E42" s="6" t="str">
        <f>IF(OR(B42="",C42=""), "Missing Date",
    IF(C42&lt;B42, "Invalid: Ship before Order",
      "OK"))</f>
        <v>OK</v>
      </c>
      <c r="F42" t="s">
        <v>221</v>
      </c>
      <c r="G42" t="s">
        <v>47</v>
      </c>
      <c r="H42" t="s">
        <v>95</v>
      </c>
      <c r="I42" t="s">
        <v>63</v>
      </c>
      <c r="J42" t="s">
        <v>26</v>
      </c>
      <c r="K42" t="s">
        <v>109</v>
      </c>
      <c r="L42" t="s">
        <v>74</v>
      </c>
      <c r="M42" t="s">
        <v>80</v>
      </c>
      <c r="N42" t="s">
        <v>222</v>
      </c>
      <c r="O42" t="s">
        <v>59</v>
      </c>
      <c r="P42">
        <v>7</v>
      </c>
      <c r="Q42">
        <v>2509.27</v>
      </c>
      <c r="R42">
        <v>0.2</v>
      </c>
      <c r="S42">
        <v>14051.91</v>
      </c>
      <c r="T42">
        <v>11990.37</v>
      </c>
      <c r="U42">
        <v>2061.54</v>
      </c>
      <c r="V42" t="s">
        <v>32</v>
      </c>
      <c r="W42" t="s">
        <v>33</v>
      </c>
      <c r="X42" t="str">
        <f>_xlfn.TEXTJOIN("|", TRUE, A42:W42)</f>
        <v>ORD-2024-10041|45575|45581|6|OK|CUST-7178|Isha Nair|Home Office|West|Rajasthan|Udaipur|Technology|Copiers|Eco Copiers 865|Standard Class|7|2509.27|0.2|14051.91|11990.37|2061.54|Paid|Completed</v>
      </c>
      <c r="Y42">
        <f>COUNTIF($X$2:$X$1000, X42)</f>
        <v>1</v>
      </c>
      <c r="Z42">
        <f>COUNTIF($A$2:$A$1000, A42)</f>
        <v>1</v>
      </c>
      <c r="AA42" t="str">
        <f>IF(Y42&gt;1, "Exact Duplicate",
  IF(Z42&gt;1, "Conflicting Duplicate - Review",
    "Unique"))</f>
        <v>Unique</v>
      </c>
      <c r="AB42" s="2">
        <f>IF(ISBLANK(R42), 0, IF(ISTEXT(R42), VALUE(SUBSTITUTE(R42, "%", ""))/100, IF(OR(R42&lt;0, R42&gt;1), "Invalid", R42)))</f>
        <v>0.2</v>
      </c>
      <c r="AC42" s="4">
        <f>IF(AB42="Invalid", "Error", P42 * Q42 * (1 - AB42))</f>
        <v>14051.912</v>
      </c>
      <c r="AD42" s="4">
        <f>IF(AC42="Error", "Error", AC42 - T42)</f>
        <v>2061.5419999999995</v>
      </c>
      <c r="AE42" s="2">
        <f>IF(AC42="Error", "Error", IF(AC42=0, 0, AD42 / AC42))</f>
        <v>0.14670900301681361</v>
      </c>
      <c r="AF42" s="7">
        <f>C42-B42</f>
        <v>6</v>
      </c>
      <c r="AG42" s="2" t="str">
        <f>TEXT(B42, "mmmm")</f>
        <v>October</v>
      </c>
      <c r="AH42" s="4">
        <f>YEAR(B42)</f>
        <v>2024</v>
      </c>
      <c r="AI42" s="2" t="str">
        <f t="shared" si="12"/>
        <v>Clean</v>
      </c>
      <c r="AJ42">
        <f>COUNTIFS($A$2:$A$1000,A42,$B$2:$B$1000,B42,$C$2:$C$1000,C42,$D$2:$D$1000,D42,$E$2:$E$1000,E42,$F$2:$F$1000,F42)</f>
        <v>1</v>
      </c>
      <c r="AK42">
        <f>COUNTIF($A$2:$A$1000, A42)</f>
        <v>1</v>
      </c>
    </row>
    <row r="43" spans="1:37">
      <c r="A43" t="s">
        <v>223</v>
      </c>
      <c r="B43" s="5">
        <v>45629</v>
      </c>
      <c r="C43" s="5">
        <v>45368</v>
      </c>
      <c r="D43" s="6">
        <f>IF(AND(C43&lt;&gt;"",B43&lt;&gt;""), C43-B43, "Missing Date")</f>
        <v>-261</v>
      </c>
      <c r="E43" s="6" t="str">
        <f>IF(OR(B43="",C43=""), "Missing Date",
    IF(C43&lt;B43, "Invalid: Ship before Order",
      "OK"))</f>
        <v>Invalid: Ship before Order</v>
      </c>
      <c r="F43" t="s">
        <v>224</v>
      </c>
      <c r="G43" t="s">
        <v>128</v>
      </c>
      <c r="H43" t="s">
        <v>37</v>
      </c>
      <c r="I43" t="s">
        <v>38</v>
      </c>
      <c r="J43" t="s">
        <v>39</v>
      </c>
      <c r="K43" t="s">
        <v>40</v>
      </c>
      <c r="L43" t="s">
        <v>41</v>
      </c>
      <c r="M43" t="s">
        <v>158</v>
      </c>
      <c r="N43" t="s">
        <v>225</v>
      </c>
      <c r="O43" t="s">
        <v>44</v>
      </c>
      <c r="P43">
        <v>8</v>
      </c>
      <c r="Q43">
        <v>855.81</v>
      </c>
      <c r="R43">
        <v>0</v>
      </c>
      <c r="S43">
        <v>6846.48</v>
      </c>
      <c r="T43">
        <v>4239.8900000000003</v>
      </c>
      <c r="U43">
        <v>2606.59</v>
      </c>
      <c r="V43" t="s">
        <v>111</v>
      </c>
      <c r="W43" t="s">
        <v>68</v>
      </c>
      <c r="X43" t="str">
        <f>_xlfn.TEXTJOIN("|", TRUE, A43:W43)</f>
        <v>ORD-2024-10042|45629|45368|-261|Invalid: Ship before Order|CUST-3829|Aarav Sharma|Small Business|East|Odisha|Bhubaneswar|Furniture|Bookcases|Classic Bookcases 835|Same Day|8|855.81|0|6846.48|4239.89|2606.59|Pending|Cancelled</v>
      </c>
      <c r="Y43">
        <f>COUNTIF($X$2:$X$1000, X43)</f>
        <v>1</v>
      </c>
      <c r="Z43">
        <f>COUNTIF($A$2:$A$1000, A43)</f>
        <v>1</v>
      </c>
      <c r="AA43" t="str">
        <f>IF(Y43&gt;1, "Exact Duplicate",
  IF(Z43&gt;1, "Conflicting Duplicate - Review",
    "Unique"))</f>
        <v>Unique</v>
      </c>
      <c r="AB43" s="2">
        <f>IF(ISBLANK(R43), 0, IF(ISTEXT(R43), VALUE(SUBSTITUTE(R43, "%", ""))/100, IF(OR(R43&lt;0, R43&gt;1), "Invalid", R43)))</f>
        <v>0</v>
      </c>
      <c r="AC43" s="4">
        <f>IF(AB43="Invalid", "Error", P43 * Q43 * (1 - AB43))</f>
        <v>6846.48</v>
      </c>
      <c r="AD43" s="4">
        <f>IF(AC43="Error", "Error", AC43 - T43)</f>
        <v>2606.5899999999992</v>
      </c>
      <c r="AE43" s="2">
        <f>IF(AC43="Error", "Error", IF(AC43=0, 0, AD43 / AC43))</f>
        <v>0.38071972750961069</v>
      </c>
      <c r="AF43" s="7">
        <f>C43-B43</f>
        <v>-261</v>
      </c>
      <c r="AG43" s="2" t="str">
        <f>TEXT(B43, "mmmm")</f>
        <v>December</v>
      </c>
      <c r="AH43" s="4">
        <f>YEAR(B43)</f>
        <v>2024</v>
      </c>
      <c r="AI43" s="2" t="str">
        <f t="shared" si="12"/>
        <v>Excluded from Sales</v>
      </c>
      <c r="AJ43">
        <f>COUNTIFS($A$2:$A$1000,A43,$B$2:$B$1000,B43,$C$2:$C$1000,C43,$D$2:$D$1000,D43,$E$2:$E$1000,E43,$F$2:$F$1000,F43)</f>
        <v>1</v>
      </c>
      <c r="AK43">
        <f>COUNTIF($A$2:$A$1000, A43)</f>
        <v>1</v>
      </c>
    </row>
    <row r="44" spans="1:37">
      <c r="A44" t="s">
        <v>226</v>
      </c>
      <c r="B44" s="5">
        <v>45940</v>
      </c>
      <c r="C44" s="5">
        <v>45945</v>
      </c>
      <c r="D44" s="6">
        <f>IF(AND(C44&lt;&gt;"",B44&lt;&gt;""), C44-B44, "Missing Date")</f>
        <v>5</v>
      </c>
      <c r="E44" s="6" t="str">
        <f>IF(OR(B44="",C44=""), "Missing Date",
    IF(C44&lt;B44, "Invalid: Ship before Order",
      "OK"))</f>
        <v>OK</v>
      </c>
      <c r="F44" t="s">
        <v>227</v>
      </c>
      <c r="G44" t="s">
        <v>53</v>
      </c>
      <c r="H44" t="s">
        <v>90</v>
      </c>
      <c r="I44" t="s">
        <v>38</v>
      </c>
      <c r="J44" t="s">
        <v>228</v>
      </c>
      <c r="K44" t="s">
        <v>229</v>
      </c>
      <c r="L44" t="s">
        <v>74</v>
      </c>
      <c r="M44" t="s">
        <v>171</v>
      </c>
      <c r="N44" t="s">
        <v>230</v>
      </c>
      <c r="O44" t="s">
        <v>59</v>
      </c>
      <c r="P44">
        <v>8</v>
      </c>
      <c r="Q44">
        <v>979.87</v>
      </c>
      <c r="R44">
        <v>0.05</v>
      </c>
      <c r="S44">
        <v>7447.01</v>
      </c>
      <c r="T44">
        <v>4496.22</v>
      </c>
      <c r="U44">
        <v>2950.79</v>
      </c>
      <c r="V44" t="s">
        <v>32</v>
      </c>
      <c r="W44" t="s">
        <v>33</v>
      </c>
      <c r="X44" t="str">
        <f>_xlfn.TEXTJOIN("|", TRUE, A44:W44)</f>
        <v>ORD-2025-10043|45940|45945|5|OK|CUST-6708|Arjun Bose|Corporate|East|Jharkhand|Ranchi|Technology|Phones|Eco Phones 702|Standard Class|8|979.87|0.05|7447.01|4496.22|2950.79|Paid|Completed</v>
      </c>
      <c r="Y44">
        <f>COUNTIF($X$2:$X$1000, X44)</f>
        <v>1</v>
      </c>
      <c r="Z44">
        <f>COUNTIF($A$2:$A$1000, A44)</f>
        <v>1</v>
      </c>
      <c r="AA44" t="str">
        <f>IF(Y44&gt;1, "Exact Duplicate",
  IF(Z44&gt;1, "Conflicting Duplicate - Review",
    "Unique"))</f>
        <v>Unique</v>
      </c>
      <c r="AB44" s="2">
        <f>IF(ISBLANK(R44), 0, IF(ISTEXT(R44), VALUE(SUBSTITUTE(R44, "%", ""))/100, IF(OR(R44&lt;0, R44&gt;1), "Invalid", R44)))</f>
        <v>0.05</v>
      </c>
      <c r="AC44" s="4">
        <f>IF(AB44="Invalid", "Error", P44 * Q44 * (1 - AB44))</f>
        <v>7447.0119999999997</v>
      </c>
      <c r="AD44" s="4">
        <f>IF(AC44="Error", "Error", AC44 - T44)</f>
        <v>2950.7919999999995</v>
      </c>
      <c r="AE44" s="2">
        <f>IF(AC44="Error", "Error", IF(AC44=0, 0, AD44 / AC44))</f>
        <v>0.39623838393170302</v>
      </c>
      <c r="AF44" s="7">
        <f>C44-B44</f>
        <v>5</v>
      </c>
      <c r="AG44" s="2" t="str">
        <f>TEXT(B44, "mmmm")</f>
        <v>October</v>
      </c>
      <c r="AH44" s="4">
        <f>YEAR(B44)</f>
        <v>2025</v>
      </c>
      <c r="AI44" s="2" t="str">
        <f t="shared" si="12"/>
        <v>Clean</v>
      </c>
      <c r="AJ44">
        <f>COUNTIFS($A$2:$A$1000,A44,$B$2:$B$1000,B44,$C$2:$C$1000,C44,$D$2:$D$1000,D44,$E$2:$E$1000,E44,$F$2:$F$1000,F44)</f>
        <v>1</v>
      </c>
      <c r="AK44">
        <f>COUNTIF($A$2:$A$1000, A44)</f>
        <v>1</v>
      </c>
    </row>
    <row r="45" spans="1:37">
      <c r="A45" t="s">
        <v>231</v>
      </c>
      <c r="B45" s="5">
        <v>45511</v>
      </c>
      <c r="C45" s="5">
        <v>45487</v>
      </c>
      <c r="D45" s="6">
        <f>IF(AND(C45&lt;&gt;"",B45&lt;&gt;""), C45-B45, "Missing Date")</f>
        <v>-24</v>
      </c>
      <c r="E45" s="6" t="str">
        <f>IF(OR(B45="",C45=""), "Missing Date",
    IF(C45&lt;B45, "Invalid: Ship before Order",
      "OK"))</f>
        <v>Invalid: Ship before Order</v>
      </c>
      <c r="F45" t="s">
        <v>232</v>
      </c>
      <c r="G45" t="s">
        <v>114</v>
      </c>
      <c r="H45" t="s">
        <v>37</v>
      </c>
      <c r="I45" t="s">
        <v>38</v>
      </c>
      <c r="J45" t="s">
        <v>39</v>
      </c>
      <c r="K45" t="s">
        <v>40</v>
      </c>
      <c r="L45" t="s">
        <v>41</v>
      </c>
      <c r="M45" t="s">
        <v>57</v>
      </c>
      <c r="N45" t="s">
        <v>233</v>
      </c>
      <c r="O45" t="s">
        <v>44</v>
      </c>
      <c r="P45">
        <v>3</v>
      </c>
      <c r="Q45">
        <v>1010.23</v>
      </c>
      <c r="R45">
        <v>0</v>
      </c>
      <c r="S45">
        <v>3030.69</v>
      </c>
      <c r="T45">
        <v>1721.08</v>
      </c>
      <c r="U45">
        <v>1309.6099999999999</v>
      </c>
      <c r="V45" t="s">
        <v>32</v>
      </c>
      <c r="W45" t="s">
        <v>33</v>
      </c>
      <c r="X45" t="str">
        <f>_xlfn.TEXTJOIN("|", TRUE, A45:W45)</f>
        <v>ORD-2024-10044|45511|45487|-24|Invalid: Ship before Order|CUST-7119|Priya Menon|Small Business|East|Odisha|Bhubaneswar|Furniture|Furnishings|Smart Furnishings 956|Same Day|3|1010.23|0|3030.69|1721.08|1309.61|Paid|Completed</v>
      </c>
      <c r="Y45">
        <f>COUNTIF($X$2:$X$1000, X45)</f>
        <v>1</v>
      </c>
      <c r="Z45">
        <f>COUNTIF($A$2:$A$1000, A45)</f>
        <v>1</v>
      </c>
      <c r="AA45" t="str">
        <f>IF(Y45&gt;1, "Exact Duplicate",
  IF(Z45&gt;1, "Conflicting Duplicate - Review",
    "Unique"))</f>
        <v>Unique</v>
      </c>
      <c r="AB45" s="2">
        <f>IF(ISBLANK(R45), 0, IF(ISTEXT(R45), VALUE(SUBSTITUTE(R45, "%", ""))/100, IF(OR(R45&lt;0, R45&gt;1), "Invalid", R45)))</f>
        <v>0</v>
      </c>
      <c r="AC45" s="4">
        <f>IF(AB45="Invalid", "Error", P45 * Q45 * (1 - AB45))</f>
        <v>3030.69</v>
      </c>
      <c r="AD45" s="4">
        <f>IF(AC45="Error", "Error", AC45 - T45)</f>
        <v>1309.6100000000001</v>
      </c>
      <c r="AE45" s="2">
        <f>IF(AC45="Error", "Error", IF(AC45=0, 0, AD45 / AC45))</f>
        <v>0.43211611877163292</v>
      </c>
      <c r="AF45" s="7">
        <f>C45-B45</f>
        <v>-24</v>
      </c>
      <c r="AG45" s="2" t="str">
        <f>TEXT(B45, "mmmm")</f>
        <v>August</v>
      </c>
      <c r="AH45" s="4">
        <f>YEAR(B45)</f>
        <v>2024</v>
      </c>
      <c r="AI45" s="2" t="str">
        <f t="shared" si="12"/>
        <v>Invalid Shipping Record</v>
      </c>
      <c r="AJ45">
        <f>COUNTIFS($A$2:$A$1000,A45,$B$2:$B$1000,B45,$C$2:$C$1000,C45,$D$2:$D$1000,D45,$E$2:$E$1000,E45,$F$2:$F$1000,F45)</f>
        <v>1</v>
      </c>
      <c r="AK45">
        <f>COUNTIF($A$2:$A$1000, A45)</f>
        <v>1</v>
      </c>
    </row>
    <row r="46" spans="1:37">
      <c r="A46" t="s">
        <v>234</v>
      </c>
      <c r="B46" s="5">
        <v>45465</v>
      </c>
      <c r="C46" s="5">
        <v>45468</v>
      </c>
      <c r="D46" s="6">
        <f>IF(AND(C46&lt;&gt;"",B46&lt;&gt;""), C46-B46, "Missing Date")</f>
        <v>3</v>
      </c>
      <c r="E46" s="6" t="str">
        <f>IF(OR(B46="",C46=""), "Missing Date",
    IF(C46&lt;B46, "Invalid: Ship before Order",
      "OK"))</f>
        <v>OK</v>
      </c>
      <c r="F46" t="s">
        <v>235</v>
      </c>
      <c r="G46" t="s">
        <v>141</v>
      </c>
      <c r="H46" t="s">
        <v>37</v>
      </c>
      <c r="I46" t="s">
        <v>25</v>
      </c>
      <c r="J46" t="s">
        <v>236</v>
      </c>
      <c r="K46" t="s">
        <v>237</v>
      </c>
      <c r="L46" t="s">
        <v>41</v>
      </c>
      <c r="M46" t="s">
        <v>66</v>
      </c>
      <c r="N46" t="s">
        <v>238</v>
      </c>
      <c r="O46" t="s">
        <v>59</v>
      </c>
      <c r="P46">
        <v>9</v>
      </c>
      <c r="Q46">
        <v>3329.77</v>
      </c>
      <c r="R46">
        <v>0.1</v>
      </c>
      <c r="S46">
        <v>26971.14</v>
      </c>
      <c r="T46">
        <v>17376.2</v>
      </c>
      <c r="U46">
        <v>9594.94</v>
      </c>
      <c r="V46" t="s">
        <v>32</v>
      </c>
      <c r="W46" t="s">
        <v>33</v>
      </c>
      <c r="X46" t="str">
        <f>_xlfn.TEXTJOIN("|", TRUE, A46:W46)</f>
        <v>ORD-2024-10045|45465|45468|3|OK|CUST-3373|Rohan Mehta|Small Business|North|Haryana|Gurugram|Furniture|Chairs|Max Chairs 393|Standard Class|9|3329.77|0.1|26971.14|17376.2|9594.94|Paid|Completed</v>
      </c>
      <c r="Y46">
        <f>COUNTIF($X$2:$X$1000, X46)</f>
        <v>1</v>
      </c>
      <c r="Z46">
        <f>COUNTIF($A$2:$A$1000, A46)</f>
        <v>1</v>
      </c>
      <c r="AA46" t="str">
        <f>IF(Y46&gt;1, "Exact Duplicate",
  IF(Z46&gt;1, "Conflicting Duplicate - Review",
    "Unique"))</f>
        <v>Unique</v>
      </c>
      <c r="AB46" s="2">
        <f>IF(ISBLANK(R46), 0, IF(ISTEXT(R46), VALUE(SUBSTITUTE(R46, "%", ""))/100, IF(OR(R46&lt;0, R46&gt;1), "Invalid", R46)))</f>
        <v>0.1</v>
      </c>
      <c r="AC46" s="4">
        <f>IF(AB46="Invalid", "Error", P46 * Q46 * (1 - AB46))</f>
        <v>26971.137000000002</v>
      </c>
      <c r="AD46" s="4">
        <f>IF(AC46="Error", "Error", AC46 - T46)</f>
        <v>9594.9370000000017</v>
      </c>
      <c r="AE46" s="2">
        <f>IF(AC46="Error", "Error", IF(AC46=0, 0, AD46 / AC46))</f>
        <v>0.35574833200394929</v>
      </c>
      <c r="AF46" s="7">
        <f>C46-B46</f>
        <v>3</v>
      </c>
      <c r="AG46" s="2" t="str">
        <f>TEXT(B46, "mmmm")</f>
        <v>June</v>
      </c>
      <c r="AH46" s="4">
        <f>YEAR(B46)</f>
        <v>2024</v>
      </c>
      <c r="AI46" s="2" t="str">
        <f t="shared" si="12"/>
        <v>Clean</v>
      </c>
      <c r="AJ46">
        <f>COUNTIFS($A$2:$A$1000,A46,$B$2:$B$1000,B46,$C$2:$C$1000,C46,$D$2:$D$1000,D46,$E$2:$E$1000,E46,$F$2:$F$1000,F46)</f>
        <v>1</v>
      </c>
      <c r="AK46">
        <f>COUNTIF($A$2:$A$1000, A46)</f>
        <v>1</v>
      </c>
    </row>
    <row r="47" spans="1:37">
      <c r="A47" t="s">
        <v>239</v>
      </c>
      <c r="B47" s="5">
        <v>45309</v>
      </c>
      <c r="C47" s="5">
        <v>45315</v>
      </c>
      <c r="D47" s="6">
        <f>IF(AND(C47&lt;&gt;"",B47&lt;&gt;""), C47-B47, "Missing Date")</f>
        <v>6</v>
      </c>
      <c r="E47" s="6" t="str">
        <f>IF(OR(B47="",C47=""), "Missing Date",
    IF(C47&lt;B47, "Invalid: Ship before Order",
      "OK"))</f>
        <v>OK</v>
      </c>
      <c r="F47" t="s">
        <v>240</v>
      </c>
      <c r="G47" t="s">
        <v>47</v>
      </c>
      <c r="H47" t="s">
        <v>95</v>
      </c>
      <c r="I47" t="s">
        <v>38</v>
      </c>
      <c r="J47" t="s">
        <v>145</v>
      </c>
      <c r="K47" t="s">
        <v>146</v>
      </c>
      <c r="L47" t="s">
        <v>28</v>
      </c>
      <c r="M47" t="s">
        <v>48</v>
      </c>
      <c r="N47" t="s">
        <v>241</v>
      </c>
      <c r="O47" t="s">
        <v>31</v>
      </c>
      <c r="P47">
        <v>8</v>
      </c>
      <c r="Q47">
        <v>3927.82</v>
      </c>
      <c r="R47">
        <v>0.05</v>
      </c>
      <c r="S47">
        <v>29851.43</v>
      </c>
      <c r="T47">
        <v>17487.48</v>
      </c>
      <c r="U47">
        <v>12363.95</v>
      </c>
      <c r="V47" t="s">
        <v>111</v>
      </c>
      <c r="W47" t="s">
        <v>103</v>
      </c>
      <c r="X47" t="str">
        <f>_xlfn.TEXTJOIN("|", TRUE, A47:W47)</f>
        <v>ORD-2024-10046|45309|45315|6|OK|CUST-8896|Isha Nair|Home Office|East|Bihar|Patna|Office Supplies|Art|Prime Art 221|Second Class|8|3927.82|0.05|29851.43|17487.48|12363.95|Pending|Returned</v>
      </c>
      <c r="Y47">
        <f>COUNTIF($X$2:$X$1000, X47)</f>
        <v>1</v>
      </c>
      <c r="Z47">
        <f>COUNTIF($A$2:$A$1000, A47)</f>
        <v>1</v>
      </c>
      <c r="AA47" t="str">
        <f>IF(Y47&gt;1, "Exact Duplicate",
  IF(Z47&gt;1, "Conflicting Duplicate - Review",
    "Unique"))</f>
        <v>Unique</v>
      </c>
      <c r="AB47" s="2">
        <f>IF(ISBLANK(R47), 0, IF(ISTEXT(R47), VALUE(SUBSTITUTE(R47, "%", ""))/100, IF(OR(R47&lt;0, R47&gt;1), "Invalid", R47)))</f>
        <v>0.05</v>
      </c>
      <c r="AC47" s="4">
        <f>IF(AB47="Invalid", "Error", P47 * Q47 * (1 - AB47))</f>
        <v>29851.432000000001</v>
      </c>
      <c r="AD47" s="4">
        <f>IF(AC47="Error", "Error", AC47 - T47)</f>
        <v>12363.952000000001</v>
      </c>
      <c r="AE47" s="2">
        <f>IF(AC47="Error", "Error", IF(AC47=0, 0, AD47 / AC47))</f>
        <v>0.41418287739094062</v>
      </c>
      <c r="AF47" s="7">
        <f>C47-B47</f>
        <v>6</v>
      </c>
      <c r="AG47" s="2" t="str">
        <f>TEXT(B47, "mmmm")</f>
        <v>January</v>
      </c>
      <c r="AH47" s="4">
        <f>YEAR(B47)</f>
        <v>2024</v>
      </c>
      <c r="AI47" s="2" t="str">
        <f t="shared" si="12"/>
        <v>Clean</v>
      </c>
      <c r="AJ47">
        <f>COUNTIFS($A$2:$A$1000,A47,$B$2:$B$1000,B47,$C$2:$C$1000,C47,$D$2:$D$1000,D47,$E$2:$E$1000,E47,$F$2:$F$1000,F47)</f>
        <v>1</v>
      </c>
      <c r="AK47">
        <f>COUNTIF($A$2:$A$1000, A47)</f>
        <v>1</v>
      </c>
    </row>
    <row r="48" spans="1:37">
      <c r="A48" t="s">
        <v>242</v>
      </c>
      <c r="B48" s="5">
        <v>45492</v>
      </c>
      <c r="C48" s="5">
        <v>45492</v>
      </c>
      <c r="D48" s="6">
        <f>IF(AND(C48&lt;&gt;"",B48&lt;&gt;""), C48-B48, "Missing Date")</f>
        <v>0</v>
      </c>
      <c r="E48" s="6" t="str">
        <f>IF(OR(B48="",C48=""), "Missing Date",
    IF(C48&lt;B48, "Invalid: Ship before Order",
      "OK"))</f>
        <v>OK</v>
      </c>
      <c r="F48" t="s">
        <v>243</v>
      </c>
      <c r="G48" t="s">
        <v>62</v>
      </c>
      <c r="H48" t="s">
        <v>37</v>
      </c>
      <c r="I48" t="s">
        <v>54</v>
      </c>
      <c r="J48" t="s">
        <v>185</v>
      </c>
      <c r="K48" t="s">
        <v>186</v>
      </c>
      <c r="L48" t="s">
        <v>41</v>
      </c>
      <c r="M48" t="s">
        <v>158</v>
      </c>
      <c r="N48" t="s">
        <v>244</v>
      </c>
      <c r="O48" t="s">
        <v>59</v>
      </c>
      <c r="P48">
        <v>9</v>
      </c>
      <c r="Q48">
        <v>2386.79</v>
      </c>
      <c r="R48">
        <v>0.25</v>
      </c>
      <c r="S48">
        <v>16110.83</v>
      </c>
      <c r="T48">
        <v>10680.03</v>
      </c>
      <c r="U48">
        <v>5430.8</v>
      </c>
      <c r="V48" t="s">
        <v>102</v>
      </c>
      <c r="W48" t="s">
        <v>103</v>
      </c>
      <c r="X48" t="str">
        <f>_xlfn.TEXTJOIN("|", TRUE, A48:W48)</f>
        <v>ORD-2024-10047|45492|45492|0|OK|CUST-8517|Ananya Rao|Small Business|South|Kerala|Kochi|Furniture|Bookcases|Elite Bookcases 671|Standard Class|9|2386.79|0.25|16110.83|10680.03|5430.8|Refunded|Returned</v>
      </c>
      <c r="Y48">
        <f>COUNTIF($X$2:$X$1000, X48)</f>
        <v>1</v>
      </c>
      <c r="Z48">
        <f>COUNTIF($A$2:$A$1000, A48)</f>
        <v>1</v>
      </c>
      <c r="AA48" t="str">
        <f>IF(Y48&gt;1, "Exact Duplicate",
  IF(Z48&gt;1, "Conflicting Duplicate - Review",
    "Unique"))</f>
        <v>Unique</v>
      </c>
      <c r="AB48" s="2">
        <f>IF(ISBLANK(R48), 0, IF(ISTEXT(R48), VALUE(SUBSTITUTE(R48, "%", ""))/100, IF(OR(R48&lt;0, R48&gt;1), "Invalid", R48)))</f>
        <v>0.25</v>
      </c>
      <c r="AC48" s="4">
        <f>IF(AB48="Invalid", "Error", P48 * Q48 * (1 - AB48))</f>
        <v>16110.8325</v>
      </c>
      <c r="AD48" s="4">
        <f>IF(AC48="Error", "Error", AC48 - T48)</f>
        <v>5430.8024999999998</v>
      </c>
      <c r="AE48" s="2">
        <f>IF(AC48="Error", "Error", IF(AC48=0, 0, AD48 / AC48))</f>
        <v>0.33709012243780695</v>
      </c>
      <c r="AF48" s="7">
        <f>C48-B48</f>
        <v>0</v>
      </c>
      <c r="AG48" s="2" t="str">
        <f>TEXT(B48, "mmmm")</f>
        <v>July</v>
      </c>
      <c r="AH48" s="4">
        <f>YEAR(B48)</f>
        <v>2024</v>
      </c>
      <c r="AI48" s="2" t="str">
        <f t="shared" si="12"/>
        <v>Clean</v>
      </c>
      <c r="AJ48">
        <f>COUNTIFS($A$2:$A$1000,A48,$B$2:$B$1000,B48,$C$2:$C$1000,C48,$D$2:$D$1000,D48,$E$2:$E$1000,E48,$F$2:$F$1000,F48)</f>
        <v>1</v>
      </c>
      <c r="AK48">
        <f>COUNTIF($A$2:$A$1000, A48)</f>
        <v>1</v>
      </c>
    </row>
    <row r="49" spans="1:37">
      <c r="A49" t="s">
        <v>245</v>
      </c>
      <c r="B49" s="5">
        <v>45516</v>
      </c>
      <c r="C49" s="5">
        <v>45516</v>
      </c>
      <c r="D49" s="6">
        <f>IF(AND(C49&lt;&gt;"",B49&lt;&gt;""), C49-B49, "Missing Date")</f>
        <v>0</v>
      </c>
      <c r="E49" s="6" t="str">
        <f>IF(OR(B49="",C49=""), "Missing Date",
    IF(C49&lt;B49, "Invalid: Ship before Order",
      "OK"))</f>
        <v>OK</v>
      </c>
      <c r="F49" t="s">
        <v>246</v>
      </c>
      <c r="G49" t="s">
        <v>118</v>
      </c>
      <c r="H49" t="s">
        <v>90</v>
      </c>
      <c r="I49" t="s">
        <v>54</v>
      </c>
      <c r="J49" t="s">
        <v>247</v>
      </c>
      <c r="K49" t="s">
        <v>248</v>
      </c>
      <c r="L49" t="s">
        <v>28</v>
      </c>
      <c r="M49" t="s">
        <v>124</v>
      </c>
      <c r="N49" t="s">
        <v>249</v>
      </c>
      <c r="O49" t="s">
        <v>59</v>
      </c>
      <c r="P49">
        <v>8</v>
      </c>
      <c r="Q49">
        <v>2445.31</v>
      </c>
      <c r="R49">
        <v>0.1</v>
      </c>
      <c r="S49">
        <v>17606.23</v>
      </c>
      <c r="T49">
        <v>12438.96</v>
      </c>
      <c r="U49">
        <v>5167.2700000000004</v>
      </c>
      <c r="V49" t="s">
        <v>32</v>
      </c>
      <c r="W49" t="s">
        <v>33</v>
      </c>
      <c r="X49" t="str">
        <f>_xlfn.TEXTJOIN("|", TRUE, A49:W49)</f>
        <v>ORD-2024-10048|45516|45516|0|OK|CUST-1987|Rahul Verma|Corporate|South|Tamil Nadu|Chennai|Office Supplies|Storage|Max Storage 432|Standard Class|8|2445.31|0.1|17606.23|12438.96|5167.27|Paid|Completed</v>
      </c>
      <c r="Y49">
        <f>COUNTIF($X$2:$X$1000, X49)</f>
        <v>1</v>
      </c>
      <c r="Z49">
        <f>COUNTIF($A$2:$A$1000, A49)</f>
        <v>1</v>
      </c>
      <c r="AA49" t="str">
        <f>IF(Y49&gt;1, "Exact Duplicate",
  IF(Z49&gt;1, "Conflicting Duplicate - Review",
    "Unique"))</f>
        <v>Unique</v>
      </c>
      <c r="AB49" s="2">
        <f>IF(ISBLANK(R49), 0, IF(ISTEXT(R49), VALUE(SUBSTITUTE(R49, "%", ""))/100, IF(OR(R49&lt;0, R49&gt;1), "Invalid", R49)))</f>
        <v>0.1</v>
      </c>
      <c r="AC49" s="4">
        <f>IF(AB49="Invalid", "Error", P49 * Q49 * (1 - AB49))</f>
        <v>17606.232</v>
      </c>
      <c r="AD49" s="4">
        <f>IF(AC49="Error", "Error", AC49 - T49)</f>
        <v>5167.2720000000008</v>
      </c>
      <c r="AE49" s="2">
        <f>IF(AC49="Error", "Error", IF(AC49=0, 0, AD49 / AC49))</f>
        <v>0.29349107747756592</v>
      </c>
      <c r="AF49" s="7">
        <f>C49-B49</f>
        <v>0</v>
      </c>
      <c r="AG49" s="2" t="str">
        <f>TEXT(B49, "mmmm")</f>
        <v>August</v>
      </c>
      <c r="AH49" s="4">
        <f>YEAR(B49)</f>
        <v>2024</v>
      </c>
      <c r="AI49" s="2" t="str">
        <f t="shared" si="12"/>
        <v>Clean</v>
      </c>
      <c r="AJ49">
        <f>COUNTIFS($A$2:$A$1000,A49,$B$2:$B$1000,B49,$C$2:$C$1000,C49,$D$2:$D$1000,D49,$E$2:$E$1000,E49,$F$2:$F$1000,F49)</f>
        <v>1</v>
      </c>
      <c r="AK49">
        <f>COUNTIF($A$2:$A$1000, A49)</f>
        <v>1</v>
      </c>
    </row>
    <row r="50" spans="1:37">
      <c r="A50" t="s">
        <v>250</v>
      </c>
      <c r="B50" s="5">
        <v>45687</v>
      </c>
      <c r="C50" s="5">
        <v>45693</v>
      </c>
      <c r="D50" s="6">
        <f>IF(AND(C50&lt;&gt;"",B50&lt;&gt;""), C50-B50, "Missing Date")</f>
        <v>6</v>
      </c>
      <c r="E50" s="6" t="str">
        <f>IF(OR(B50="",C50=""), "Missing Date",
    IF(C50&lt;B50, "Invalid: Ship before Order",
      "OK"))</f>
        <v>OK</v>
      </c>
      <c r="F50" t="s">
        <v>251</v>
      </c>
      <c r="G50" t="s">
        <v>79</v>
      </c>
      <c r="H50" t="s">
        <v>90</v>
      </c>
      <c r="I50" t="s">
        <v>63</v>
      </c>
      <c r="J50" t="s">
        <v>64</v>
      </c>
      <c r="K50" t="s">
        <v>65</v>
      </c>
      <c r="L50" t="s">
        <v>41</v>
      </c>
      <c r="M50" t="s">
        <v>66</v>
      </c>
      <c r="N50" t="s">
        <v>252</v>
      </c>
      <c r="O50" t="s">
        <v>31</v>
      </c>
      <c r="P50">
        <v>7</v>
      </c>
      <c r="Q50">
        <v>4063.66</v>
      </c>
      <c r="R50">
        <v>0</v>
      </c>
      <c r="S50">
        <v>28445.62</v>
      </c>
      <c r="T50">
        <v>20938.59</v>
      </c>
      <c r="U50">
        <v>7507.03</v>
      </c>
      <c r="V50" t="s">
        <v>32</v>
      </c>
      <c r="W50" t="s">
        <v>33</v>
      </c>
      <c r="X50" t="str">
        <f>_xlfn.TEXTJOIN("|", TRUE, A50:W50)</f>
        <v>ORD-2025-10049|45687|45693|6|OK|CUST-8183|Neha Gupta|Corporate|West|Maharashtra|Mumbai|Furniture|Chairs|Basic Chairs 837|Second Class|7|4063.66|0|28445.62|20938.59|7507.03|Paid|Completed</v>
      </c>
      <c r="Y50">
        <f>COUNTIF($X$2:$X$1000, X50)</f>
        <v>1</v>
      </c>
      <c r="Z50">
        <f>COUNTIF($A$2:$A$1000, A50)</f>
        <v>1</v>
      </c>
      <c r="AA50" t="str">
        <f>IF(Y50&gt;1, "Exact Duplicate",
  IF(Z50&gt;1, "Conflicting Duplicate - Review",
    "Unique"))</f>
        <v>Unique</v>
      </c>
      <c r="AB50" s="2">
        <f>IF(ISBLANK(R50), 0, IF(ISTEXT(R50), VALUE(SUBSTITUTE(R50, "%", ""))/100, IF(OR(R50&lt;0, R50&gt;1), "Invalid", R50)))</f>
        <v>0</v>
      </c>
      <c r="AC50" s="4">
        <f>IF(AB50="Invalid", "Error", P50 * Q50 * (1 - AB50))</f>
        <v>28445.62</v>
      </c>
      <c r="AD50" s="4">
        <f>IF(AC50="Error", "Error", AC50 - T50)</f>
        <v>7507.0299999999988</v>
      </c>
      <c r="AE50" s="2">
        <f>IF(AC50="Error", "Error", IF(AC50=0, 0, AD50 / AC50))</f>
        <v>0.26390811660986818</v>
      </c>
      <c r="AF50" s="7">
        <f>C50-B50</f>
        <v>6</v>
      </c>
      <c r="AG50" s="2" t="str">
        <f>TEXT(B50, "mmmm")</f>
        <v>January</v>
      </c>
      <c r="AH50" s="4">
        <f>YEAR(B50)</f>
        <v>2025</v>
      </c>
      <c r="AI50" s="2" t="str">
        <f t="shared" si="12"/>
        <v>Clean</v>
      </c>
      <c r="AJ50">
        <f>COUNTIFS($A$2:$A$1000,A50,$B$2:$B$1000,B50,$C$2:$C$1000,C50,$D$2:$D$1000,D50,$E$2:$E$1000,E50,$F$2:$F$1000,F50)</f>
        <v>1</v>
      </c>
      <c r="AK50">
        <f>COUNTIF($A$2:$A$1000, A50)</f>
        <v>1</v>
      </c>
    </row>
    <row r="51" spans="1:37">
      <c r="A51" t="s">
        <v>253</v>
      </c>
      <c r="B51" s="5">
        <v>45388</v>
      </c>
      <c r="C51" s="5">
        <v>45395</v>
      </c>
      <c r="D51" s="6">
        <f>IF(AND(C51&lt;&gt;"",B51&lt;&gt;""), C51-B51, "Missing Date")</f>
        <v>7</v>
      </c>
      <c r="E51" s="6" t="str">
        <f>IF(OR(B51="",C51=""), "Missing Date",
    IF(C51&lt;B51, "Invalid: Ship before Order",
      "OK"))</f>
        <v>OK</v>
      </c>
      <c r="F51" t="s">
        <v>254</v>
      </c>
      <c r="G51" t="s">
        <v>128</v>
      </c>
      <c r="H51" t="s">
        <v>95</v>
      </c>
      <c r="I51" t="s">
        <v>25</v>
      </c>
      <c r="J51" t="s">
        <v>136</v>
      </c>
      <c r="K51" t="s">
        <v>137</v>
      </c>
      <c r="L51" t="s">
        <v>74</v>
      </c>
      <c r="M51" t="s">
        <v>80</v>
      </c>
      <c r="N51" t="s">
        <v>255</v>
      </c>
      <c r="O51" t="s">
        <v>31</v>
      </c>
      <c r="P51">
        <v>9</v>
      </c>
      <c r="Q51">
        <v>792.11</v>
      </c>
      <c r="R51">
        <v>0.05</v>
      </c>
      <c r="S51">
        <v>6772.54</v>
      </c>
      <c r="T51">
        <v>5755.46</v>
      </c>
      <c r="U51">
        <v>1017.08</v>
      </c>
      <c r="V51" t="s">
        <v>32</v>
      </c>
      <c r="W51" t="s">
        <v>33</v>
      </c>
      <c r="X51" t="str">
        <f>_xlfn.TEXTJOIN("|", TRUE, A51:W51)</f>
        <v>ORD-2024-10050|45388|45395|7|OK|CUST-2380|Aarav Sharma|Home Office|North|Uttar Pradesh|Noida|Technology|Copiers|Classic Copiers 295|Second Class|9|792.11|0.05|6772.54|5755.46|1017.08|Paid|Completed</v>
      </c>
      <c r="Y51">
        <f>COUNTIF($X$2:$X$1000, X51)</f>
        <v>1</v>
      </c>
      <c r="Z51">
        <f>COUNTIF($A$2:$A$1000, A51)</f>
        <v>1</v>
      </c>
      <c r="AA51" t="str">
        <f>IF(Y51&gt;1, "Exact Duplicate",
  IF(Z51&gt;1, "Conflicting Duplicate - Review",
    "Unique"))</f>
        <v>Unique</v>
      </c>
      <c r="AB51" s="2">
        <f>IF(ISBLANK(R51), 0, IF(ISTEXT(R51), VALUE(SUBSTITUTE(R51, "%", ""))/100, IF(OR(R51&lt;0, R51&gt;1), "Invalid", R51)))</f>
        <v>0.05</v>
      </c>
      <c r="AC51" s="4">
        <f>IF(AB51="Invalid", "Error", P51 * Q51 * (1 - AB51))</f>
        <v>6772.5404999999992</v>
      </c>
      <c r="AD51" s="4">
        <f>IF(AC51="Error", "Error", AC51 - T51)</f>
        <v>1017.0804999999991</v>
      </c>
      <c r="AE51" s="2">
        <f>IF(AC51="Error", "Error", IF(AC51=0, 0, AD51 / AC51))</f>
        <v>0.15017710119267641</v>
      </c>
      <c r="AF51" s="7">
        <f>C51-B51</f>
        <v>7</v>
      </c>
      <c r="AG51" s="2" t="str">
        <f>TEXT(B51, "mmmm")</f>
        <v>April</v>
      </c>
      <c r="AH51" s="4">
        <f>YEAR(B51)</f>
        <v>2024</v>
      </c>
      <c r="AI51" s="2" t="str">
        <f t="shared" si="12"/>
        <v>Clean</v>
      </c>
      <c r="AJ51">
        <f>COUNTIFS($A$2:$A$1000,A51,$B$2:$B$1000,B51,$C$2:$C$1000,C51,$D$2:$D$1000,D51,$E$2:$E$1000,E51,$F$2:$F$1000,F51)</f>
        <v>1</v>
      </c>
      <c r="AK51">
        <f>COUNTIF($A$2:$A$1000, A51)</f>
        <v>1</v>
      </c>
    </row>
    <row r="52" spans="1:37">
      <c r="A52" t="s">
        <v>256</v>
      </c>
      <c r="B52" s="5">
        <v>45966</v>
      </c>
      <c r="C52" s="5">
        <v>45796</v>
      </c>
      <c r="D52" s="6">
        <f>IF(AND(C52&lt;&gt;"",B52&lt;&gt;""), C52-B52, "Missing Date")</f>
        <v>-170</v>
      </c>
      <c r="E52" s="6" t="str">
        <f>IF(OR(B52="",C52=""), "Missing Date",
    IF(C52&lt;B52, "Invalid: Ship before Order",
      "OK"))</f>
        <v>Invalid: Ship before Order</v>
      </c>
      <c r="F52" t="s">
        <v>257</v>
      </c>
      <c r="G52" t="s">
        <v>132</v>
      </c>
      <c r="H52" t="s">
        <v>24</v>
      </c>
      <c r="I52" t="s">
        <v>38</v>
      </c>
      <c r="J52" t="s">
        <v>99</v>
      </c>
      <c r="K52" t="s">
        <v>100</v>
      </c>
      <c r="L52" t="s">
        <v>74</v>
      </c>
      <c r="M52" t="s">
        <v>80</v>
      </c>
      <c r="N52" t="s">
        <v>258</v>
      </c>
      <c r="O52" t="s">
        <v>59</v>
      </c>
      <c r="P52">
        <v>1</v>
      </c>
      <c r="Q52">
        <v>2382.8000000000002</v>
      </c>
      <c r="R52">
        <v>0.15</v>
      </c>
      <c r="S52">
        <v>2025.38</v>
      </c>
      <c r="T52">
        <v>1140.6500000000001</v>
      </c>
      <c r="U52">
        <v>884.73</v>
      </c>
      <c r="V52" t="s">
        <v>32</v>
      </c>
      <c r="W52" t="s">
        <v>33</v>
      </c>
      <c r="X52" t="str">
        <f>_xlfn.TEXTJOIN("|", TRUE, A52:W52)</f>
        <v>ORD-2025-10051|45966|45796|-170|Invalid: Ship before Order|CUST-8787|Sneha Kapoor|Consumer|East|West Bengal|Kolkata|Technology|Copiers|Pro Copiers 963|Standard Class|1|2382.8|0.15|2025.38|1140.65|884.73|Paid|Completed</v>
      </c>
      <c r="Y52">
        <f>COUNTIF($X$2:$X$1000, X52)</f>
        <v>1</v>
      </c>
      <c r="Z52">
        <f>COUNTIF($A$2:$A$1000, A52)</f>
        <v>1</v>
      </c>
      <c r="AA52" t="str">
        <f>IF(Y52&gt;1, "Exact Duplicate",
  IF(Z52&gt;1, "Conflicting Duplicate - Review",
    "Unique"))</f>
        <v>Unique</v>
      </c>
      <c r="AB52" s="2">
        <f>IF(ISBLANK(R52), 0, IF(ISTEXT(R52), VALUE(SUBSTITUTE(R52, "%", ""))/100, IF(OR(R52&lt;0, R52&gt;1), "Invalid", R52)))</f>
        <v>0.15</v>
      </c>
      <c r="AC52" s="4">
        <f>IF(AB52="Invalid", "Error", P52 * Q52 * (1 - AB52))</f>
        <v>2025.38</v>
      </c>
      <c r="AD52" s="4">
        <f>IF(AC52="Error", "Error", AC52 - T52)</f>
        <v>884.73</v>
      </c>
      <c r="AE52" s="2">
        <f>IF(AC52="Error", "Error", IF(AC52=0, 0, AD52 / AC52))</f>
        <v>0.43682173221815163</v>
      </c>
      <c r="AF52" s="7">
        <f>C52-B52</f>
        <v>-170</v>
      </c>
      <c r="AG52" s="2" t="str">
        <f>TEXT(B52, "mmmm")</f>
        <v>November</v>
      </c>
      <c r="AH52" s="4">
        <f>YEAR(B52)</f>
        <v>2025</v>
      </c>
      <c r="AI52" s="2" t="str">
        <f t="shared" si="12"/>
        <v>Invalid Shipping Record</v>
      </c>
      <c r="AJ52">
        <f>COUNTIFS($A$2:$A$1000,A52,$B$2:$B$1000,B52,$C$2:$C$1000,C52,$D$2:$D$1000,D52,$E$2:$E$1000,E52,$F$2:$F$1000,F52)</f>
        <v>1</v>
      </c>
      <c r="AK52">
        <f>COUNTIF($A$2:$A$1000, A52)</f>
        <v>1</v>
      </c>
    </row>
    <row r="53" spans="1:37">
      <c r="A53" t="s">
        <v>259</v>
      </c>
      <c r="B53" s="5">
        <v>45406</v>
      </c>
      <c r="C53" s="5">
        <v>45411</v>
      </c>
      <c r="D53" s="6">
        <f>IF(AND(C53&lt;&gt;"",B53&lt;&gt;""), C53-B53, "Missing Date")</f>
        <v>5</v>
      </c>
      <c r="E53" s="6" t="str">
        <f>IF(OR(B53="",C53=""), "Missing Date",
    IF(C53&lt;B53, "Invalid: Ship before Order",
      "OK"))</f>
        <v>OK</v>
      </c>
      <c r="F53" t="s">
        <v>260</v>
      </c>
      <c r="G53" t="s">
        <v>62</v>
      </c>
      <c r="H53" t="s">
        <v>90</v>
      </c>
      <c r="I53" t="s">
        <v>54</v>
      </c>
      <c r="J53" t="s">
        <v>55</v>
      </c>
      <c r="K53" t="s">
        <v>56</v>
      </c>
      <c r="L53" t="s">
        <v>28</v>
      </c>
      <c r="M53" t="s">
        <v>48</v>
      </c>
      <c r="N53" t="s">
        <v>261</v>
      </c>
      <c r="O53" t="s">
        <v>59</v>
      </c>
      <c r="P53">
        <v>6</v>
      </c>
      <c r="Q53">
        <v>1528.08</v>
      </c>
      <c r="R53">
        <v>0</v>
      </c>
      <c r="S53">
        <v>9168.48</v>
      </c>
      <c r="T53">
        <v>7439.77</v>
      </c>
      <c r="U53">
        <v>1728.71</v>
      </c>
      <c r="V53" t="s">
        <v>32</v>
      </c>
      <c r="W53" t="s">
        <v>33</v>
      </c>
      <c r="X53" t="str">
        <f>_xlfn.TEXTJOIN("|", TRUE, A53:W53)</f>
        <v>ORD-2024-10052|45406|45411|5|OK|CUST-3557|Ananya Rao|Corporate|South|Telangana|Hyderabad|Office Supplies|Art|Pro Art 907|Standard Class|6|1528.08|0|9168.48|7439.77|1728.71|Paid|Completed</v>
      </c>
      <c r="Y53">
        <f>COUNTIF($X$2:$X$1000, X53)</f>
        <v>1</v>
      </c>
      <c r="Z53">
        <f>COUNTIF($A$2:$A$1000, A53)</f>
        <v>1</v>
      </c>
      <c r="AA53" t="str">
        <f>IF(Y53&gt;1, "Exact Duplicate",
  IF(Z53&gt;1, "Conflicting Duplicate - Review",
    "Unique"))</f>
        <v>Unique</v>
      </c>
      <c r="AB53" s="2">
        <f>IF(ISBLANK(R53), 0, IF(ISTEXT(R53), VALUE(SUBSTITUTE(R53, "%", ""))/100, IF(OR(R53&lt;0, R53&gt;1), "Invalid", R53)))</f>
        <v>0</v>
      </c>
      <c r="AC53" s="4">
        <f>IF(AB53="Invalid", "Error", P53 * Q53 * (1 - AB53))</f>
        <v>9168.48</v>
      </c>
      <c r="AD53" s="4">
        <f>IF(AC53="Error", "Error", AC53 - T53)</f>
        <v>1728.7099999999991</v>
      </c>
      <c r="AE53" s="2">
        <f>IF(AC53="Error", "Error", IF(AC53=0, 0, AD53 / AC53))</f>
        <v>0.18854924698532355</v>
      </c>
      <c r="AF53" s="7">
        <f>C53-B53</f>
        <v>5</v>
      </c>
      <c r="AG53" s="2" t="str">
        <f>TEXT(B53, "mmmm")</f>
        <v>April</v>
      </c>
      <c r="AH53" s="4">
        <f>YEAR(B53)</f>
        <v>2024</v>
      </c>
      <c r="AI53" s="2" t="str">
        <f t="shared" si="12"/>
        <v>Clean</v>
      </c>
      <c r="AJ53">
        <f>COUNTIFS($A$2:$A$1000,A53,$B$2:$B$1000,B53,$C$2:$C$1000,C53,$D$2:$D$1000,D53,$E$2:$E$1000,E53,$F$2:$F$1000,F53)</f>
        <v>1</v>
      </c>
      <c r="AK53">
        <f>COUNTIF($A$2:$A$1000, A53)</f>
        <v>1</v>
      </c>
    </row>
    <row r="54" spans="1:37">
      <c r="A54" t="s">
        <v>262</v>
      </c>
      <c r="B54" s="5">
        <v>45591</v>
      </c>
      <c r="C54" s="5">
        <v>45593</v>
      </c>
      <c r="D54" s="6">
        <f>IF(AND(C54&lt;&gt;"",B54&lt;&gt;""), C54-B54, "Missing Date")</f>
        <v>2</v>
      </c>
      <c r="E54" s="6" t="str">
        <f>IF(OR(B54="",C54=""), "Missing Date",
    IF(C54&lt;B54, "Invalid: Ship before Order",
      "OK"))</f>
        <v>OK</v>
      </c>
      <c r="F54" t="s">
        <v>263</v>
      </c>
      <c r="G54" t="s">
        <v>264</v>
      </c>
      <c r="H54" t="s">
        <v>37</v>
      </c>
      <c r="I54" t="s">
        <v>25</v>
      </c>
      <c r="J54" t="s">
        <v>26</v>
      </c>
      <c r="K54" t="s">
        <v>27</v>
      </c>
      <c r="L54" t="s">
        <v>41</v>
      </c>
      <c r="M54" t="s">
        <v>66</v>
      </c>
      <c r="N54" t="s">
        <v>265</v>
      </c>
      <c r="O54" t="s">
        <v>50</v>
      </c>
      <c r="P54">
        <v>9</v>
      </c>
      <c r="Q54">
        <v>1399.63</v>
      </c>
      <c r="R54">
        <v>0</v>
      </c>
      <c r="S54">
        <v>12596.67</v>
      </c>
      <c r="T54">
        <v>10603.29</v>
      </c>
      <c r="U54">
        <v>1993.38</v>
      </c>
      <c r="V54" t="s">
        <v>155</v>
      </c>
      <c r="W54" t="s">
        <v>68</v>
      </c>
      <c r="X54" t="str">
        <f>_xlfn.TEXTJOIN("|", TRUE, A54:W54)</f>
        <v>ORD-2024-10053|45591|45593|2|OK|CUST-2778|Kabir Singh|Small Business|North|Rajasthan|Jaipur|Furniture|Chairs|Pro Chairs 526|First Class|9|1399.63|0|12596.67|10603.29|1993.38|Failed|Cancelled</v>
      </c>
      <c r="Y54">
        <f>COUNTIF($X$2:$X$1000, X54)</f>
        <v>1</v>
      </c>
      <c r="Z54">
        <f>COUNTIF($A$2:$A$1000, A54)</f>
        <v>1</v>
      </c>
      <c r="AA54" t="str">
        <f>IF(Y54&gt;1, "Exact Duplicate",
  IF(Z54&gt;1, "Conflicting Duplicate - Review",
    "Unique"))</f>
        <v>Unique</v>
      </c>
      <c r="AB54" s="2">
        <f>IF(ISBLANK(R54), 0, IF(ISTEXT(R54), VALUE(SUBSTITUTE(R54, "%", ""))/100, IF(OR(R54&lt;0, R54&gt;1), "Invalid", R54)))</f>
        <v>0</v>
      </c>
      <c r="AC54" s="4">
        <f>IF(AB54="Invalid", "Error", P54 * Q54 * (1 - AB54))</f>
        <v>12596.670000000002</v>
      </c>
      <c r="AD54" s="4">
        <f>IF(AC54="Error", "Error", AC54 - T54)</f>
        <v>1993.380000000001</v>
      </c>
      <c r="AE54" s="2">
        <f>IF(AC54="Error", "Error", IF(AC54=0, 0, AD54 / AC54))</f>
        <v>0.15824658421630483</v>
      </c>
      <c r="AF54" s="7">
        <f>C54-B54</f>
        <v>2</v>
      </c>
      <c r="AG54" s="2" t="str">
        <f>TEXT(B54, "mmmm")</f>
        <v>October</v>
      </c>
      <c r="AH54" s="4">
        <f>YEAR(B54)</f>
        <v>2024</v>
      </c>
      <c r="AI54" s="2" t="str">
        <f t="shared" si="12"/>
        <v>Excluded from Sales</v>
      </c>
      <c r="AJ54">
        <f>COUNTIFS($A$2:$A$1000,A54,$B$2:$B$1000,B54,$C$2:$C$1000,C54,$D$2:$D$1000,D54,$E$2:$E$1000,E54,$F$2:$F$1000,F54)</f>
        <v>1</v>
      </c>
      <c r="AK54">
        <f>COUNTIF($A$2:$A$1000, A54)</f>
        <v>1</v>
      </c>
    </row>
    <row r="55" spans="1:37">
      <c r="A55" t="s">
        <v>266</v>
      </c>
      <c r="B55" s="5">
        <v>45747</v>
      </c>
      <c r="C55" s="5">
        <v>45747</v>
      </c>
      <c r="D55" s="6">
        <f>IF(AND(C55&lt;&gt;"",B55&lt;&gt;""), C55-B55, "Missing Date")</f>
        <v>0</v>
      </c>
      <c r="E55" s="6" t="str">
        <f>IF(OR(B55="",C55=""), "Missing Date",
    IF(C55&lt;B55, "Invalid: Ship before Order",
      "OK"))</f>
        <v>OK</v>
      </c>
      <c r="F55" t="s">
        <v>267</v>
      </c>
      <c r="G55" t="s">
        <v>264</v>
      </c>
      <c r="H55" t="s">
        <v>95</v>
      </c>
      <c r="I55" t="s">
        <v>63</v>
      </c>
      <c r="J55" t="s">
        <v>180</v>
      </c>
      <c r="K55" t="s">
        <v>181</v>
      </c>
      <c r="L55" t="s">
        <v>28</v>
      </c>
      <c r="M55" t="s">
        <v>124</v>
      </c>
      <c r="N55" t="s">
        <v>268</v>
      </c>
      <c r="O55" t="s">
        <v>50</v>
      </c>
      <c r="P55">
        <v>5</v>
      </c>
      <c r="Q55">
        <v>1207.47</v>
      </c>
      <c r="R55">
        <v>0.15</v>
      </c>
      <c r="S55">
        <v>5131.75</v>
      </c>
      <c r="T55">
        <v>2838.68</v>
      </c>
      <c r="U55">
        <v>2293.0700000000002</v>
      </c>
      <c r="V55" t="s">
        <v>32</v>
      </c>
      <c r="W55" t="s">
        <v>33</v>
      </c>
      <c r="X55" t="str">
        <f>_xlfn.TEXTJOIN("|", TRUE, A55:W55)</f>
        <v>ORD-2025-10054|45747|45747|0|OK|CUST-7195|Kabir Singh|Home Office|West|Gujarat|Ahmedabad|Office Supplies|Storage|Elite Storage 924|First Class|5|1207.47|0.15|5131.75|2838.68|2293.07|Paid|Completed</v>
      </c>
      <c r="Y55">
        <f>COUNTIF($X$2:$X$1000, X55)</f>
        <v>1</v>
      </c>
      <c r="Z55">
        <f>COUNTIF($A$2:$A$1000, A55)</f>
        <v>1</v>
      </c>
      <c r="AA55" t="str">
        <f>IF(Y55&gt;1, "Exact Duplicate",
  IF(Z55&gt;1, "Conflicting Duplicate - Review",
    "Unique"))</f>
        <v>Unique</v>
      </c>
      <c r="AB55" s="2">
        <f>IF(ISBLANK(R55), 0, IF(ISTEXT(R55), VALUE(SUBSTITUTE(R55, "%", ""))/100, IF(OR(R55&lt;0, R55&gt;1), "Invalid", R55)))</f>
        <v>0.15</v>
      </c>
      <c r="AC55" s="4">
        <f>IF(AB55="Invalid", "Error", P55 * Q55 * (1 - AB55))</f>
        <v>5131.7475000000004</v>
      </c>
      <c r="AD55" s="4">
        <f>IF(AC55="Error", "Error", AC55 - T55)</f>
        <v>2293.0675000000006</v>
      </c>
      <c r="AE55" s="2">
        <f>IF(AC55="Error", "Error", IF(AC55=0, 0, AD55 / AC55))</f>
        <v>0.44683950252813498</v>
      </c>
      <c r="AF55" s="7">
        <f>C55-B55</f>
        <v>0</v>
      </c>
      <c r="AG55" s="2" t="str">
        <f>TEXT(B55, "mmmm")</f>
        <v>March</v>
      </c>
      <c r="AH55" s="4">
        <f>YEAR(B55)</f>
        <v>2025</v>
      </c>
      <c r="AI55" s="2" t="str">
        <f t="shared" si="12"/>
        <v>Clean</v>
      </c>
      <c r="AJ55">
        <f>COUNTIFS($A$2:$A$1000,A55,$B$2:$B$1000,B55,$C$2:$C$1000,C55,$D$2:$D$1000,D55,$E$2:$E$1000,E55,$F$2:$F$1000,F55)</f>
        <v>1</v>
      </c>
      <c r="AK55">
        <f>COUNTIF($A$2:$A$1000, A55)</f>
        <v>1</v>
      </c>
    </row>
    <row r="56" spans="1:37">
      <c r="A56" t="s">
        <v>269</v>
      </c>
      <c r="B56" s="5">
        <v>45807</v>
      </c>
      <c r="C56" s="5">
        <v>45810</v>
      </c>
      <c r="D56" s="6">
        <f>IF(AND(C56&lt;&gt;"",B56&lt;&gt;""), C56-B56, "Missing Date")</f>
        <v>3</v>
      </c>
      <c r="E56" s="6" t="str">
        <f>IF(OR(B56="",C56=""), "Missing Date",
    IF(C56&lt;B56, "Invalid: Ship before Order",
      "OK"))</f>
        <v>OK</v>
      </c>
      <c r="F56" t="s">
        <v>270</v>
      </c>
      <c r="G56" t="s">
        <v>53</v>
      </c>
      <c r="H56" t="s">
        <v>90</v>
      </c>
      <c r="I56" t="s">
        <v>54</v>
      </c>
      <c r="J56" t="s">
        <v>247</v>
      </c>
      <c r="K56" t="s">
        <v>248</v>
      </c>
      <c r="L56" t="s">
        <v>28</v>
      </c>
      <c r="M56" t="s">
        <v>91</v>
      </c>
      <c r="N56" t="s">
        <v>271</v>
      </c>
      <c r="O56" t="s">
        <v>44</v>
      </c>
      <c r="P56">
        <v>8</v>
      </c>
      <c r="Q56">
        <v>474.37</v>
      </c>
      <c r="R56">
        <v>0.1</v>
      </c>
      <c r="S56">
        <v>3415.46</v>
      </c>
      <c r="T56">
        <v>1993.23</v>
      </c>
      <c r="U56">
        <v>1422.23</v>
      </c>
      <c r="V56" t="s">
        <v>155</v>
      </c>
      <c r="W56" t="s">
        <v>68</v>
      </c>
      <c r="X56" t="str">
        <f>_xlfn.TEXTJOIN("|", TRUE, A56:W56)</f>
        <v>ORD-2025-10055|45807|45810|3|OK|CUST-9039|Arjun Bose|Corporate|South|Tamil Nadu|Chennai|Office Supplies|Labels|Pro Labels 957|Same Day|8|474.37|0.1|3415.46|1993.23|1422.23|Failed|Cancelled</v>
      </c>
      <c r="Y56">
        <f>COUNTIF($X$2:$X$1000, X56)</f>
        <v>1</v>
      </c>
      <c r="Z56">
        <f>COUNTIF($A$2:$A$1000, A56)</f>
        <v>1</v>
      </c>
      <c r="AA56" t="str">
        <f>IF(Y56&gt;1, "Exact Duplicate",
  IF(Z56&gt;1, "Conflicting Duplicate - Review",
    "Unique"))</f>
        <v>Unique</v>
      </c>
      <c r="AB56" s="2">
        <f>IF(ISBLANK(R56), 0, IF(ISTEXT(R56), VALUE(SUBSTITUTE(R56, "%", ""))/100, IF(OR(R56&lt;0, R56&gt;1), "Invalid", R56)))</f>
        <v>0.1</v>
      </c>
      <c r="AC56" s="4">
        <f>IF(AB56="Invalid", "Error", P56 * Q56 * (1 - AB56))</f>
        <v>3415.4639999999999</v>
      </c>
      <c r="AD56" s="4">
        <f>IF(AC56="Error", "Error", AC56 - T56)</f>
        <v>1422.2339999999999</v>
      </c>
      <c r="AE56" s="2">
        <f>IF(AC56="Error", "Error", IF(AC56=0, 0, AD56 / AC56))</f>
        <v>0.4164101861416194</v>
      </c>
      <c r="AF56" s="7">
        <f>C56-B56</f>
        <v>3</v>
      </c>
      <c r="AG56" s="2" t="str">
        <f>TEXT(B56, "mmmm")</f>
        <v>May</v>
      </c>
      <c r="AH56" s="4">
        <f>YEAR(B56)</f>
        <v>2025</v>
      </c>
      <c r="AI56" s="2" t="str">
        <f t="shared" si="12"/>
        <v>Excluded from Sales</v>
      </c>
      <c r="AJ56">
        <f>COUNTIFS($A$2:$A$1000,A56,$B$2:$B$1000,B56,$C$2:$C$1000,C56,$D$2:$D$1000,D56,$E$2:$E$1000,E56,$F$2:$F$1000,F56)</f>
        <v>1</v>
      </c>
      <c r="AK56">
        <f>COUNTIF($A$2:$A$1000, A56)</f>
        <v>1</v>
      </c>
    </row>
    <row r="57" spans="1:37">
      <c r="A57" t="s">
        <v>272</v>
      </c>
      <c r="B57" s="5">
        <v>45839</v>
      </c>
      <c r="C57" s="5">
        <v>45841</v>
      </c>
      <c r="D57" s="6">
        <f>IF(AND(C57&lt;&gt;"",B57&lt;&gt;""), C57-B57, "Missing Date")</f>
        <v>2</v>
      </c>
      <c r="E57" s="6" t="str">
        <f>IF(OR(B57="",C57=""), "Missing Date",
    IF(C57&lt;B57, "Invalid: Ship before Order",
      "OK"))</f>
        <v>OK</v>
      </c>
      <c r="F57" t="s">
        <v>273</v>
      </c>
      <c r="G57" t="s">
        <v>36</v>
      </c>
      <c r="H57" t="s">
        <v>37</v>
      </c>
      <c r="I57" t="s">
        <v>54</v>
      </c>
      <c r="J57" t="s">
        <v>84</v>
      </c>
      <c r="K57" t="s">
        <v>85</v>
      </c>
      <c r="L57" t="s">
        <v>74</v>
      </c>
      <c r="M57" t="s">
        <v>274</v>
      </c>
      <c r="N57" t="s">
        <v>275</v>
      </c>
      <c r="O57" t="s">
        <v>44</v>
      </c>
      <c r="P57">
        <v>3</v>
      </c>
      <c r="Q57">
        <v>1516.24</v>
      </c>
      <c r="R57">
        <v>0.25</v>
      </c>
      <c r="S57">
        <v>3411.54</v>
      </c>
      <c r="T57">
        <v>2803.13</v>
      </c>
      <c r="U57">
        <v>608.41</v>
      </c>
      <c r="V57" t="s">
        <v>32</v>
      </c>
      <c r="W57" t="s">
        <v>33</v>
      </c>
      <c r="X57" t="str">
        <f>_xlfn.TEXTJOIN("|", TRUE, A57:W57)</f>
        <v>ORD-2025-10056|45839|45841|2|OK|CUST-9821|Mira Das|Small Business|South|Andhra Pradesh|Vijayawada|Technology|Machines|Classic Machines 310|Same Day|3|1516.24|0.25|3411.54|2803.13|608.41|Paid|Completed</v>
      </c>
      <c r="Y57">
        <f>COUNTIF($X$2:$X$1000, X57)</f>
        <v>1</v>
      </c>
      <c r="Z57">
        <f>COUNTIF($A$2:$A$1000, A57)</f>
        <v>1</v>
      </c>
      <c r="AA57" t="str">
        <f>IF(Y57&gt;1, "Exact Duplicate",
  IF(Z57&gt;1, "Conflicting Duplicate - Review",
    "Unique"))</f>
        <v>Unique</v>
      </c>
      <c r="AB57" s="2">
        <f>IF(ISBLANK(R57), 0, IF(ISTEXT(R57), VALUE(SUBSTITUTE(R57, "%", ""))/100, IF(OR(R57&lt;0, R57&gt;1), "Invalid", R57)))</f>
        <v>0.25</v>
      </c>
      <c r="AC57" s="4">
        <f>IF(AB57="Invalid", "Error", P57 * Q57 * (1 - AB57))</f>
        <v>3411.54</v>
      </c>
      <c r="AD57" s="4">
        <f>IF(AC57="Error", "Error", AC57 - T57)</f>
        <v>608.40999999999985</v>
      </c>
      <c r="AE57" s="2">
        <f>IF(AC57="Error", "Error", IF(AC57=0, 0, AD57 / AC57))</f>
        <v>0.17833881472883209</v>
      </c>
      <c r="AF57" s="7">
        <f>C57-B57</f>
        <v>2</v>
      </c>
      <c r="AG57" s="2" t="str">
        <f>TEXT(B57, "mmmm")</f>
        <v>July</v>
      </c>
      <c r="AH57" s="4">
        <f>YEAR(B57)</f>
        <v>2025</v>
      </c>
      <c r="AI57" s="2" t="str">
        <f t="shared" si="12"/>
        <v>Clean</v>
      </c>
      <c r="AJ57">
        <f>COUNTIFS($A$2:$A$1000,A57,$B$2:$B$1000,B57,$C$2:$C$1000,C57,$D$2:$D$1000,D57,$E$2:$E$1000,E57,$F$2:$F$1000,F57)</f>
        <v>1</v>
      </c>
      <c r="AK57">
        <f>COUNTIF($A$2:$A$1000, A57)</f>
        <v>1</v>
      </c>
    </row>
    <row r="58" spans="1:37">
      <c r="A58" t="s">
        <v>276</v>
      </c>
      <c r="B58" s="5">
        <v>45662</v>
      </c>
      <c r="C58" s="5">
        <v>45663</v>
      </c>
      <c r="D58" s="6">
        <f>IF(AND(C58&lt;&gt;"",B58&lt;&gt;""), C58-B58, "Missing Date")</f>
        <v>1</v>
      </c>
      <c r="E58" s="6" t="str">
        <f>IF(OR(B58="",C58=""), "Missing Date",
    IF(C58&lt;B58, "Invalid: Ship before Order",
      "OK"))</f>
        <v>OK</v>
      </c>
      <c r="F58" t="s">
        <v>277</v>
      </c>
      <c r="G58" t="s">
        <v>23</v>
      </c>
      <c r="H58" t="s">
        <v>24</v>
      </c>
      <c r="I58" t="s">
        <v>54</v>
      </c>
      <c r="J58" t="s">
        <v>175</v>
      </c>
      <c r="K58" t="s">
        <v>176</v>
      </c>
      <c r="L58" t="s">
        <v>28</v>
      </c>
      <c r="M58" t="s">
        <v>153</v>
      </c>
      <c r="N58" t="s">
        <v>278</v>
      </c>
      <c r="O58" t="s">
        <v>31</v>
      </c>
      <c r="P58">
        <v>3</v>
      </c>
      <c r="Q58">
        <v>3155.61</v>
      </c>
      <c r="R58">
        <v>0</v>
      </c>
      <c r="S58">
        <v>9466.83</v>
      </c>
      <c r="T58">
        <v>6557.83</v>
      </c>
      <c r="U58">
        <v>2909</v>
      </c>
      <c r="V58" t="s">
        <v>102</v>
      </c>
      <c r="W58" t="s">
        <v>68</v>
      </c>
      <c r="X58" t="str">
        <f>_xlfn.TEXTJOIN("|", TRUE, A58:W58)</f>
        <v>ORD-2025-10057|45662|45663|1|OK|CUST-8701|Karan Malhotra|Consumer|South|Karnataka|Bengaluru|Office Supplies|Binders|Smart Binders 393|Second Class|3|3155.61|0|9466.83|6557.83|2909|Refunded|Cancelled</v>
      </c>
      <c r="Y58">
        <f>COUNTIF($X$2:$X$1000, X58)</f>
        <v>1</v>
      </c>
      <c r="Z58">
        <f>COUNTIF($A$2:$A$1000, A58)</f>
        <v>1</v>
      </c>
      <c r="AA58" t="str">
        <f>IF(Y58&gt;1, "Exact Duplicate",
  IF(Z58&gt;1, "Conflicting Duplicate - Review",
    "Unique"))</f>
        <v>Unique</v>
      </c>
      <c r="AB58" s="2">
        <f>IF(ISBLANK(R58), 0, IF(ISTEXT(R58), VALUE(SUBSTITUTE(R58, "%", ""))/100, IF(OR(R58&lt;0, R58&gt;1), "Invalid", R58)))</f>
        <v>0</v>
      </c>
      <c r="AC58" s="4">
        <f>IF(AB58="Invalid", "Error", P58 * Q58 * (1 - AB58))</f>
        <v>9466.83</v>
      </c>
      <c r="AD58" s="4">
        <f>IF(AC58="Error", "Error", AC58 - T58)</f>
        <v>2909</v>
      </c>
      <c r="AE58" s="2">
        <f>IF(AC58="Error", "Error", IF(AC58=0, 0, AD58 / AC58))</f>
        <v>0.30728343067320318</v>
      </c>
      <c r="AF58" s="7">
        <f>C58-B58</f>
        <v>1</v>
      </c>
      <c r="AG58" s="2" t="str">
        <f>TEXT(B58, "mmmm")</f>
        <v>January</v>
      </c>
      <c r="AH58" s="4">
        <f>YEAR(B58)</f>
        <v>2025</v>
      </c>
      <c r="AI58" s="2" t="str">
        <f t="shared" si="12"/>
        <v>Excluded from Sales</v>
      </c>
      <c r="AJ58">
        <f>COUNTIFS($A$2:$A$1000,A58,$B$2:$B$1000,B58,$C$2:$C$1000,C58,$D$2:$D$1000,D58,$E$2:$E$1000,E58,$F$2:$F$1000,F58)</f>
        <v>1</v>
      </c>
      <c r="AK58">
        <f>COUNTIF($A$2:$A$1000, A58)</f>
        <v>1</v>
      </c>
    </row>
    <row r="59" spans="1:37">
      <c r="A59" t="s">
        <v>279</v>
      </c>
      <c r="B59" s="5">
        <v>45329</v>
      </c>
      <c r="C59" s="5">
        <v>45337</v>
      </c>
      <c r="D59" s="6">
        <f>IF(AND(C59&lt;&gt;"",B59&lt;&gt;""), C59-B59, "Missing Date")</f>
        <v>8</v>
      </c>
      <c r="E59" s="6" t="str">
        <f>IF(OR(B59="",C59=""), "Missing Date",
    IF(C59&lt;B59, "Invalid: Ship before Order",
      "OK"))</f>
        <v>OK</v>
      </c>
      <c r="F59" t="s">
        <v>280</v>
      </c>
      <c r="G59" t="s">
        <v>114</v>
      </c>
      <c r="H59" t="s">
        <v>24</v>
      </c>
      <c r="I59" t="s">
        <v>63</v>
      </c>
      <c r="J59" t="s">
        <v>190</v>
      </c>
      <c r="K59" t="s">
        <v>191</v>
      </c>
      <c r="L59" t="s">
        <v>41</v>
      </c>
      <c r="M59" t="s">
        <v>66</v>
      </c>
      <c r="N59" t="s">
        <v>281</v>
      </c>
      <c r="O59" t="s">
        <v>44</v>
      </c>
      <c r="P59">
        <v>5</v>
      </c>
      <c r="Q59">
        <v>255.87</v>
      </c>
      <c r="R59">
        <v>0</v>
      </c>
      <c r="S59">
        <v>1279.3499999999999</v>
      </c>
      <c r="T59">
        <v>1091.54</v>
      </c>
      <c r="U59">
        <v>187.81</v>
      </c>
      <c r="V59" t="s">
        <v>32</v>
      </c>
      <c r="W59" t="s">
        <v>33</v>
      </c>
      <c r="X59" t="str">
        <f>_xlfn.TEXTJOIN("|", TRUE, A59:W59)</f>
        <v>ORD-2024-10058|45329|45337|8|OK|CUST-9941|Priya Menon|Consumer|West|Goa|Panaji|Furniture|Chairs|Max Chairs 813|Same Day|5|255.87|0|1279.35|1091.54|187.81|Paid|Completed</v>
      </c>
      <c r="Y59">
        <f>COUNTIF($X$2:$X$1000, X59)</f>
        <v>1</v>
      </c>
      <c r="Z59">
        <f>COUNTIF($A$2:$A$1000, A59)</f>
        <v>1</v>
      </c>
      <c r="AA59" t="str">
        <f>IF(Y59&gt;1, "Exact Duplicate",
  IF(Z59&gt;1, "Conflicting Duplicate - Review",
    "Unique"))</f>
        <v>Unique</v>
      </c>
      <c r="AB59" s="2">
        <f>IF(ISBLANK(R59), 0, IF(ISTEXT(R59), VALUE(SUBSTITUTE(R59, "%", ""))/100, IF(OR(R59&lt;0, R59&gt;1), "Invalid", R59)))</f>
        <v>0</v>
      </c>
      <c r="AC59" s="4">
        <f>IF(AB59="Invalid", "Error", P59 * Q59 * (1 - AB59))</f>
        <v>1279.3499999999999</v>
      </c>
      <c r="AD59" s="4">
        <f>IF(AC59="Error", "Error", AC59 - T59)</f>
        <v>187.80999999999995</v>
      </c>
      <c r="AE59" s="2">
        <f>IF(AC59="Error", "Error", IF(AC59=0, 0, AD59 / AC59))</f>
        <v>0.14680110993864068</v>
      </c>
      <c r="AF59" s="7">
        <f>C59-B59</f>
        <v>8</v>
      </c>
      <c r="AG59" s="2" t="str">
        <f>TEXT(B59, "mmmm")</f>
        <v>February</v>
      </c>
      <c r="AH59" s="4">
        <f>YEAR(B59)</f>
        <v>2024</v>
      </c>
      <c r="AI59" s="2" t="str">
        <f t="shared" si="12"/>
        <v>Clean</v>
      </c>
      <c r="AJ59">
        <f>COUNTIFS($A$2:$A$1000,A59,$B$2:$B$1000,B59,$C$2:$C$1000,C59,$D$2:$D$1000,D59,$E$2:$E$1000,E59,$F$2:$F$1000,F59)</f>
        <v>1</v>
      </c>
      <c r="AK59">
        <f>COUNTIF($A$2:$A$1000, A59)</f>
        <v>1</v>
      </c>
    </row>
    <row r="60" spans="1:37">
      <c r="A60" t="s">
        <v>282</v>
      </c>
      <c r="B60" s="5">
        <v>45536</v>
      </c>
      <c r="C60" s="5">
        <v>45542</v>
      </c>
      <c r="D60" s="6">
        <f>IF(AND(C60&lt;&gt;"",B60&lt;&gt;""), C60-B60, "Missing Date")</f>
        <v>6</v>
      </c>
      <c r="E60" s="6" t="str">
        <f>IF(OR(B60="",C60=""), "Missing Date",
    IF(C60&lt;B60, "Invalid: Ship before Order",
      "OK"))</f>
        <v>OK</v>
      </c>
      <c r="F60" t="s">
        <v>283</v>
      </c>
      <c r="G60" t="s">
        <v>47</v>
      </c>
      <c r="H60" t="s">
        <v>95</v>
      </c>
      <c r="I60" t="s">
        <v>25</v>
      </c>
      <c r="J60" t="s">
        <v>26</v>
      </c>
      <c r="K60" t="s">
        <v>27</v>
      </c>
      <c r="L60" t="s">
        <v>28</v>
      </c>
      <c r="M60" t="s">
        <v>124</v>
      </c>
      <c r="N60" t="s">
        <v>284</v>
      </c>
      <c r="O60" t="s">
        <v>2762</v>
      </c>
      <c r="P60">
        <v>9</v>
      </c>
      <c r="Q60">
        <v>1389.48</v>
      </c>
      <c r="R60">
        <v>0.1</v>
      </c>
      <c r="S60">
        <v>11254.79</v>
      </c>
      <c r="T60">
        <v>6578.06</v>
      </c>
      <c r="U60">
        <v>4676.7299999999996</v>
      </c>
      <c r="V60" t="s">
        <v>111</v>
      </c>
      <c r="W60" t="s">
        <v>103</v>
      </c>
      <c r="X60" t="str">
        <f>_xlfn.TEXTJOIN("|", TRUE, A60:W60)</f>
        <v>ORD-2024-10059|45536|45542|6|OK|CUST-3983|Isha Nair|Home Office|North|Rajasthan|Jaipur|Office Supplies|Storage|Basic Storage 872|Unknown|9|1389.48|0.1|11254.79|6578.06|4676.73|Pending|Returned</v>
      </c>
      <c r="Y60">
        <f>COUNTIF($X$2:$X$1000, X60)</f>
        <v>1</v>
      </c>
      <c r="Z60">
        <f>COUNTIF($A$2:$A$1000, A60)</f>
        <v>1</v>
      </c>
      <c r="AA60" t="str">
        <f>IF(Y60&gt;1, "Exact Duplicate",
  IF(Z60&gt;1, "Conflicting Duplicate - Review",
    "Unique"))</f>
        <v>Unique</v>
      </c>
      <c r="AB60" s="2">
        <f>IF(ISBLANK(R60), 0, IF(ISTEXT(R60), VALUE(SUBSTITUTE(R60, "%", ""))/100, IF(OR(R60&lt;0, R60&gt;1), "Invalid", R60)))</f>
        <v>0.1</v>
      </c>
      <c r="AC60" s="4">
        <f>IF(AB60="Invalid", "Error", P60 * Q60 * (1 - AB60))</f>
        <v>11254.788</v>
      </c>
      <c r="AD60" s="4">
        <f>IF(AC60="Error", "Error", AC60 - T60)</f>
        <v>4676.7280000000001</v>
      </c>
      <c r="AE60" s="2">
        <f>IF(AC60="Error", "Error", IF(AC60=0, 0, AD60 / AC60))</f>
        <v>0.41553230500654476</v>
      </c>
      <c r="AF60" s="7">
        <f>C60-B60</f>
        <v>6</v>
      </c>
      <c r="AG60" s="2" t="str">
        <f>TEXT(B60, "mmmm")</f>
        <v>September</v>
      </c>
      <c r="AH60" s="4">
        <f>YEAR(B60)</f>
        <v>2024</v>
      </c>
      <c r="AI60" s="2" t="str">
        <f t="shared" si="12"/>
        <v>Warning: Missing Shipping Mode</v>
      </c>
      <c r="AJ60">
        <f>COUNTIFS($A$2:$A$1000,A60,$B$2:$B$1000,B60,$C$2:$C$1000,C60,$D$2:$D$1000,D60,$E$2:$E$1000,E60,$F$2:$F$1000,F60)</f>
        <v>1</v>
      </c>
      <c r="AK60">
        <f>COUNTIF($A$2:$A$1000, A60)</f>
        <v>1</v>
      </c>
    </row>
    <row r="61" spans="1:37">
      <c r="A61" t="s">
        <v>285</v>
      </c>
      <c r="B61" s="5">
        <v>45493</v>
      </c>
      <c r="C61" s="5">
        <v>45498</v>
      </c>
      <c r="D61" s="6">
        <f>IF(AND(C61&lt;&gt;"",B61&lt;&gt;""), C61-B61, "Missing Date")</f>
        <v>5</v>
      </c>
      <c r="E61" s="6" t="str">
        <f>IF(OR(B61="",C61=""), "Missing Date",
    IF(C61&lt;B61, "Invalid: Ship before Order",
      "OK"))</f>
        <v>OK</v>
      </c>
      <c r="F61" t="s">
        <v>286</v>
      </c>
      <c r="G61" t="s">
        <v>114</v>
      </c>
      <c r="H61" t="s">
        <v>90</v>
      </c>
      <c r="I61" t="s">
        <v>38</v>
      </c>
      <c r="J61" t="s">
        <v>166</v>
      </c>
      <c r="K61" t="s">
        <v>167</v>
      </c>
      <c r="L61" t="s">
        <v>28</v>
      </c>
      <c r="M61" t="s">
        <v>91</v>
      </c>
      <c r="N61" t="s">
        <v>287</v>
      </c>
      <c r="O61" t="s">
        <v>44</v>
      </c>
      <c r="P61">
        <v>5</v>
      </c>
      <c r="Q61">
        <v>4133.8500000000004</v>
      </c>
      <c r="R61">
        <v>0.2</v>
      </c>
      <c r="S61">
        <v>16535.400000000001</v>
      </c>
      <c r="T61">
        <v>12990.21</v>
      </c>
      <c r="U61">
        <v>3545.19</v>
      </c>
      <c r="V61" t="s">
        <v>32</v>
      </c>
      <c r="W61" t="s">
        <v>68</v>
      </c>
      <c r="X61" t="str">
        <f>_xlfn.TEXTJOIN("|", TRUE, A61:W61)</f>
        <v>ORD-2024-10060|45493|45498|5|OK|CUST-2418|Priya Menon|Corporate|East|Assam|Guwahati|Office Supplies|Labels|Smart Labels 655|Same Day|5|4133.85|0.2|16535.4|12990.21|3545.19|Paid|Cancelled</v>
      </c>
      <c r="Y61">
        <f>COUNTIF($X$2:$X$1000, X61)</f>
        <v>1</v>
      </c>
      <c r="Z61">
        <f>COUNTIF($A$2:$A$1000, A61)</f>
        <v>1</v>
      </c>
      <c r="AA61" t="str">
        <f>IF(Y61&gt;1, "Exact Duplicate",
  IF(Z61&gt;1, "Conflicting Duplicate - Review",
    "Unique"))</f>
        <v>Unique</v>
      </c>
      <c r="AB61" s="2">
        <f>IF(ISBLANK(R61), 0, IF(ISTEXT(R61), VALUE(SUBSTITUTE(R61, "%", ""))/100, IF(OR(R61&lt;0, R61&gt;1), "Invalid", R61)))</f>
        <v>0.2</v>
      </c>
      <c r="AC61" s="4">
        <f>IF(AB61="Invalid", "Error", P61 * Q61 * (1 - AB61))</f>
        <v>16535.400000000001</v>
      </c>
      <c r="AD61" s="4">
        <f>IF(AC61="Error", "Error", AC61 - T61)</f>
        <v>3545.1900000000023</v>
      </c>
      <c r="AE61" s="2">
        <f>IF(AC61="Error", "Error", IF(AC61=0, 0, AD61 / AC61))</f>
        <v>0.21440001451431487</v>
      </c>
      <c r="AF61" s="7">
        <f>C61-B61</f>
        <v>5</v>
      </c>
      <c r="AG61" s="2" t="str">
        <f>TEXT(B61, "mmmm")</f>
        <v>July</v>
      </c>
      <c r="AH61" s="4">
        <f>YEAR(B61)</f>
        <v>2024</v>
      </c>
      <c r="AI61" s="2" t="str">
        <f t="shared" si="12"/>
        <v>Excluded from Sales</v>
      </c>
      <c r="AJ61">
        <f>COUNTIFS($A$2:$A$1000,A61,$B$2:$B$1000,B61,$C$2:$C$1000,C61,$D$2:$D$1000,D61,$E$2:$E$1000,E61,$F$2:$F$1000,F61)</f>
        <v>1</v>
      </c>
      <c r="AK61">
        <f>COUNTIF($A$2:$A$1000, A61)</f>
        <v>1</v>
      </c>
    </row>
    <row r="62" spans="1:37">
      <c r="A62" t="s">
        <v>288</v>
      </c>
      <c r="B62" s="5">
        <v>45486</v>
      </c>
      <c r="C62" s="5">
        <v>45492</v>
      </c>
      <c r="D62" s="6">
        <f>IF(AND(C62&lt;&gt;"",B62&lt;&gt;""), C62-B62, "Missing Date")</f>
        <v>6</v>
      </c>
      <c r="E62" s="6" t="str">
        <f>IF(OR(B62="",C62=""), "Missing Date",
    IF(C62&lt;B62, "Invalid: Ship before Order",
      "OK"))</f>
        <v>OK</v>
      </c>
      <c r="F62" t="s">
        <v>289</v>
      </c>
      <c r="G62" t="s">
        <v>62</v>
      </c>
      <c r="H62" t="s">
        <v>90</v>
      </c>
      <c r="I62" t="s">
        <v>38</v>
      </c>
      <c r="J62" t="s">
        <v>166</v>
      </c>
      <c r="K62" t="s">
        <v>167</v>
      </c>
      <c r="L62" t="s">
        <v>28</v>
      </c>
      <c r="M62" t="s">
        <v>91</v>
      </c>
      <c r="N62" t="s">
        <v>290</v>
      </c>
      <c r="O62" t="s">
        <v>44</v>
      </c>
      <c r="P62">
        <v>3</v>
      </c>
      <c r="Q62">
        <v>275.76</v>
      </c>
      <c r="R62">
        <v>0.2</v>
      </c>
      <c r="S62">
        <v>661.82</v>
      </c>
      <c r="T62">
        <v>481.47</v>
      </c>
      <c r="U62">
        <v>180.35</v>
      </c>
      <c r="V62" t="s">
        <v>102</v>
      </c>
      <c r="W62" t="s">
        <v>68</v>
      </c>
      <c r="X62" t="str">
        <f>_xlfn.TEXTJOIN("|", TRUE, A62:W62)</f>
        <v>ORD-2024-10061|45486|45492|6|OK|CUST-2892|Ananya Rao|Corporate|East|Assam|Guwahati|Office Supplies|Labels|Eco Labels 210|Same Day|3|275.76|0.2|661.82|481.47|180.35|Refunded|Cancelled</v>
      </c>
      <c r="Y62">
        <f>COUNTIF($X$2:$X$1000, X62)</f>
        <v>1</v>
      </c>
      <c r="Z62">
        <f>COUNTIF($A$2:$A$1000, A62)</f>
        <v>1</v>
      </c>
      <c r="AA62" t="str">
        <f>IF(Y62&gt;1, "Exact Duplicate",
  IF(Z62&gt;1, "Conflicting Duplicate - Review",
    "Unique"))</f>
        <v>Unique</v>
      </c>
      <c r="AB62" s="2">
        <f>IF(ISBLANK(R62), 0, IF(ISTEXT(R62), VALUE(SUBSTITUTE(R62, "%", ""))/100, IF(OR(R62&lt;0, R62&gt;1), "Invalid", R62)))</f>
        <v>0.2</v>
      </c>
      <c r="AC62" s="4">
        <f>IF(AB62="Invalid", "Error", P62 * Q62 * (1 - AB62))</f>
        <v>661.82400000000007</v>
      </c>
      <c r="AD62" s="4">
        <f>IF(AC62="Error", "Error", AC62 - T62)</f>
        <v>180.35400000000004</v>
      </c>
      <c r="AE62" s="2">
        <f>IF(AC62="Error", "Error", IF(AC62=0, 0, AD62 / AC62))</f>
        <v>0.27251051639106472</v>
      </c>
      <c r="AF62" s="7">
        <f>C62-B62</f>
        <v>6</v>
      </c>
      <c r="AG62" s="2" t="str">
        <f>TEXT(B62, "mmmm")</f>
        <v>July</v>
      </c>
      <c r="AH62" s="4">
        <f>YEAR(B62)</f>
        <v>2024</v>
      </c>
      <c r="AI62" s="2" t="str">
        <f t="shared" si="12"/>
        <v>Excluded from Sales</v>
      </c>
      <c r="AJ62">
        <f>COUNTIFS($A$2:$A$1000,A62,$B$2:$B$1000,B62,$C$2:$C$1000,C62,$D$2:$D$1000,D62,$E$2:$E$1000,E62,$F$2:$F$1000,F62)</f>
        <v>1</v>
      </c>
      <c r="AK62">
        <f>COUNTIF($A$2:$A$1000, A62)</f>
        <v>1</v>
      </c>
    </row>
    <row r="63" spans="1:37">
      <c r="A63" t="s">
        <v>291</v>
      </c>
      <c r="B63" s="5">
        <v>45398</v>
      </c>
      <c r="C63" s="5">
        <v>45398</v>
      </c>
      <c r="D63" s="6">
        <f>IF(AND(C63&lt;&gt;"",B63&lt;&gt;""), C63-B63, "Missing Date")</f>
        <v>0</v>
      </c>
      <c r="E63" s="6" t="str">
        <f>IF(OR(B63="",C63=""), "Missing Date",
    IF(C63&lt;B63, "Invalid: Ship before Order",
      "OK"))</f>
        <v>OK</v>
      </c>
      <c r="F63" t="s">
        <v>292</v>
      </c>
      <c r="G63" t="s">
        <v>71</v>
      </c>
      <c r="H63" t="s">
        <v>95</v>
      </c>
      <c r="I63" t="s">
        <v>38</v>
      </c>
      <c r="J63" t="s">
        <v>145</v>
      </c>
      <c r="K63" t="s">
        <v>146</v>
      </c>
      <c r="L63" t="s">
        <v>41</v>
      </c>
      <c r="M63" t="s">
        <v>158</v>
      </c>
      <c r="N63" t="s">
        <v>293</v>
      </c>
      <c r="O63" t="s">
        <v>59</v>
      </c>
      <c r="P63">
        <v>1</v>
      </c>
      <c r="Q63">
        <v>949.59</v>
      </c>
      <c r="R63">
        <v>0</v>
      </c>
      <c r="S63">
        <v>949.59</v>
      </c>
      <c r="T63">
        <v>751.25</v>
      </c>
      <c r="U63">
        <v>198.34</v>
      </c>
      <c r="V63" t="s">
        <v>32</v>
      </c>
      <c r="W63" t="s">
        <v>33</v>
      </c>
      <c r="X63" t="str">
        <f>_xlfn.TEXTJOIN("|", TRUE, A63:W63)</f>
        <v>ORD-2024-10062|45398|45398|0|OK|CUST-7008|Vikram Iyer|Home Office|East|Bihar|Patna|Furniture|Bookcases|Classic Bookcases 296|Standard Class|1|949.59|0|949.59|751.25|198.34|Paid|Completed</v>
      </c>
      <c r="Y63">
        <f>COUNTIF($X$2:$X$1000, X63)</f>
        <v>1</v>
      </c>
      <c r="Z63">
        <f>COUNTIF($A$2:$A$1000, A63)</f>
        <v>1</v>
      </c>
      <c r="AA63" t="str">
        <f>IF(Y63&gt;1, "Exact Duplicate",
  IF(Z63&gt;1, "Conflicting Duplicate - Review",
    "Unique"))</f>
        <v>Unique</v>
      </c>
      <c r="AB63" s="2">
        <f>IF(ISBLANK(R63), 0, IF(ISTEXT(R63), VALUE(SUBSTITUTE(R63, "%", ""))/100, IF(OR(R63&lt;0, R63&gt;1), "Invalid", R63)))</f>
        <v>0</v>
      </c>
      <c r="AC63" s="4">
        <f>IF(AB63="Invalid", "Error", P63 * Q63 * (1 - AB63))</f>
        <v>949.59</v>
      </c>
      <c r="AD63" s="4">
        <f>IF(AC63="Error", "Error", AC63 - T63)</f>
        <v>198.34000000000003</v>
      </c>
      <c r="AE63" s="2">
        <f>IF(AC63="Error", "Error", IF(AC63=0, 0, AD63 / AC63))</f>
        <v>0.20886909087079689</v>
      </c>
      <c r="AF63" s="7">
        <f>C63-B63</f>
        <v>0</v>
      </c>
      <c r="AG63" s="2" t="str">
        <f>TEXT(B63, "mmmm")</f>
        <v>April</v>
      </c>
      <c r="AH63" s="4">
        <f>YEAR(B63)</f>
        <v>2024</v>
      </c>
      <c r="AI63" s="2" t="str">
        <f t="shared" si="12"/>
        <v>Clean</v>
      </c>
      <c r="AJ63">
        <f>COUNTIFS($A$2:$A$1000,A63,$B$2:$B$1000,B63,$C$2:$C$1000,C63,$D$2:$D$1000,D63,$E$2:$E$1000,E63,$F$2:$F$1000,F63)</f>
        <v>1</v>
      </c>
      <c r="AK63">
        <f>COUNTIF($A$2:$A$1000, A63)</f>
        <v>1</v>
      </c>
    </row>
    <row r="64" spans="1:37">
      <c r="A64" t="s">
        <v>294</v>
      </c>
      <c r="B64" s="5">
        <v>45595</v>
      </c>
      <c r="C64" s="5">
        <v>45598</v>
      </c>
      <c r="D64" s="6">
        <f>IF(AND(C64&lt;&gt;"",B64&lt;&gt;""), C64-B64, "Missing Date")</f>
        <v>3</v>
      </c>
      <c r="E64" s="6" t="str">
        <f>IF(OR(B64="",C64=""), "Missing Date",
    IF(C64&lt;B64, "Invalid: Ship before Order",
      "OK"))</f>
        <v>OK</v>
      </c>
      <c r="F64" t="s">
        <v>295</v>
      </c>
      <c r="G64" t="s">
        <v>132</v>
      </c>
      <c r="H64" t="s">
        <v>95</v>
      </c>
      <c r="I64" t="s">
        <v>25</v>
      </c>
      <c r="J64" t="s">
        <v>26</v>
      </c>
      <c r="K64" t="s">
        <v>27</v>
      </c>
      <c r="L64" t="s">
        <v>74</v>
      </c>
      <c r="M64" t="s">
        <v>171</v>
      </c>
      <c r="N64" t="s">
        <v>296</v>
      </c>
      <c r="O64" t="s">
        <v>59</v>
      </c>
      <c r="P64">
        <v>9</v>
      </c>
      <c r="Q64">
        <v>3042.29</v>
      </c>
      <c r="R64">
        <v>0.2</v>
      </c>
      <c r="S64">
        <v>21904.49</v>
      </c>
      <c r="T64">
        <v>13570.55</v>
      </c>
      <c r="U64">
        <v>8333.94</v>
      </c>
      <c r="V64" t="s">
        <v>32</v>
      </c>
      <c r="W64" t="s">
        <v>33</v>
      </c>
      <c r="X64" t="str">
        <f>_xlfn.TEXTJOIN("|", TRUE, A64:W64)</f>
        <v>ORD-2024-10063|45595|45598|3|OK|CUST-4900|Sneha Kapoor|Home Office|North|Rajasthan|Jaipur|Technology|Phones|Basic Phones 230|Standard Class|9|3042.29|0.2|21904.49|13570.55|8333.94|Paid|Completed</v>
      </c>
      <c r="Y64">
        <f>COUNTIF($X$2:$X$1000, X64)</f>
        <v>1</v>
      </c>
      <c r="Z64">
        <f>COUNTIF($A$2:$A$1000, A64)</f>
        <v>1</v>
      </c>
      <c r="AA64" t="str">
        <f>IF(Y64&gt;1, "Exact Duplicate",
  IF(Z64&gt;1, "Conflicting Duplicate - Review",
    "Unique"))</f>
        <v>Unique</v>
      </c>
      <c r="AB64" s="2">
        <f>IF(ISBLANK(R64), 0, IF(ISTEXT(R64), VALUE(SUBSTITUTE(R64, "%", ""))/100, IF(OR(R64&lt;0, R64&gt;1), "Invalid", R64)))</f>
        <v>0.2</v>
      </c>
      <c r="AC64" s="4">
        <f>IF(AB64="Invalid", "Error", P64 * Q64 * (1 - AB64))</f>
        <v>21904.488000000001</v>
      </c>
      <c r="AD64" s="4">
        <f>IF(AC64="Error", "Error", AC64 - T64)</f>
        <v>8333.9380000000019</v>
      </c>
      <c r="AE64" s="2">
        <f>IF(AC64="Error", "Error", IF(AC64=0, 0, AD64 / AC64))</f>
        <v>0.38046714445003244</v>
      </c>
      <c r="AF64" s="7">
        <f>C64-B64</f>
        <v>3</v>
      </c>
      <c r="AG64" s="2" t="str">
        <f>TEXT(B64, "mmmm")</f>
        <v>October</v>
      </c>
      <c r="AH64" s="4">
        <f>YEAR(B64)</f>
        <v>2024</v>
      </c>
      <c r="AI64" s="2" t="str">
        <f t="shared" si="12"/>
        <v>Clean</v>
      </c>
      <c r="AJ64">
        <f>COUNTIFS($A$2:$A$1000,A64,$B$2:$B$1000,B64,$C$2:$C$1000,C64,$D$2:$D$1000,D64,$E$2:$E$1000,E64,$F$2:$F$1000,F64)</f>
        <v>1</v>
      </c>
      <c r="AK64">
        <f>COUNTIF($A$2:$A$1000, A64)</f>
        <v>1</v>
      </c>
    </row>
    <row r="65" spans="1:37">
      <c r="A65" t="s">
        <v>297</v>
      </c>
      <c r="B65" s="5">
        <v>45316</v>
      </c>
      <c r="C65" s="5">
        <v>45323</v>
      </c>
      <c r="D65" s="6">
        <f>IF(AND(C65&lt;&gt;"",B65&lt;&gt;""), C65-B65, "Missing Date")</f>
        <v>7</v>
      </c>
      <c r="E65" s="6" t="str">
        <f>IF(OR(B65="",C65=""), "Missing Date",
    IF(C65&lt;B65, "Invalid: Ship before Order",
      "OK"))</f>
        <v>OK</v>
      </c>
      <c r="F65" t="s">
        <v>298</v>
      </c>
      <c r="G65" t="s">
        <v>132</v>
      </c>
      <c r="H65" t="s">
        <v>95</v>
      </c>
      <c r="I65" t="s">
        <v>25</v>
      </c>
      <c r="J65" t="s">
        <v>236</v>
      </c>
      <c r="K65" t="s">
        <v>237</v>
      </c>
      <c r="L65" t="s">
        <v>28</v>
      </c>
      <c r="M65" t="s">
        <v>153</v>
      </c>
      <c r="N65" t="s">
        <v>299</v>
      </c>
      <c r="O65" t="s">
        <v>44</v>
      </c>
      <c r="P65">
        <v>2</v>
      </c>
      <c r="Q65">
        <v>2832.77</v>
      </c>
      <c r="R65">
        <v>0.15</v>
      </c>
      <c r="S65">
        <v>4815.71</v>
      </c>
      <c r="T65">
        <v>3027.75</v>
      </c>
      <c r="U65">
        <v>1917.47</v>
      </c>
      <c r="V65" t="s">
        <v>32</v>
      </c>
      <c r="W65" t="s">
        <v>33</v>
      </c>
      <c r="X65" t="str">
        <f>_xlfn.TEXTJOIN("|", TRUE, A65:W65)</f>
        <v>ORD-2024-10064|45316|45323|7|OK|CUST-5382|Sneha Kapoor|Home Office|North|Haryana|Gurugram|Office Supplies|Binders|Pro Binders 690|Same Day|2|2832.77|0.15|4815.71|3027.75|1917.47|Paid|Completed</v>
      </c>
      <c r="Y65">
        <f>COUNTIF($X$2:$X$1000, X65)</f>
        <v>1</v>
      </c>
      <c r="Z65">
        <f>COUNTIF($A$2:$A$1000, A65)</f>
        <v>1</v>
      </c>
      <c r="AA65" t="str">
        <f>IF(Y65&gt;1, "Exact Duplicate",
  IF(Z65&gt;1, "Conflicting Duplicate - Review",
    "Unique"))</f>
        <v>Unique</v>
      </c>
      <c r="AB65" s="2">
        <f>IF(ISBLANK(R65), 0, IF(ISTEXT(R65), VALUE(SUBSTITUTE(R65, "%", ""))/100, IF(OR(R65&lt;0, R65&gt;1), "Invalid", R65)))</f>
        <v>0.15</v>
      </c>
      <c r="AC65" s="4">
        <f>IF(AB65="Invalid", "Error", P65 * Q65 * (1 - AB65))</f>
        <v>4815.7089999999998</v>
      </c>
      <c r="AD65" s="4">
        <f>IF(AC65="Error", "Error", AC65 - T65)</f>
        <v>1787.9589999999998</v>
      </c>
      <c r="AE65" s="2">
        <f>IF(AC65="Error", "Error", IF(AC65=0, 0, AD65 / AC65))</f>
        <v>0.37127637903369992</v>
      </c>
      <c r="AF65" s="7">
        <f>C65-B65</f>
        <v>7</v>
      </c>
      <c r="AG65" s="2" t="str">
        <f>TEXT(B65, "mmmm")</f>
        <v>January</v>
      </c>
      <c r="AH65" s="4">
        <f>YEAR(B65)</f>
        <v>2024</v>
      </c>
      <c r="AI65" s="2" t="str">
        <f t="shared" si="12"/>
        <v>Clean</v>
      </c>
      <c r="AJ65">
        <f>COUNTIFS($A$2:$A$1000,A65,$B$2:$B$1000,B65,$C$2:$C$1000,C65,$D$2:$D$1000,D65,$E$2:$E$1000,E65,$F$2:$F$1000,F65)</f>
        <v>1</v>
      </c>
      <c r="AK65">
        <f>COUNTIF($A$2:$A$1000, A65)</f>
        <v>1</v>
      </c>
    </row>
    <row r="66" spans="1:37">
      <c r="A66" t="s">
        <v>300</v>
      </c>
      <c r="B66" s="5">
        <v>45649</v>
      </c>
      <c r="C66" s="5">
        <v>45655</v>
      </c>
      <c r="D66" s="6">
        <f>IF(AND(C66&lt;&gt;"",B66&lt;&gt;""), C66-B66, "Missing Date")</f>
        <v>6</v>
      </c>
      <c r="E66" s="6" t="str">
        <f>IF(OR(B66="",C66=""), "Missing Date",
    IF(C66&lt;B66, "Invalid: Ship before Order",
      "OK"))</f>
        <v>OK</v>
      </c>
      <c r="F66" t="s">
        <v>301</v>
      </c>
      <c r="G66" t="s">
        <v>128</v>
      </c>
      <c r="H66" t="s">
        <v>90</v>
      </c>
      <c r="I66" t="s">
        <v>38</v>
      </c>
      <c r="J66" t="s">
        <v>228</v>
      </c>
      <c r="K66" t="s">
        <v>229</v>
      </c>
      <c r="L66" t="s">
        <v>28</v>
      </c>
      <c r="M66" t="s">
        <v>29</v>
      </c>
      <c r="N66" t="s">
        <v>302</v>
      </c>
      <c r="O66" t="s">
        <v>50</v>
      </c>
      <c r="P66">
        <v>7</v>
      </c>
      <c r="Q66">
        <v>447.84</v>
      </c>
      <c r="R66">
        <v>0</v>
      </c>
      <c r="S66">
        <v>3134.88</v>
      </c>
      <c r="T66">
        <v>2367.63</v>
      </c>
      <c r="U66">
        <v>767.25</v>
      </c>
      <c r="V66" t="s">
        <v>102</v>
      </c>
      <c r="W66" t="s">
        <v>103</v>
      </c>
      <c r="X66" t="str">
        <f>_xlfn.TEXTJOIN("|", TRUE, A66:W66)</f>
        <v>ORD-2024-10065|45649|45655|6|OK|CUST-2749|Aarav Sharma|Corporate|East|Jharkhand|Ranchi|Office Supplies|Paper|Classic Paper 458|First Class|7|447.84|0|3134.88|2367.63|767.25|Refunded|Returned</v>
      </c>
      <c r="Y66">
        <f>COUNTIF($X$2:$X$1000, X66)</f>
        <v>1</v>
      </c>
      <c r="Z66">
        <f>COUNTIF($A$2:$A$1000, A66)</f>
        <v>1</v>
      </c>
      <c r="AA66" t="str">
        <f>IF(Y66&gt;1, "Exact Duplicate",
  IF(Z66&gt;1, "Conflicting Duplicate - Review",
    "Unique"))</f>
        <v>Unique</v>
      </c>
      <c r="AB66" s="2">
        <f>IF(ISBLANK(R66), 0, IF(ISTEXT(R66), VALUE(SUBSTITUTE(R66, "%", ""))/100, IF(OR(R66&lt;0, R66&gt;1), "Invalid", R66)))</f>
        <v>0</v>
      </c>
      <c r="AC66" s="4">
        <f>IF(AB66="Invalid", "Error", P66 * Q66 * (1 - AB66))</f>
        <v>3134.8799999999997</v>
      </c>
      <c r="AD66" s="4">
        <f>IF(AC66="Error", "Error", AC66 - T66)</f>
        <v>767.24999999999955</v>
      </c>
      <c r="AE66" s="2">
        <f>IF(AC66="Error", "Error", IF(AC66=0, 0, AD66 / AC66))</f>
        <v>0.24474621038125849</v>
      </c>
      <c r="AF66" s="7">
        <f>C66-B66</f>
        <v>6</v>
      </c>
      <c r="AG66" s="2" t="str">
        <f>TEXT(B66, "mmmm")</f>
        <v>December</v>
      </c>
      <c r="AH66" s="4">
        <f>YEAR(B66)</f>
        <v>2024</v>
      </c>
      <c r="AI66" s="2" t="str">
        <f t="shared" si="12"/>
        <v>Clean</v>
      </c>
      <c r="AJ66">
        <f>COUNTIFS($A$2:$A$1000,A66,$B$2:$B$1000,B66,$C$2:$C$1000,C66,$D$2:$D$1000,D66,$E$2:$E$1000,E66,$F$2:$F$1000,F66)</f>
        <v>1</v>
      </c>
      <c r="AK66">
        <f>COUNTIF($A$2:$A$1000, A66)</f>
        <v>1</v>
      </c>
    </row>
    <row r="67" spans="1:37">
      <c r="A67" t="s">
        <v>303</v>
      </c>
      <c r="B67" s="5">
        <v>45404</v>
      </c>
      <c r="C67" s="5">
        <v>45409</v>
      </c>
      <c r="D67" s="6">
        <f>IF(AND(C67&lt;&gt;"",B67&lt;&gt;""), C67-B67, "Missing Date")</f>
        <v>5</v>
      </c>
      <c r="E67" s="6" t="str">
        <f>IF(OR(B67="",C67=""), "Missing Date",
    IF(C67&lt;B67, "Invalid: Ship before Order",
      "OK"))</f>
        <v>OK</v>
      </c>
      <c r="F67" t="s">
        <v>304</v>
      </c>
      <c r="G67" t="s">
        <v>36</v>
      </c>
      <c r="H67" t="s">
        <v>95</v>
      </c>
      <c r="I67" t="s">
        <v>63</v>
      </c>
      <c r="J67" t="s">
        <v>64</v>
      </c>
      <c r="K67" t="s">
        <v>65</v>
      </c>
      <c r="L67" t="s">
        <v>28</v>
      </c>
      <c r="M67" t="s">
        <v>29</v>
      </c>
      <c r="N67" t="s">
        <v>305</v>
      </c>
      <c r="O67" t="s">
        <v>31</v>
      </c>
      <c r="P67">
        <v>1</v>
      </c>
      <c r="Q67">
        <v>4280.1899999999996</v>
      </c>
      <c r="R67">
        <v>0.05</v>
      </c>
      <c r="S67">
        <v>4066.18</v>
      </c>
      <c r="T67">
        <v>2628.92</v>
      </c>
      <c r="U67">
        <v>1437.26</v>
      </c>
      <c r="V67" t="s">
        <v>32</v>
      </c>
      <c r="W67" t="s">
        <v>33</v>
      </c>
      <c r="X67" t="str">
        <f>_xlfn.TEXTJOIN("|", TRUE, A67:W67)</f>
        <v>ORD-2024-10066|45404|45409|5|OK|CUST-2463|Mira Das|Home Office|West|Maharashtra|Mumbai|Office Supplies|Paper|Pro Paper 552|Second Class|1|4280.19|0.05|4066.18|2628.92|1437.26|Paid|Completed</v>
      </c>
      <c r="Y67">
        <f>COUNTIF($X$2:$X$1000, X67)</f>
        <v>1</v>
      </c>
      <c r="Z67">
        <f>COUNTIF($A$2:$A$1000, A67)</f>
        <v>1</v>
      </c>
      <c r="AA67" t="str">
        <f>IF(Y67&gt;1, "Exact Duplicate",
  IF(Z67&gt;1, "Conflicting Duplicate - Review",
    "Unique"))</f>
        <v>Unique</v>
      </c>
      <c r="AB67" s="2">
        <f>IF(ISBLANK(R67), 0, IF(ISTEXT(R67), VALUE(SUBSTITUTE(R67, "%", ""))/100, IF(OR(R67&lt;0, R67&gt;1), "Invalid", R67)))</f>
        <v>0.05</v>
      </c>
      <c r="AC67" s="4">
        <f>IF(AB67="Invalid", "Error", P67 * Q67 * (1 - AB67))</f>
        <v>4066.1804999999995</v>
      </c>
      <c r="AD67" s="4">
        <f>IF(AC67="Error", "Error", AC67 - T67)</f>
        <v>1437.2604999999994</v>
      </c>
      <c r="AE67" s="2">
        <f>IF(AC67="Error", "Error", IF(AC67=0, 0, AD67 / AC67))</f>
        <v>0.35346696980126674</v>
      </c>
      <c r="AF67" s="7">
        <f>C67-B67</f>
        <v>5</v>
      </c>
      <c r="AG67" s="2" t="str">
        <f>TEXT(B67, "mmmm")</f>
        <v>April</v>
      </c>
      <c r="AH67" s="4">
        <f>YEAR(B67)</f>
        <v>2024</v>
      </c>
      <c r="AI67" s="2" t="str">
        <f t="shared" ref="AI67:AI130" si="15">IF(OR(R67&lt;0,R67&gt;1),"Invalid: Discount",
IF(AND(I67="Unknown",J67&lt;&gt;""),"Warning: Missing Region",
IF(W67="Cancelled","Excluded from Sales",
IF(V67="Failed","Excluded from Sales",
IF(O67="Unknown","Warning: Missing Shipping Mode",
IF(W67="Refunded","Refund – Separate Summary",
IF(C67&lt;B67,"Invalid Shipping Record",
"Clean")))))))</f>
        <v>Clean</v>
      </c>
      <c r="AJ67">
        <f>COUNTIFS($A$2:$A$1000,A67,$B$2:$B$1000,B67,$C$2:$C$1000,C67,$D$2:$D$1000,D67,$E$2:$E$1000,E67,$F$2:$F$1000,F67)</f>
        <v>1</v>
      </c>
      <c r="AK67">
        <f>COUNTIF($A$2:$A$1000, A67)</f>
        <v>1</v>
      </c>
    </row>
    <row r="68" spans="1:37">
      <c r="A68" t="s">
        <v>306</v>
      </c>
      <c r="B68" s="5">
        <v>45897</v>
      </c>
      <c r="C68" s="5">
        <v>45901</v>
      </c>
      <c r="D68" s="6">
        <f>IF(AND(C68&lt;&gt;"",B68&lt;&gt;""), C68-B68, "Missing Date")</f>
        <v>4</v>
      </c>
      <c r="E68" s="6" t="str">
        <f>IF(OR(B68="",C68=""), "Missing Date",
    IF(C68&lt;B68, "Invalid: Ship before Order",
      "OK"))</f>
        <v>OK</v>
      </c>
      <c r="F68" t="s">
        <v>307</v>
      </c>
      <c r="G68" t="s">
        <v>23</v>
      </c>
      <c r="H68" t="s">
        <v>37</v>
      </c>
      <c r="I68" t="s">
        <v>54</v>
      </c>
      <c r="J68" t="s">
        <v>247</v>
      </c>
      <c r="K68" t="s">
        <v>248</v>
      </c>
      <c r="L68" t="s">
        <v>74</v>
      </c>
      <c r="M68" t="s">
        <v>75</v>
      </c>
      <c r="N68" t="s">
        <v>308</v>
      </c>
      <c r="O68" t="s">
        <v>44</v>
      </c>
      <c r="P68">
        <v>7</v>
      </c>
      <c r="Q68">
        <v>1057.46</v>
      </c>
      <c r="R68">
        <v>0.05</v>
      </c>
      <c r="S68">
        <v>7032.11</v>
      </c>
      <c r="T68">
        <v>4610.34</v>
      </c>
      <c r="U68">
        <v>2421.77</v>
      </c>
      <c r="V68" t="s">
        <v>32</v>
      </c>
      <c r="W68" t="s">
        <v>33</v>
      </c>
      <c r="X68" t="str">
        <f>_xlfn.TEXTJOIN("|", TRUE, A68:W68)</f>
        <v>ORD-2025-10067|45897|45901|4|OK|CUST-1504|Karan Malhotra|Small Business|South|Tamil Nadu|Chennai|Technology|Accessories|Elite Accessories 187|Same Day|7|1057.46|0.05|7032.11|4610.34|2421.77|Paid|Completed</v>
      </c>
      <c r="Y68">
        <f>COUNTIF($X$2:$X$1000, X68)</f>
        <v>1</v>
      </c>
      <c r="Z68">
        <f>COUNTIF($A$2:$A$1000, A68)</f>
        <v>1</v>
      </c>
      <c r="AA68" t="str">
        <f>IF(Y68&gt;1, "Exact Duplicate",
  IF(Z68&gt;1, "Conflicting Duplicate - Review",
    "Unique"))</f>
        <v>Unique</v>
      </c>
      <c r="AB68" s="2">
        <f>IF(ISBLANK(R68), 0, IF(ISTEXT(R68), VALUE(SUBSTITUTE(R68, "%", ""))/100, IF(OR(R68&lt;0, R68&gt;1), "Invalid", R68)))</f>
        <v>0.05</v>
      </c>
      <c r="AC68" s="4">
        <f>IF(AB68="Invalid", "Error", P68 * Q68 * (1 - AB68))</f>
        <v>7032.1089999999995</v>
      </c>
      <c r="AD68" s="4">
        <f>IF(AC68="Error", "Error", AC68 - T68)</f>
        <v>2421.7689999999993</v>
      </c>
      <c r="AE68" s="2">
        <f>IF(AC68="Error", "Error", IF(AC68=0, 0, AD68 / AC68))</f>
        <v>0.34438729547565311</v>
      </c>
      <c r="AF68" s="7">
        <f>C68-B68</f>
        <v>4</v>
      </c>
      <c r="AG68" s="2" t="str">
        <f>TEXT(B68, "mmmm")</f>
        <v>August</v>
      </c>
      <c r="AH68" s="4">
        <f>YEAR(B68)</f>
        <v>2025</v>
      </c>
      <c r="AI68" s="2" t="str">
        <f t="shared" si="15"/>
        <v>Clean</v>
      </c>
      <c r="AJ68">
        <f>COUNTIFS($A$2:$A$1000,A68,$B$2:$B$1000,B68,$C$2:$C$1000,C68,$D$2:$D$1000,D68,$E$2:$E$1000,E68,$F$2:$F$1000,F68)</f>
        <v>1</v>
      </c>
      <c r="AK68">
        <f>COUNTIF($A$2:$A$1000, A68)</f>
        <v>1</v>
      </c>
    </row>
    <row r="69" spans="1:37">
      <c r="A69" t="s">
        <v>309</v>
      </c>
      <c r="B69" s="5">
        <v>45691</v>
      </c>
      <c r="C69" s="5">
        <v>45695</v>
      </c>
      <c r="D69" s="6">
        <f>IF(AND(C69&lt;&gt;"",B69&lt;&gt;""), C69-B69, "Missing Date")</f>
        <v>4</v>
      </c>
      <c r="E69" s="6" t="str">
        <f>IF(OR(B69="",C69=""), "Missing Date",
    IF(C69&lt;B69, "Invalid: Ship before Order",
      "OK"))</f>
        <v>OK</v>
      </c>
      <c r="F69" t="s">
        <v>310</v>
      </c>
      <c r="G69" t="s">
        <v>264</v>
      </c>
      <c r="H69" t="s">
        <v>24</v>
      </c>
      <c r="I69" t="s">
        <v>25</v>
      </c>
      <c r="J69" t="s">
        <v>236</v>
      </c>
      <c r="K69" t="s">
        <v>237</v>
      </c>
      <c r="L69" t="s">
        <v>28</v>
      </c>
      <c r="M69" t="s">
        <v>29</v>
      </c>
      <c r="N69" t="s">
        <v>311</v>
      </c>
      <c r="O69" t="s">
        <v>50</v>
      </c>
      <c r="P69">
        <v>7</v>
      </c>
      <c r="Q69">
        <v>3609.34</v>
      </c>
      <c r="R69">
        <v>0.05</v>
      </c>
      <c r="S69">
        <v>24002.11</v>
      </c>
      <c r="T69">
        <v>18707.57</v>
      </c>
      <c r="U69">
        <v>5294.54</v>
      </c>
      <c r="V69" t="s">
        <v>32</v>
      </c>
      <c r="W69" t="s">
        <v>33</v>
      </c>
      <c r="X69" t="str">
        <f>_xlfn.TEXTJOIN("|", TRUE, A69:W69)</f>
        <v>ORD-2025-10068|45691|45695|4|OK|CUST-8282|Kabir Singh|Consumer|North|Haryana|Gurugram|Office Supplies|Paper|Eco Paper 922|First Class|7|3609.34|0.05|24002.11|18707.57|5294.54|Paid|Completed</v>
      </c>
      <c r="Y69">
        <f>COUNTIF($X$2:$X$1000, X69)</f>
        <v>1</v>
      </c>
      <c r="Z69">
        <f>COUNTIF($A$2:$A$1000, A69)</f>
        <v>1</v>
      </c>
      <c r="AA69" t="str">
        <f>IF(Y69&gt;1, "Exact Duplicate",
  IF(Z69&gt;1, "Conflicting Duplicate - Review",
    "Unique"))</f>
        <v>Unique</v>
      </c>
      <c r="AB69" s="2">
        <f>IF(ISBLANK(R69), 0, IF(ISTEXT(R69), VALUE(SUBSTITUTE(R69, "%", ""))/100, IF(OR(R69&lt;0, R69&gt;1), "Invalid", R69)))</f>
        <v>0.05</v>
      </c>
      <c r="AC69" s="4">
        <f>IF(AB69="Invalid", "Error", P69 * Q69 * (1 - AB69))</f>
        <v>24002.111000000001</v>
      </c>
      <c r="AD69" s="4">
        <f>IF(AC69="Error", "Error", AC69 - T69)</f>
        <v>5294.5410000000011</v>
      </c>
      <c r="AE69" s="2">
        <f>IF(AC69="Error", "Error", IF(AC69=0, 0, AD69 / AC69))</f>
        <v>0.2205864725815159</v>
      </c>
      <c r="AF69" s="7">
        <f>C69-B69</f>
        <v>4</v>
      </c>
      <c r="AG69" s="2" t="str">
        <f>TEXT(B69, "mmmm")</f>
        <v>February</v>
      </c>
      <c r="AH69" s="4">
        <f>YEAR(B69)</f>
        <v>2025</v>
      </c>
      <c r="AI69" s="2" t="str">
        <f t="shared" si="15"/>
        <v>Clean</v>
      </c>
      <c r="AJ69">
        <f>COUNTIFS($A$2:$A$1000,A69,$B$2:$B$1000,B69,$C$2:$C$1000,C69,$D$2:$D$1000,D69,$E$2:$E$1000,E69,$F$2:$F$1000,F69)</f>
        <v>1</v>
      </c>
      <c r="AK69">
        <f>COUNTIF($A$2:$A$1000, A69)</f>
        <v>1</v>
      </c>
    </row>
    <row r="70" spans="1:37">
      <c r="A70" t="s">
        <v>312</v>
      </c>
      <c r="B70" s="5">
        <v>45576</v>
      </c>
      <c r="C70" s="5">
        <v>45609</v>
      </c>
      <c r="D70" s="6">
        <f>IF(AND(C70&lt;&gt;"",B70&lt;&gt;""), C70-B70, "Missing Date")</f>
        <v>33</v>
      </c>
      <c r="E70" s="6" t="str">
        <f>IF(OR(B70="",C70=""), "Missing Date",
    IF(C70&lt;B70, "Invalid: Ship before Order",
      "OK"))</f>
        <v>OK</v>
      </c>
      <c r="F70" t="s">
        <v>313</v>
      </c>
      <c r="G70" t="s">
        <v>47</v>
      </c>
      <c r="H70" t="s">
        <v>90</v>
      </c>
      <c r="I70" t="s">
        <v>38</v>
      </c>
      <c r="J70" t="s">
        <v>228</v>
      </c>
      <c r="K70" t="s">
        <v>229</v>
      </c>
      <c r="L70" t="s">
        <v>28</v>
      </c>
      <c r="M70" t="s">
        <v>124</v>
      </c>
      <c r="N70" t="s">
        <v>314</v>
      </c>
      <c r="O70" t="s">
        <v>31</v>
      </c>
      <c r="P70">
        <v>9</v>
      </c>
      <c r="Q70">
        <v>2211.12</v>
      </c>
      <c r="R70">
        <v>0</v>
      </c>
      <c r="S70">
        <v>19900.080000000002</v>
      </c>
      <c r="T70">
        <v>10962.66</v>
      </c>
      <c r="U70">
        <v>8937.42</v>
      </c>
      <c r="V70" t="s">
        <v>155</v>
      </c>
      <c r="W70" t="s">
        <v>103</v>
      </c>
      <c r="X70" t="str">
        <f>_xlfn.TEXTJOIN("|", TRUE, A70:W70)</f>
        <v>ORD-2024-10069|45576|45609|33|OK|CUST-6054|Isha Nair|Corporate|East|Jharkhand|Ranchi|Office Supplies|Storage|Pro Storage 975|Second Class|9|2211.12|0|19900.08|10962.66|8937.42|Failed|Returned</v>
      </c>
      <c r="Y70">
        <f>COUNTIF($X$2:$X$1000, X70)</f>
        <v>1</v>
      </c>
      <c r="Z70">
        <f>COUNTIF($A$2:$A$1000, A70)</f>
        <v>1</v>
      </c>
      <c r="AA70" t="str">
        <f>IF(Y70&gt;1, "Exact Duplicate",
  IF(Z70&gt;1, "Conflicting Duplicate - Review",
    "Unique"))</f>
        <v>Unique</v>
      </c>
      <c r="AB70" s="2">
        <f>IF(ISBLANK(R70), 0, IF(ISTEXT(R70), VALUE(SUBSTITUTE(R70, "%", ""))/100, IF(OR(R70&lt;0, R70&gt;1), "Invalid", R70)))</f>
        <v>0</v>
      </c>
      <c r="AC70" s="4">
        <f>IF(AB70="Invalid", "Error", P70 * Q70 * (1 - AB70))</f>
        <v>19900.079999999998</v>
      </c>
      <c r="AD70" s="4">
        <f>IF(AC70="Error", "Error", AC70 - T70)</f>
        <v>8937.4199999999983</v>
      </c>
      <c r="AE70" s="2">
        <f>IF(AC70="Error", "Error", IF(AC70=0, 0, AD70 / AC70))</f>
        <v>0.44911477742803041</v>
      </c>
      <c r="AF70" s="7">
        <f>C70-B70</f>
        <v>33</v>
      </c>
      <c r="AG70" s="2" t="str">
        <f>TEXT(B70, "mmmm")</f>
        <v>October</v>
      </c>
      <c r="AH70" s="4">
        <f>YEAR(B70)</f>
        <v>2024</v>
      </c>
      <c r="AI70" s="2" t="str">
        <f t="shared" si="15"/>
        <v>Excluded from Sales</v>
      </c>
      <c r="AJ70">
        <f>COUNTIFS($A$2:$A$1000,A70,$B$2:$B$1000,B70,$C$2:$C$1000,C70,$D$2:$D$1000,D70,$E$2:$E$1000,E70,$F$2:$F$1000,F70)</f>
        <v>1</v>
      </c>
      <c r="AK70">
        <f>COUNTIF($A$2:$A$1000, A70)</f>
        <v>1</v>
      </c>
    </row>
    <row r="71" spans="1:37">
      <c r="A71" t="s">
        <v>315</v>
      </c>
      <c r="B71" s="5">
        <v>45391</v>
      </c>
      <c r="C71" s="5">
        <v>45396</v>
      </c>
      <c r="D71" s="6">
        <f>IF(AND(C71&lt;&gt;"",B71&lt;&gt;""), C71-B71, "Missing Date")</f>
        <v>5</v>
      </c>
      <c r="E71" s="6" t="str">
        <f>IF(OR(B71="",C71=""), "Missing Date",
    IF(C71&lt;B71, "Invalid: Ship before Order",
      "OK"))</f>
        <v>OK</v>
      </c>
      <c r="F71" t="s">
        <v>316</v>
      </c>
      <c r="G71" t="s">
        <v>79</v>
      </c>
      <c r="H71" t="s">
        <v>37</v>
      </c>
      <c r="I71" t="s">
        <v>63</v>
      </c>
      <c r="J71" t="s">
        <v>180</v>
      </c>
      <c r="K71" t="s">
        <v>181</v>
      </c>
      <c r="L71" t="s">
        <v>74</v>
      </c>
      <c r="M71" t="s">
        <v>274</v>
      </c>
      <c r="N71" t="s">
        <v>317</v>
      </c>
      <c r="O71" t="s">
        <v>44</v>
      </c>
      <c r="P71">
        <v>7</v>
      </c>
      <c r="Q71">
        <v>3417.09</v>
      </c>
      <c r="R71">
        <v>0.1</v>
      </c>
      <c r="S71">
        <v>21527.67</v>
      </c>
      <c r="T71">
        <v>18287.580000000002</v>
      </c>
      <c r="U71">
        <v>3240.09</v>
      </c>
      <c r="V71" t="s">
        <v>102</v>
      </c>
      <c r="W71" t="s">
        <v>103</v>
      </c>
      <c r="X71" t="str">
        <f>_xlfn.TEXTJOIN("|", TRUE, A71:W71)</f>
        <v>ORD-2024-10070|45391|45396|5|OK|CUST-5979|Neha Gupta|Small Business|West|Gujarat|Ahmedabad|Technology|Machines|Prime Machines 782|Same Day|7|3417.09|0.1|21527.67|18287.58|3240.09|Refunded|Returned</v>
      </c>
      <c r="Y71">
        <f>COUNTIF($X$2:$X$1000, X71)</f>
        <v>1</v>
      </c>
      <c r="Z71">
        <f>COUNTIF($A$2:$A$1000, A71)</f>
        <v>1</v>
      </c>
      <c r="AA71" t="str">
        <f>IF(Y71&gt;1, "Exact Duplicate",
  IF(Z71&gt;1, "Conflicting Duplicate - Review",
    "Unique"))</f>
        <v>Unique</v>
      </c>
      <c r="AB71" s="2">
        <f>IF(ISBLANK(R71), 0, IF(ISTEXT(R71), VALUE(SUBSTITUTE(R71, "%", ""))/100, IF(OR(R71&lt;0, R71&gt;1), "Invalid", R71)))</f>
        <v>0.1</v>
      </c>
      <c r="AC71" s="4">
        <f>IF(AB71="Invalid", "Error", P71 * Q71 * (1 - AB71))</f>
        <v>21527.667000000001</v>
      </c>
      <c r="AD71" s="4">
        <f>IF(AC71="Error", "Error", AC71 - T71)</f>
        <v>3240.0869999999995</v>
      </c>
      <c r="AE71" s="2">
        <f>IF(AC71="Error", "Error", IF(AC71=0, 0, AD71 / AC71))</f>
        <v>0.15050804158202555</v>
      </c>
      <c r="AF71" s="7">
        <f>C71-B71</f>
        <v>5</v>
      </c>
      <c r="AG71" s="2" t="str">
        <f>TEXT(B71, "mmmm")</f>
        <v>April</v>
      </c>
      <c r="AH71" s="4">
        <f>YEAR(B71)</f>
        <v>2024</v>
      </c>
      <c r="AI71" s="2" t="str">
        <f t="shared" si="15"/>
        <v>Clean</v>
      </c>
      <c r="AJ71">
        <f>COUNTIFS($A$2:$A$1000,A71,$B$2:$B$1000,B71,$C$2:$C$1000,C71,$D$2:$D$1000,D71,$E$2:$E$1000,E71,$F$2:$F$1000,F71)</f>
        <v>1</v>
      </c>
      <c r="AK71">
        <f>COUNTIF($A$2:$A$1000, A71)</f>
        <v>1</v>
      </c>
    </row>
    <row r="72" spans="1:37">
      <c r="A72" t="s">
        <v>318</v>
      </c>
      <c r="B72" s="5">
        <v>45891</v>
      </c>
      <c r="C72" s="5">
        <v>45896</v>
      </c>
      <c r="D72" s="6">
        <f>IF(AND(C72&lt;&gt;"",B72&lt;&gt;""), C72-B72, "Missing Date")</f>
        <v>5</v>
      </c>
      <c r="E72" s="6" t="str">
        <f>IF(OR(B72="",C72=""), "Missing Date",
    IF(C72&lt;B72, "Invalid: Ship before Order",
      "OK"))</f>
        <v>OK</v>
      </c>
      <c r="F72" t="s">
        <v>319</v>
      </c>
      <c r="G72" t="s">
        <v>23</v>
      </c>
      <c r="H72" t="s">
        <v>90</v>
      </c>
      <c r="I72" t="s">
        <v>54</v>
      </c>
      <c r="J72" t="s">
        <v>84</v>
      </c>
      <c r="K72" t="s">
        <v>85</v>
      </c>
      <c r="L72" t="s">
        <v>74</v>
      </c>
      <c r="M72" t="s">
        <v>171</v>
      </c>
      <c r="N72" t="s">
        <v>320</v>
      </c>
      <c r="O72" t="s">
        <v>50</v>
      </c>
      <c r="P72">
        <v>2</v>
      </c>
      <c r="Q72">
        <v>905.87</v>
      </c>
      <c r="R72">
        <v>0.15</v>
      </c>
      <c r="S72">
        <v>1539.98</v>
      </c>
      <c r="T72">
        <v>1070.2</v>
      </c>
      <c r="U72">
        <v>469.78</v>
      </c>
      <c r="V72" t="s">
        <v>32</v>
      </c>
      <c r="W72" t="s">
        <v>33</v>
      </c>
      <c r="X72" t="str">
        <f>_xlfn.TEXTJOIN("|", TRUE, A72:W72)</f>
        <v>ORD-2025-10071|45891|45896|5|OK|CUST-5582|Karan Malhotra|Corporate|South|Andhra Pradesh|Vijayawada|Technology|Phones|Max Phones 661|First Class|2|905.87|0.15|1539.98|1070.2|469.78|Paid|Completed</v>
      </c>
      <c r="Y72">
        <f>COUNTIF($X$2:$X$1000, X72)</f>
        <v>1</v>
      </c>
      <c r="Z72">
        <f>COUNTIF($A$2:$A$1000, A72)</f>
        <v>1</v>
      </c>
      <c r="AA72" t="str">
        <f>IF(Y72&gt;1, "Exact Duplicate",
  IF(Z72&gt;1, "Conflicting Duplicate - Review",
    "Unique"))</f>
        <v>Unique</v>
      </c>
      <c r="AB72" s="2">
        <f>IF(ISBLANK(R72), 0, IF(ISTEXT(R72), VALUE(SUBSTITUTE(R72, "%", ""))/100, IF(OR(R72&lt;0, R72&gt;1), "Invalid", R72)))</f>
        <v>0.15</v>
      </c>
      <c r="AC72" s="4">
        <f>IF(AB72="Invalid", "Error", P72 * Q72 * (1 - AB72))</f>
        <v>1539.979</v>
      </c>
      <c r="AD72" s="4">
        <f>IF(AC72="Error", "Error", AC72 - T72)</f>
        <v>469.779</v>
      </c>
      <c r="AE72" s="2">
        <f>IF(AC72="Error", "Error", IF(AC72=0, 0, AD72 / AC72))</f>
        <v>0.30505545854846072</v>
      </c>
      <c r="AF72" s="7">
        <f>C72-B72</f>
        <v>5</v>
      </c>
      <c r="AG72" s="2" t="str">
        <f>TEXT(B72, "mmmm")</f>
        <v>August</v>
      </c>
      <c r="AH72" s="4">
        <f>YEAR(B72)</f>
        <v>2025</v>
      </c>
      <c r="AI72" s="2" t="str">
        <f t="shared" si="15"/>
        <v>Clean</v>
      </c>
      <c r="AJ72">
        <f>COUNTIFS($A$2:$A$1000,A72,$B$2:$B$1000,B72,$C$2:$C$1000,C72,$D$2:$D$1000,D72,$E$2:$E$1000,E72,$F$2:$F$1000,F72)</f>
        <v>1</v>
      </c>
      <c r="AK72">
        <f>COUNTIF($A$2:$A$1000, A72)</f>
        <v>1</v>
      </c>
    </row>
    <row r="73" spans="1:37">
      <c r="A73" t="s">
        <v>321</v>
      </c>
      <c r="B73" s="5">
        <v>45763</v>
      </c>
      <c r="C73" s="5">
        <v>45770</v>
      </c>
      <c r="D73" s="6">
        <f>IF(AND(C73&lt;&gt;"",B73&lt;&gt;""), C73-B73, "Missing Date")</f>
        <v>7</v>
      </c>
      <c r="E73" s="6" t="str">
        <f>IF(OR(B73="",C73=""), "Missing Date",
    IF(C73&lt;B73, "Invalid: Ship before Order",
      "OK"))</f>
        <v>OK</v>
      </c>
      <c r="F73" t="s">
        <v>322</v>
      </c>
      <c r="G73" t="s">
        <v>36</v>
      </c>
      <c r="H73" t="s">
        <v>37</v>
      </c>
      <c r="I73" t="s">
        <v>63</v>
      </c>
      <c r="J73" t="s">
        <v>190</v>
      </c>
      <c r="K73" t="s">
        <v>191</v>
      </c>
      <c r="L73" t="s">
        <v>74</v>
      </c>
      <c r="M73" t="s">
        <v>274</v>
      </c>
      <c r="N73" t="s">
        <v>323</v>
      </c>
      <c r="O73" t="s">
        <v>59</v>
      </c>
      <c r="P73">
        <v>6</v>
      </c>
      <c r="Q73">
        <v>2027.32</v>
      </c>
      <c r="R73">
        <v>0.1</v>
      </c>
      <c r="S73">
        <v>10947.53</v>
      </c>
      <c r="T73">
        <v>6447.36</v>
      </c>
      <c r="U73">
        <v>4500.17</v>
      </c>
      <c r="V73" t="s">
        <v>32</v>
      </c>
      <c r="W73" t="s">
        <v>33</v>
      </c>
      <c r="X73" t="str">
        <f>_xlfn.TEXTJOIN("|", TRUE, A73:W73)</f>
        <v>ORD-2025-10072|45763|45770|7|OK|CUST-3308|Mira Das|Small Business|West|Goa|Panaji|Technology|Machines|Elite Machines 836|Standard Class|6|2027.32|0.1|10947.53|6447.36|4500.17|Paid|Completed</v>
      </c>
      <c r="Y73">
        <f>COUNTIF($X$2:$X$1000, X73)</f>
        <v>1</v>
      </c>
      <c r="Z73">
        <f>COUNTIF($A$2:$A$1000, A73)</f>
        <v>1</v>
      </c>
      <c r="AA73" t="str">
        <f>IF(Y73&gt;1, "Exact Duplicate",
  IF(Z73&gt;1, "Conflicting Duplicate - Review",
    "Unique"))</f>
        <v>Unique</v>
      </c>
      <c r="AB73" s="2">
        <f>IF(ISBLANK(R73), 0, IF(ISTEXT(R73), VALUE(SUBSTITUTE(R73, "%", ""))/100, IF(OR(R73&lt;0, R73&gt;1), "Invalid", R73)))</f>
        <v>0.1</v>
      </c>
      <c r="AC73" s="4">
        <f>IF(AB73="Invalid", "Error", P73 * Q73 * (1 - AB73))</f>
        <v>10947.528</v>
      </c>
      <c r="AD73" s="4">
        <f>IF(AC73="Error", "Error", AC73 - T73)</f>
        <v>4500.1680000000006</v>
      </c>
      <c r="AE73" s="2">
        <f>IF(AC73="Error", "Error", IF(AC73=0, 0, AD73 / AC73))</f>
        <v>0.41106704636882413</v>
      </c>
      <c r="AF73" s="7">
        <f>C73-B73</f>
        <v>7</v>
      </c>
      <c r="AG73" s="2" t="str">
        <f>TEXT(B73, "mmmm")</f>
        <v>April</v>
      </c>
      <c r="AH73" s="4">
        <f>YEAR(B73)</f>
        <v>2025</v>
      </c>
      <c r="AI73" s="2" t="str">
        <f t="shared" si="15"/>
        <v>Clean</v>
      </c>
      <c r="AJ73">
        <f>COUNTIFS($A$2:$A$1000,A73,$B$2:$B$1000,B73,$C$2:$C$1000,C73,$D$2:$D$1000,D73,$E$2:$E$1000,E73,$F$2:$F$1000,F73)</f>
        <v>1</v>
      </c>
      <c r="AK73">
        <f>COUNTIF($A$2:$A$1000, A73)</f>
        <v>1</v>
      </c>
    </row>
    <row r="74" spans="1:37">
      <c r="A74" t="s">
        <v>324</v>
      </c>
      <c r="B74" s="5">
        <v>45333</v>
      </c>
      <c r="C74" s="5">
        <v>45329</v>
      </c>
      <c r="D74" s="6">
        <f>IF(AND(C74&lt;&gt;"",B74&lt;&gt;""), C74-B74, "Missing Date")</f>
        <v>-4</v>
      </c>
      <c r="E74" s="6" t="str">
        <f>IF(OR(B74="",C74=""), "Missing Date",
    IF(C74&lt;B74, "Invalid: Ship before Order",
      "OK"))</f>
        <v>Invalid: Ship before Order</v>
      </c>
      <c r="F74" t="s">
        <v>325</v>
      </c>
      <c r="G74" t="s">
        <v>23</v>
      </c>
      <c r="H74" t="s">
        <v>95</v>
      </c>
      <c r="I74" t="s">
        <v>54</v>
      </c>
      <c r="J74" t="s">
        <v>247</v>
      </c>
      <c r="K74" t="s">
        <v>248</v>
      </c>
      <c r="L74" t="s">
        <v>41</v>
      </c>
      <c r="M74" t="s">
        <v>42</v>
      </c>
      <c r="N74" t="s">
        <v>326</v>
      </c>
      <c r="O74" t="s">
        <v>50</v>
      </c>
      <c r="P74">
        <v>7</v>
      </c>
      <c r="Q74">
        <v>2287.4699999999998</v>
      </c>
      <c r="R74">
        <v>0.15</v>
      </c>
      <c r="S74">
        <v>13610.45</v>
      </c>
      <c r="T74">
        <v>10039.049999999999</v>
      </c>
      <c r="U74">
        <v>3571.4</v>
      </c>
      <c r="V74" t="s">
        <v>32</v>
      </c>
      <c r="W74" t="s">
        <v>33</v>
      </c>
      <c r="X74" t="str">
        <f>_xlfn.TEXTJOIN("|", TRUE, A74:W74)</f>
        <v>ORD-2024-10073|45333|45329|-4|Invalid: Ship before Order|CUST-5018|Karan Malhotra|Home Office|South|Tamil Nadu|Chennai|Furniture|Tables|Prime Tables 902|First Class|7|2287.47|0.15|13610.45|10039.05|3571.4|Paid|Completed</v>
      </c>
      <c r="Y74">
        <f>COUNTIF($X$2:$X$1000, X74)</f>
        <v>1</v>
      </c>
      <c r="Z74">
        <f>COUNTIF($A$2:$A$1000, A74)</f>
        <v>1</v>
      </c>
      <c r="AA74" t="str">
        <f>IF(Y74&gt;1, "Exact Duplicate",
  IF(Z74&gt;1, "Conflicting Duplicate - Review",
    "Unique"))</f>
        <v>Unique</v>
      </c>
      <c r="AB74" s="2">
        <f>IF(ISBLANK(R74), 0, IF(ISTEXT(R74), VALUE(SUBSTITUTE(R74, "%", ""))/100, IF(OR(R74&lt;0, R74&gt;1), "Invalid", R74)))</f>
        <v>0.15</v>
      </c>
      <c r="AC74" s="4">
        <f>IF(AB74="Invalid", "Error", P74 * Q74 * (1 - AB74))</f>
        <v>13610.446499999998</v>
      </c>
      <c r="AD74" s="4">
        <f>IF(AC74="Error", "Error", AC74 - T74)</f>
        <v>3571.3964999999989</v>
      </c>
      <c r="AE74" s="2">
        <f>IF(AC74="Error", "Error", IF(AC74=0, 0, AD74 / AC74))</f>
        <v>0.26240112695788487</v>
      </c>
      <c r="AF74" s="7">
        <f>C74-B74</f>
        <v>-4</v>
      </c>
      <c r="AG74" s="2" t="str">
        <f>TEXT(B74, "mmmm")</f>
        <v>February</v>
      </c>
      <c r="AH74" s="4">
        <f>YEAR(B74)</f>
        <v>2024</v>
      </c>
      <c r="AI74" s="2" t="str">
        <f t="shared" si="15"/>
        <v>Invalid Shipping Record</v>
      </c>
      <c r="AJ74">
        <f>COUNTIFS($A$2:$A$1000,A74,$B$2:$B$1000,B74,$C$2:$C$1000,C74,$D$2:$D$1000,D74,$E$2:$E$1000,E74,$F$2:$F$1000,F74)</f>
        <v>1</v>
      </c>
      <c r="AK74">
        <f>COUNTIF($A$2:$A$1000, A74)</f>
        <v>1</v>
      </c>
    </row>
    <row r="75" spans="1:37">
      <c r="A75" t="s">
        <v>327</v>
      </c>
      <c r="B75" s="5">
        <v>45745</v>
      </c>
      <c r="C75" s="5">
        <v>45720</v>
      </c>
      <c r="D75" s="6">
        <f>IF(AND(C75&lt;&gt;"",B75&lt;&gt;""), C75-B75, "Missing Date")</f>
        <v>-25</v>
      </c>
      <c r="E75" s="6" t="str">
        <f>IF(OR(B75="",C75=""), "Missing Date",
    IF(C75&lt;B75, "Invalid: Ship before Order",
      "OK"))</f>
        <v>Invalid: Ship before Order</v>
      </c>
      <c r="F75" t="s">
        <v>328</v>
      </c>
      <c r="G75" t="s">
        <v>132</v>
      </c>
      <c r="H75" t="s">
        <v>90</v>
      </c>
      <c r="I75" t="s">
        <v>38</v>
      </c>
      <c r="J75" t="s">
        <v>99</v>
      </c>
      <c r="K75" t="s">
        <v>100</v>
      </c>
      <c r="L75" t="s">
        <v>41</v>
      </c>
      <c r="M75" t="s">
        <v>158</v>
      </c>
      <c r="N75" t="s">
        <v>329</v>
      </c>
      <c r="O75" t="s">
        <v>50</v>
      </c>
      <c r="P75">
        <v>5</v>
      </c>
      <c r="Q75">
        <v>1425.74</v>
      </c>
      <c r="R75">
        <v>0</v>
      </c>
      <c r="S75">
        <v>7128.7</v>
      </c>
      <c r="T75">
        <v>4382.1499999999996</v>
      </c>
      <c r="U75">
        <v>2746.55</v>
      </c>
      <c r="V75" t="s">
        <v>32</v>
      </c>
      <c r="W75" t="s">
        <v>33</v>
      </c>
      <c r="X75" t="str">
        <f>_xlfn.TEXTJOIN("|", TRUE, A75:W75)</f>
        <v>ORD-2025-10074|45745|45720|-25|Invalid: Ship before Order|CUST-2342|Sneha Kapoor|Corporate|East|West Bengal|Kolkata|Furniture|Bookcases|Smart Bookcases 167|First Class|5|1425.74|0|7128.7|4382.15|2746.55|Paid|Completed</v>
      </c>
      <c r="Y75">
        <f>COUNTIF($X$2:$X$1000, X75)</f>
        <v>1</v>
      </c>
      <c r="Z75">
        <f>COUNTIF($A$2:$A$1000, A75)</f>
        <v>1</v>
      </c>
      <c r="AA75" t="str">
        <f>IF(Y75&gt;1, "Exact Duplicate",
  IF(Z75&gt;1, "Conflicting Duplicate - Review",
    "Unique"))</f>
        <v>Unique</v>
      </c>
      <c r="AB75" s="2">
        <f>IF(ISBLANK(R75), 0, IF(ISTEXT(R75), VALUE(SUBSTITUTE(R75, "%", ""))/100, IF(OR(R75&lt;0, R75&gt;1), "Invalid", R75)))</f>
        <v>0</v>
      </c>
      <c r="AC75" s="4">
        <f>IF(AB75="Invalid", "Error", P75 * Q75 * (1 - AB75))</f>
        <v>7128.7</v>
      </c>
      <c r="AD75" s="4">
        <f>IF(AC75="Error", "Error", AC75 - T75)</f>
        <v>2746.55</v>
      </c>
      <c r="AE75" s="2">
        <f>IF(AC75="Error", "Error", IF(AC75=0, 0, AD75 / AC75))</f>
        <v>0.38528062620113068</v>
      </c>
      <c r="AF75" s="7">
        <f>C75-B75</f>
        <v>-25</v>
      </c>
      <c r="AG75" s="2" t="str">
        <f>TEXT(B75, "mmmm")</f>
        <v>March</v>
      </c>
      <c r="AH75" s="4">
        <f>YEAR(B75)</f>
        <v>2025</v>
      </c>
      <c r="AI75" s="2" t="str">
        <f t="shared" si="15"/>
        <v>Invalid Shipping Record</v>
      </c>
      <c r="AJ75">
        <f>COUNTIFS($A$2:$A$1000,A75,$B$2:$B$1000,B75,$C$2:$C$1000,C75,$D$2:$D$1000,D75,$E$2:$E$1000,E75,$F$2:$F$1000,F75)</f>
        <v>1</v>
      </c>
      <c r="AK75">
        <f>COUNTIF($A$2:$A$1000, A75)</f>
        <v>1</v>
      </c>
    </row>
    <row r="76" spans="1:37">
      <c r="A76" t="s">
        <v>330</v>
      </c>
      <c r="B76" s="5">
        <v>45715</v>
      </c>
      <c r="C76" s="5">
        <v>45717</v>
      </c>
      <c r="D76" s="6">
        <f>IF(AND(C76&lt;&gt;"",B76&lt;&gt;""), C76-B76, "Missing Date")</f>
        <v>2</v>
      </c>
      <c r="E76" s="6" t="str">
        <f>IF(OR(B76="",C76=""), "Missing Date",
    IF(C76&lt;B76, "Invalid: Ship before Order",
      "OK"))</f>
        <v>OK</v>
      </c>
      <c r="F76" t="s">
        <v>331</v>
      </c>
      <c r="G76" t="s">
        <v>71</v>
      </c>
      <c r="H76" t="s">
        <v>37</v>
      </c>
      <c r="I76" t="s">
        <v>38</v>
      </c>
      <c r="J76" t="s">
        <v>99</v>
      </c>
      <c r="K76" t="s">
        <v>100</v>
      </c>
      <c r="L76" t="s">
        <v>41</v>
      </c>
      <c r="M76" t="s">
        <v>66</v>
      </c>
      <c r="N76" t="s">
        <v>332</v>
      </c>
      <c r="O76" t="s">
        <v>59</v>
      </c>
      <c r="P76">
        <v>6</v>
      </c>
      <c r="Q76">
        <v>551.64</v>
      </c>
      <c r="R76">
        <v>0</v>
      </c>
      <c r="S76">
        <v>3309.84</v>
      </c>
      <c r="T76">
        <v>2671.08</v>
      </c>
      <c r="U76">
        <v>638.76</v>
      </c>
      <c r="V76" t="s">
        <v>32</v>
      </c>
      <c r="W76" t="s">
        <v>33</v>
      </c>
      <c r="X76" t="str">
        <f>_xlfn.TEXTJOIN("|", TRUE, A76:W76)</f>
        <v>ORD-2025-10075|45715|45717|2|OK|CUST-6201|Vikram Iyer|Small Business|East|West Bengal|Kolkata|Furniture|Chairs|Max Chairs 244|Standard Class|6|551.64|0|3309.84|2671.08|638.76|Paid|Completed</v>
      </c>
      <c r="Y76">
        <f>COUNTIF($X$2:$X$1000, X76)</f>
        <v>1</v>
      </c>
      <c r="Z76">
        <f>COUNTIF($A$2:$A$1000, A76)</f>
        <v>1</v>
      </c>
      <c r="AA76" t="str">
        <f>IF(Y76&gt;1, "Exact Duplicate",
  IF(Z76&gt;1, "Conflicting Duplicate - Review",
    "Unique"))</f>
        <v>Unique</v>
      </c>
      <c r="AB76" s="2">
        <f>IF(ISBLANK(R76), 0, IF(ISTEXT(R76), VALUE(SUBSTITUTE(R76, "%", ""))/100, IF(OR(R76&lt;0, R76&gt;1), "Invalid", R76)))</f>
        <v>0</v>
      </c>
      <c r="AC76" s="4">
        <f>IF(AB76="Invalid", "Error", P76 * Q76 * (1 - AB76))</f>
        <v>3309.84</v>
      </c>
      <c r="AD76" s="4">
        <f>IF(AC76="Error", "Error", AC76 - T76)</f>
        <v>638.76000000000022</v>
      </c>
      <c r="AE76" s="2">
        <f>IF(AC76="Error", "Error", IF(AC76=0, 0, AD76 / AC76))</f>
        <v>0.19298818069755644</v>
      </c>
      <c r="AF76" s="7">
        <f>C76-B76</f>
        <v>2</v>
      </c>
      <c r="AG76" s="2" t="str">
        <f>TEXT(B76, "mmmm")</f>
        <v>February</v>
      </c>
      <c r="AH76" s="4">
        <f>YEAR(B76)</f>
        <v>2025</v>
      </c>
      <c r="AI76" s="2" t="str">
        <f t="shared" si="15"/>
        <v>Clean</v>
      </c>
      <c r="AJ76">
        <f>COUNTIFS($A$2:$A$1000,A76,$B$2:$B$1000,B76,$C$2:$C$1000,C76,$D$2:$D$1000,D76,$E$2:$E$1000,E76,$F$2:$F$1000,F76)</f>
        <v>1</v>
      </c>
      <c r="AK76">
        <f>COUNTIF($A$2:$A$1000, A76)</f>
        <v>1</v>
      </c>
    </row>
    <row r="77" spans="1:37">
      <c r="A77" t="s">
        <v>333</v>
      </c>
      <c r="B77" s="5">
        <v>45891</v>
      </c>
      <c r="C77" s="5">
        <v>45896</v>
      </c>
      <c r="D77" s="6">
        <f>IF(AND(C77&lt;&gt;"",B77&lt;&gt;""), C77-B77, "Missing Date")</f>
        <v>5</v>
      </c>
      <c r="E77" s="6" t="str">
        <f>IF(OR(B77="",C77=""), "Missing Date",
    IF(C77&lt;B77, "Invalid: Ship before Order",
      "OK"))</f>
        <v>OK</v>
      </c>
      <c r="F77" t="s">
        <v>334</v>
      </c>
      <c r="G77" t="s">
        <v>114</v>
      </c>
      <c r="H77" t="s">
        <v>37</v>
      </c>
      <c r="I77" t="s">
        <v>38</v>
      </c>
      <c r="J77" t="s">
        <v>39</v>
      </c>
      <c r="K77" t="s">
        <v>40</v>
      </c>
      <c r="L77" t="s">
        <v>28</v>
      </c>
      <c r="M77" t="s">
        <v>91</v>
      </c>
      <c r="N77" t="s">
        <v>335</v>
      </c>
      <c r="O77" t="s">
        <v>50</v>
      </c>
      <c r="P77">
        <v>3</v>
      </c>
      <c r="Q77">
        <v>3294.82</v>
      </c>
      <c r="R77">
        <v>0.2</v>
      </c>
      <c r="S77">
        <v>7907.57</v>
      </c>
      <c r="T77">
        <v>5391.18</v>
      </c>
      <c r="U77">
        <v>2516.39</v>
      </c>
      <c r="V77" t="s">
        <v>32</v>
      </c>
      <c r="W77" t="s">
        <v>33</v>
      </c>
      <c r="X77" t="str">
        <f>_xlfn.TEXTJOIN("|", TRUE, A77:W77)</f>
        <v>ORD-2025-10076|45891|45896|5|OK|CUST-5808|Priya Menon|Small Business|East|Odisha|Bhubaneswar|Office Supplies|Labels|Eco Labels 653|First Class|3|3294.82|0.2|7907.57|5391.18|2516.39|Paid|Completed</v>
      </c>
      <c r="Y77">
        <f>COUNTIF($X$2:$X$1000, X77)</f>
        <v>1</v>
      </c>
      <c r="Z77">
        <f>COUNTIF($A$2:$A$1000, A77)</f>
        <v>1</v>
      </c>
      <c r="AA77" t="str">
        <f>IF(Y77&gt;1, "Exact Duplicate",
  IF(Z77&gt;1, "Conflicting Duplicate - Review",
    "Unique"))</f>
        <v>Unique</v>
      </c>
      <c r="AB77" s="2">
        <f>IF(ISBLANK(R77), 0, IF(ISTEXT(R77), VALUE(SUBSTITUTE(R77, "%", ""))/100, IF(OR(R77&lt;0, R77&gt;1), "Invalid", R77)))</f>
        <v>0.2</v>
      </c>
      <c r="AC77" s="4">
        <f>IF(AB77="Invalid", "Error", P77 * Q77 * (1 - AB77))</f>
        <v>7907.5680000000011</v>
      </c>
      <c r="AD77" s="4">
        <f>IF(AC77="Error", "Error", AC77 - T77)</f>
        <v>2516.3880000000008</v>
      </c>
      <c r="AE77" s="2">
        <f>IF(AC77="Error", "Error", IF(AC77=0, 0, AD77 / AC77))</f>
        <v>0.31822527482533197</v>
      </c>
      <c r="AF77" s="7">
        <f>C77-B77</f>
        <v>5</v>
      </c>
      <c r="AG77" s="2" t="str">
        <f>TEXT(B77, "mmmm")</f>
        <v>August</v>
      </c>
      <c r="AH77" s="4">
        <f>YEAR(B77)</f>
        <v>2025</v>
      </c>
      <c r="AI77" s="2" t="str">
        <f t="shared" si="15"/>
        <v>Clean</v>
      </c>
      <c r="AJ77">
        <f>COUNTIFS($A$2:$A$1000,A77,$B$2:$B$1000,B77,$C$2:$C$1000,C77,$D$2:$D$1000,D77,$E$2:$E$1000,E77,$F$2:$F$1000,F77)</f>
        <v>1</v>
      </c>
      <c r="AK77">
        <f>COUNTIF($A$2:$A$1000, A77)</f>
        <v>1</v>
      </c>
    </row>
    <row r="78" spans="1:37">
      <c r="A78" t="s">
        <v>336</v>
      </c>
      <c r="B78" s="5">
        <v>45599</v>
      </c>
      <c r="C78" s="5">
        <v>45607</v>
      </c>
      <c r="D78" s="6">
        <f>IF(AND(C78&lt;&gt;"",B78&lt;&gt;""), C78-B78, "Missing Date")</f>
        <v>8</v>
      </c>
      <c r="E78" s="6" t="str">
        <f>IF(OR(B78="",C78=""), "Missing Date",
    IF(C78&lt;B78, "Invalid: Ship before Order",
      "OK"))</f>
        <v>OK</v>
      </c>
      <c r="F78" t="s">
        <v>337</v>
      </c>
      <c r="G78" t="s">
        <v>62</v>
      </c>
      <c r="H78" t="s">
        <v>90</v>
      </c>
      <c r="I78" t="s">
        <v>38</v>
      </c>
      <c r="J78" t="s">
        <v>228</v>
      </c>
      <c r="K78" t="s">
        <v>229</v>
      </c>
      <c r="L78" t="s">
        <v>28</v>
      </c>
      <c r="M78" t="s">
        <v>91</v>
      </c>
      <c r="N78" t="s">
        <v>338</v>
      </c>
      <c r="O78" t="s">
        <v>31</v>
      </c>
      <c r="P78">
        <v>3</v>
      </c>
      <c r="Q78">
        <v>3406.27</v>
      </c>
      <c r="R78">
        <v>0</v>
      </c>
      <c r="S78">
        <v>10218.81</v>
      </c>
      <c r="T78">
        <v>7616.97</v>
      </c>
      <c r="U78">
        <v>2601.84</v>
      </c>
      <c r="V78" t="s">
        <v>32</v>
      </c>
      <c r="W78" t="s">
        <v>33</v>
      </c>
      <c r="X78" t="str">
        <f>_xlfn.TEXTJOIN("|", TRUE, A78:W78)</f>
        <v>ORD-2024-10077|45599|45607|8|OK|CUST-2642|Ananya Rao|Corporate|East|Jharkhand|Ranchi|Office Supplies|Labels|Max Labels 617|Second Class|3|3406.27|0|10218.81|7616.97|2601.84|Paid|Completed</v>
      </c>
      <c r="Y78">
        <f>COUNTIF($X$2:$X$1000, X78)</f>
        <v>1</v>
      </c>
      <c r="Z78">
        <f>COUNTIF($A$2:$A$1000, A78)</f>
        <v>1</v>
      </c>
      <c r="AA78" t="str">
        <f>IF(Y78&gt;1, "Exact Duplicate",
  IF(Z78&gt;1, "Conflicting Duplicate - Review",
    "Unique"))</f>
        <v>Unique</v>
      </c>
      <c r="AB78" s="2">
        <f>IF(ISBLANK(R78), 0, IF(ISTEXT(R78), VALUE(SUBSTITUTE(R78, "%", ""))/100, IF(OR(R78&lt;0, R78&gt;1), "Invalid", R78)))</f>
        <v>0</v>
      </c>
      <c r="AC78" s="4">
        <f>IF(AB78="Invalid", "Error", P78 * Q78 * (1 - AB78))</f>
        <v>10218.81</v>
      </c>
      <c r="AD78" s="4">
        <f>IF(AC78="Error", "Error", AC78 - T78)</f>
        <v>2601.8399999999992</v>
      </c>
      <c r="AE78" s="2">
        <f>IF(AC78="Error", "Error", IF(AC78=0, 0, AD78 / AC78))</f>
        <v>0.2546128169522674</v>
      </c>
      <c r="AF78" s="7">
        <f>C78-B78</f>
        <v>8</v>
      </c>
      <c r="AG78" s="2" t="str">
        <f>TEXT(B78, "mmmm")</f>
        <v>November</v>
      </c>
      <c r="AH78" s="4">
        <f>YEAR(B78)</f>
        <v>2024</v>
      </c>
      <c r="AI78" s="2" t="str">
        <f t="shared" si="15"/>
        <v>Clean</v>
      </c>
      <c r="AJ78">
        <f>COUNTIFS($A$2:$A$1000,A78,$B$2:$B$1000,B78,$C$2:$C$1000,C78,$D$2:$D$1000,D78,$E$2:$E$1000,E78,$F$2:$F$1000,F78)</f>
        <v>1</v>
      </c>
      <c r="AK78">
        <f>COUNTIF($A$2:$A$1000, A78)</f>
        <v>1</v>
      </c>
    </row>
    <row r="79" spans="1:37">
      <c r="A79" t="s">
        <v>339</v>
      </c>
      <c r="B79" s="5">
        <v>45876</v>
      </c>
      <c r="C79" s="5">
        <v>45850</v>
      </c>
      <c r="D79" s="6">
        <f>IF(AND(C79&lt;&gt;"",B79&lt;&gt;""), C79-B79, "Missing Date")</f>
        <v>-26</v>
      </c>
      <c r="E79" s="6" t="str">
        <f>IF(OR(B79="",C79=""), "Missing Date",
    IF(C79&lt;B79, "Invalid: Ship before Order",
      "OK"))</f>
        <v>Invalid: Ship before Order</v>
      </c>
      <c r="F79" t="s">
        <v>340</v>
      </c>
      <c r="G79" t="s">
        <v>141</v>
      </c>
      <c r="H79" t="s">
        <v>95</v>
      </c>
      <c r="I79" t="s">
        <v>25</v>
      </c>
      <c r="J79" t="s">
        <v>136</v>
      </c>
      <c r="K79" t="s">
        <v>137</v>
      </c>
      <c r="L79" t="s">
        <v>41</v>
      </c>
      <c r="M79" t="s">
        <v>57</v>
      </c>
      <c r="N79" t="s">
        <v>341</v>
      </c>
      <c r="O79" t="s">
        <v>59</v>
      </c>
      <c r="P79">
        <v>1</v>
      </c>
      <c r="Q79">
        <v>2582.1999999999998</v>
      </c>
      <c r="R79">
        <v>0.15</v>
      </c>
      <c r="S79">
        <v>2194.87</v>
      </c>
      <c r="T79">
        <v>1223.17</v>
      </c>
      <c r="U79">
        <v>971.7</v>
      </c>
      <c r="V79" t="s">
        <v>102</v>
      </c>
      <c r="W79" t="s">
        <v>68</v>
      </c>
      <c r="X79" t="str">
        <f>_xlfn.TEXTJOIN("|", TRUE, A79:W79)</f>
        <v>ORD-2025-10078|45876|45850|-26|Invalid: Ship before Order|CUST-4385|Rohan Mehta|Home Office|North|Uttar Pradesh|Noida|Furniture|Furnishings|Pro Furnishings 529|Standard Class|1|2582.2|0.15|2194.87|1223.17|971.7|Refunded|Cancelled</v>
      </c>
      <c r="Y79">
        <f>COUNTIF($X$2:$X$1000, X79)</f>
        <v>1</v>
      </c>
      <c r="Z79">
        <f>COUNTIF($A$2:$A$1000, A79)</f>
        <v>1</v>
      </c>
      <c r="AA79" t="str">
        <f>IF(Y79&gt;1, "Exact Duplicate",
  IF(Z79&gt;1, "Conflicting Duplicate - Review",
    "Unique"))</f>
        <v>Unique</v>
      </c>
      <c r="AB79" s="2">
        <f>IF(ISBLANK(R79), 0, IF(ISTEXT(R79), VALUE(SUBSTITUTE(R79, "%", ""))/100, IF(OR(R79&lt;0, R79&gt;1), "Invalid", R79)))</f>
        <v>0.15</v>
      </c>
      <c r="AC79" s="4">
        <f>IF(AB79="Invalid", "Error", P79 * Q79 * (1 - AB79))</f>
        <v>2194.87</v>
      </c>
      <c r="AD79" s="4">
        <f>IF(AC79="Error", "Error", AC79 - T79)</f>
        <v>971.69999999999982</v>
      </c>
      <c r="AE79" s="2">
        <f>IF(AC79="Error", "Error", IF(AC79=0, 0, AD79 / AC79))</f>
        <v>0.44271414707932583</v>
      </c>
      <c r="AF79" s="7">
        <f>C79-B79</f>
        <v>-26</v>
      </c>
      <c r="AG79" s="2" t="str">
        <f>TEXT(B79, "mmmm")</f>
        <v>August</v>
      </c>
      <c r="AH79" s="4">
        <f>YEAR(B79)</f>
        <v>2025</v>
      </c>
      <c r="AI79" s="2" t="str">
        <f t="shared" si="15"/>
        <v>Excluded from Sales</v>
      </c>
      <c r="AJ79">
        <f>COUNTIFS($A$2:$A$1000,A79,$B$2:$B$1000,B79,$C$2:$C$1000,C79,$D$2:$D$1000,D79,$E$2:$E$1000,E79,$F$2:$F$1000,F79)</f>
        <v>1</v>
      </c>
      <c r="AK79">
        <f>COUNTIF($A$2:$A$1000, A79)</f>
        <v>1</v>
      </c>
    </row>
    <row r="80" spans="1:37">
      <c r="A80" t="s">
        <v>342</v>
      </c>
      <c r="B80" s="5">
        <v>45854</v>
      </c>
      <c r="C80" s="5">
        <v>45859</v>
      </c>
      <c r="D80" s="6">
        <f>IF(AND(C80&lt;&gt;"",B80&lt;&gt;""), C80-B80, "Missing Date")</f>
        <v>5</v>
      </c>
      <c r="E80" s="6" t="str">
        <f>IF(OR(B80="",C80=""), "Missing Date",
    IF(C80&lt;B80, "Invalid: Ship before Order",
      "OK"))</f>
        <v>OK</v>
      </c>
      <c r="F80" t="s">
        <v>343</v>
      </c>
      <c r="G80" t="s">
        <v>132</v>
      </c>
      <c r="H80" t="s">
        <v>90</v>
      </c>
      <c r="I80" t="s">
        <v>38</v>
      </c>
      <c r="J80" t="s">
        <v>99</v>
      </c>
      <c r="K80" t="s">
        <v>100</v>
      </c>
      <c r="L80" t="s">
        <v>41</v>
      </c>
      <c r="M80" t="s">
        <v>42</v>
      </c>
      <c r="N80" t="s">
        <v>344</v>
      </c>
      <c r="O80" t="s">
        <v>50</v>
      </c>
      <c r="P80">
        <v>5</v>
      </c>
      <c r="Q80">
        <v>2129.5100000000002</v>
      </c>
      <c r="R80">
        <v>0.15</v>
      </c>
      <c r="S80">
        <v>9050.42</v>
      </c>
      <c r="T80">
        <v>6778.85</v>
      </c>
      <c r="U80">
        <v>2271.5700000000002</v>
      </c>
      <c r="V80" t="s">
        <v>32</v>
      </c>
      <c r="W80" t="s">
        <v>33</v>
      </c>
      <c r="X80" t="str">
        <f>_xlfn.TEXTJOIN("|", TRUE, A80:W80)</f>
        <v>ORD-2025-10079|45854|45859|5|OK|CUST-8043|Sneha Kapoor|Corporate|East|West Bengal|Kolkata|Furniture|Tables|Smart Tables 561|First Class|5|2129.51|0.15|9050.42|6778.85|2271.57|Paid|Completed</v>
      </c>
      <c r="Y80">
        <f>COUNTIF($X$2:$X$1000, X80)</f>
        <v>1</v>
      </c>
      <c r="Z80">
        <f>COUNTIF($A$2:$A$1000, A80)</f>
        <v>1</v>
      </c>
      <c r="AA80" t="str">
        <f>IF(Y80&gt;1, "Exact Duplicate",
  IF(Z80&gt;1, "Conflicting Duplicate - Review",
    "Unique"))</f>
        <v>Unique</v>
      </c>
      <c r="AB80" s="2">
        <f>IF(ISBLANK(R80), 0, IF(ISTEXT(R80), VALUE(SUBSTITUTE(R80, "%", ""))/100, IF(OR(R80&lt;0, R80&gt;1), "Invalid", R80)))</f>
        <v>0.15</v>
      </c>
      <c r="AC80" s="4">
        <f>IF(AB80="Invalid", "Error", P80 * Q80 * (1 - AB80))</f>
        <v>9050.4175000000014</v>
      </c>
      <c r="AD80" s="4">
        <f>IF(AC80="Error", "Error", AC80 - T80)</f>
        <v>2271.567500000001</v>
      </c>
      <c r="AE80" s="2">
        <f>IF(AC80="Error", "Error", IF(AC80=0, 0, AD80 / AC80))</f>
        <v>0.25099035486484472</v>
      </c>
      <c r="AF80" s="7">
        <f>C80-B80</f>
        <v>5</v>
      </c>
      <c r="AG80" s="2" t="str">
        <f>TEXT(B80, "mmmm")</f>
        <v>July</v>
      </c>
      <c r="AH80" s="4">
        <f>YEAR(B80)</f>
        <v>2025</v>
      </c>
      <c r="AI80" s="2" t="str">
        <f t="shared" si="15"/>
        <v>Clean</v>
      </c>
      <c r="AJ80">
        <f>COUNTIFS($A$2:$A$1000,A80,$B$2:$B$1000,B80,$C$2:$C$1000,C80,$D$2:$D$1000,D80,$E$2:$E$1000,E80,$F$2:$F$1000,F80)</f>
        <v>1</v>
      </c>
      <c r="AK80">
        <f>COUNTIF($A$2:$A$1000, A80)</f>
        <v>1</v>
      </c>
    </row>
    <row r="81" spans="1:37">
      <c r="A81" t="s">
        <v>345</v>
      </c>
      <c r="B81" s="5">
        <v>45927</v>
      </c>
      <c r="C81" s="5">
        <v>45933</v>
      </c>
      <c r="D81" s="6">
        <f>IF(AND(C81&lt;&gt;"",B81&lt;&gt;""), C81-B81, "Missing Date")</f>
        <v>6</v>
      </c>
      <c r="E81" s="6" t="str">
        <f>IF(OR(B81="",C81=""), "Missing Date",
    IF(C81&lt;B81, "Invalid: Ship before Order",
      "OK"))</f>
        <v>OK</v>
      </c>
      <c r="F81" t="s">
        <v>346</v>
      </c>
      <c r="G81" t="s">
        <v>162</v>
      </c>
      <c r="H81" t="s">
        <v>95</v>
      </c>
      <c r="I81" t="s">
        <v>54</v>
      </c>
      <c r="J81" t="s">
        <v>247</v>
      </c>
      <c r="K81" t="s">
        <v>248</v>
      </c>
      <c r="L81" t="s">
        <v>41</v>
      </c>
      <c r="M81" t="s">
        <v>66</v>
      </c>
      <c r="N81" t="s">
        <v>347</v>
      </c>
      <c r="O81" t="s">
        <v>44</v>
      </c>
      <c r="P81">
        <v>9</v>
      </c>
      <c r="Q81">
        <v>4131.5200000000004</v>
      </c>
      <c r="R81">
        <v>0.1</v>
      </c>
      <c r="S81">
        <v>33465.31</v>
      </c>
      <c r="T81">
        <v>24781.26</v>
      </c>
      <c r="U81">
        <v>8684.0499999999993</v>
      </c>
      <c r="V81" t="s">
        <v>32</v>
      </c>
      <c r="W81" t="s">
        <v>33</v>
      </c>
      <c r="X81" t="str">
        <f>_xlfn.TEXTJOIN("|", TRUE, A81:W81)</f>
        <v>ORD-2025-10080|45927|45933|6|OK|CUST-9978|Diya Patel|Home Office|South|Tamil Nadu|Chennai|Furniture|Chairs|Prime Chairs 838|Same Day|9|4131.52|0.1|33465.31|24781.26|8684.05|Paid|Completed</v>
      </c>
      <c r="Y81">
        <f>COUNTIF($X$2:$X$1000, X81)</f>
        <v>1</v>
      </c>
      <c r="Z81">
        <f>COUNTIF($A$2:$A$1000, A81)</f>
        <v>1</v>
      </c>
      <c r="AA81" t="str">
        <f>IF(Y81&gt;1, "Exact Duplicate",
  IF(Z81&gt;1, "Conflicting Duplicate - Review",
    "Unique"))</f>
        <v>Unique</v>
      </c>
      <c r="AB81" s="2">
        <f>IF(ISBLANK(R81), 0, IF(ISTEXT(R81), VALUE(SUBSTITUTE(R81, "%", ""))/100, IF(OR(R81&lt;0, R81&gt;1), "Invalid", R81)))</f>
        <v>0.1</v>
      </c>
      <c r="AC81" s="4">
        <f>IF(AB81="Invalid", "Error", P81 * Q81 * (1 - AB81))</f>
        <v>33465.312000000005</v>
      </c>
      <c r="AD81" s="4">
        <f>IF(AC81="Error", "Error", AC81 - T81)</f>
        <v>8684.052000000007</v>
      </c>
      <c r="AE81" s="2">
        <f>IF(AC81="Error", "Error", IF(AC81=0, 0, AD81 / AC81))</f>
        <v>0.25949412932411942</v>
      </c>
      <c r="AF81" s="7">
        <f>C81-B81</f>
        <v>6</v>
      </c>
      <c r="AG81" s="2" t="str">
        <f>TEXT(B81, "mmmm")</f>
        <v>September</v>
      </c>
      <c r="AH81" s="4">
        <f>YEAR(B81)</f>
        <v>2025</v>
      </c>
      <c r="AI81" s="2" t="str">
        <f t="shared" si="15"/>
        <v>Clean</v>
      </c>
      <c r="AJ81">
        <f>COUNTIFS($A$2:$A$1000,A81,$B$2:$B$1000,B81,$C$2:$C$1000,C81,$D$2:$D$1000,D81,$E$2:$E$1000,E81,$F$2:$F$1000,F81)</f>
        <v>1</v>
      </c>
      <c r="AK81">
        <f>COUNTIF($A$2:$A$1000, A81)</f>
        <v>1</v>
      </c>
    </row>
    <row r="82" spans="1:37">
      <c r="A82" t="s">
        <v>348</v>
      </c>
      <c r="B82" s="5">
        <v>45514</v>
      </c>
      <c r="C82" s="5">
        <v>45518</v>
      </c>
      <c r="D82" s="6">
        <f>IF(AND(C82&lt;&gt;"",B82&lt;&gt;""), C82-B82, "Missing Date")</f>
        <v>4</v>
      </c>
      <c r="E82" s="6" t="str">
        <f>IF(OR(B82="",C82=""), "Missing Date",
    IF(C82&lt;B82, "Invalid: Ship before Order",
      "OK"))</f>
        <v>OK</v>
      </c>
      <c r="F82" t="s">
        <v>349</v>
      </c>
      <c r="G82" t="s">
        <v>128</v>
      </c>
      <c r="H82" t="s">
        <v>37</v>
      </c>
      <c r="I82" t="s">
        <v>25</v>
      </c>
      <c r="J82" t="s">
        <v>350</v>
      </c>
      <c r="K82" t="s">
        <v>351</v>
      </c>
      <c r="L82" t="s">
        <v>28</v>
      </c>
      <c r="M82" t="s">
        <v>124</v>
      </c>
      <c r="N82" t="s">
        <v>352</v>
      </c>
      <c r="O82" t="s">
        <v>31</v>
      </c>
      <c r="P82">
        <v>4</v>
      </c>
      <c r="Q82">
        <v>1182.32</v>
      </c>
      <c r="R82">
        <v>0.1</v>
      </c>
      <c r="S82">
        <v>4256.3500000000004</v>
      </c>
      <c r="T82">
        <v>2495.33</v>
      </c>
      <c r="U82">
        <v>1761.02</v>
      </c>
      <c r="V82" t="s">
        <v>111</v>
      </c>
      <c r="W82" t="s">
        <v>103</v>
      </c>
      <c r="X82" t="str">
        <f>_xlfn.TEXTJOIN("|", TRUE, A82:W82)</f>
        <v>ORD-2024-10081|45514|45518|4|OK|CUST-2094|Aarav Sharma|Small Business|North|Delhi|New Delhi|Office Supplies|Storage|Elite Storage 371|Second Class|4|1182.32|0.1|4256.35|2495.33|1761.02|Pending|Returned</v>
      </c>
      <c r="Y82">
        <f>COUNTIF($X$2:$X$1000, X82)</f>
        <v>1</v>
      </c>
      <c r="Z82">
        <f>COUNTIF($A$2:$A$1000, A82)</f>
        <v>1</v>
      </c>
      <c r="AA82" t="str">
        <f>IF(Y82&gt;1, "Exact Duplicate",
  IF(Z82&gt;1, "Conflicting Duplicate - Review",
    "Unique"))</f>
        <v>Unique</v>
      </c>
      <c r="AB82" s="2">
        <f>IF(ISBLANK(R82), 0, IF(ISTEXT(R82), VALUE(SUBSTITUTE(R82, "%", ""))/100, IF(OR(R82&lt;0, R82&gt;1), "Invalid", R82)))</f>
        <v>0.1</v>
      </c>
      <c r="AC82" s="4">
        <f>IF(AB82="Invalid", "Error", P82 * Q82 * (1 - AB82))</f>
        <v>4256.3519999999999</v>
      </c>
      <c r="AD82" s="4">
        <f>IF(AC82="Error", "Error", AC82 - T82)</f>
        <v>1761.0219999999999</v>
      </c>
      <c r="AE82" s="2">
        <f>IF(AC82="Error", "Error", IF(AC82=0, 0, AD82 / AC82))</f>
        <v>0.41373974708858663</v>
      </c>
      <c r="AF82" s="7">
        <f>C82-B82</f>
        <v>4</v>
      </c>
      <c r="AG82" s="2" t="str">
        <f>TEXT(B82, "mmmm")</f>
        <v>August</v>
      </c>
      <c r="AH82" s="4">
        <f>YEAR(B82)</f>
        <v>2024</v>
      </c>
      <c r="AI82" s="2" t="str">
        <f t="shared" si="15"/>
        <v>Clean</v>
      </c>
      <c r="AJ82">
        <f>COUNTIFS($A$2:$A$1000,A82,$B$2:$B$1000,B82,$C$2:$C$1000,C82,$D$2:$D$1000,D82,$E$2:$E$1000,E82,$F$2:$F$1000,F82)</f>
        <v>1</v>
      </c>
      <c r="AK82">
        <f>COUNTIF($A$2:$A$1000, A82)</f>
        <v>1</v>
      </c>
    </row>
    <row r="83" spans="1:37">
      <c r="A83" t="s">
        <v>353</v>
      </c>
      <c r="B83" s="5">
        <v>45732</v>
      </c>
      <c r="C83" s="5">
        <v>45733</v>
      </c>
      <c r="D83" s="6">
        <f>IF(AND(C83&lt;&gt;"",B83&lt;&gt;""), C83-B83, "Missing Date")</f>
        <v>1</v>
      </c>
      <c r="E83" s="6" t="str">
        <f>IF(OR(B83="",C83=""), "Missing Date",
    IF(C83&lt;B83, "Invalid: Ship before Order",
      "OK"))</f>
        <v>OK</v>
      </c>
      <c r="F83" t="s">
        <v>354</v>
      </c>
      <c r="G83" t="s">
        <v>23</v>
      </c>
      <c r="H83" t="s">
        <v>95</v>
      </c>
      <c r="I83" t="s">
        <v>63</v>
      </c>
      <c r="J83" t="s">
        <v>190</v>
      </c>
      <c r="K83" t="s">
        <v>191</v>
      </c>
      <c r="L83" t="s">
        <v>28</v>
      </c>
      <c r="M83" t="s">
        <v>91</v>
      </c>
      <c r="N83" t="s">
        <v>355</v>
      </c>
      <c r="O83" t="s">
        <v>44</v>
      </c>
      <c r="P83">
        <v>3</v>
      </c>
      <c r="Q83">
        <v>1841.91</v>
      </c>
      <c r="R83">
        <v>0</v>
      </c>
      <c r="S83">
        <v>5525.73</v>
      </c>
      <c r="T83">
        <v>3093.42</v>
      </c>
      <c r="U83">
        <v>2432.31</v>
      </c>
      <c r="V83" t="s">
        <v>32</v>
      </c>
      <c r="W83" t="s">
        <v>33</v>
      </c>
      <c r="X83" t="str">
        <f>_xlfn.TEXTJOIN("|", TRUE, A83:W83)</f>
        <v>ORD-2025-10082|45732|45733|1|OK|CUST-7907|Karan Malhotra|Home Office|West|Goa|Panaji|Office Supplies|Labels|Eco Labels 662|Same Day|3|1841.91|0|5525.73|3093.42|2432.31|Paid|Completed</v>
      </c>
      <c r="Y83">
        <f>COUNTIF($X$2:$X$1000, X83)</f>
        <v>1</v>
      </c>
      <c r="Z83">
        <f>COUNTIF($A$2:$A$1000, A83)</f>
        <v>1</v>
      </c>
      <c r="AA83" t="str">
        <f>IF(Y83&gt;1, "Exact Duplicate",
  IF(Z83&gt;1, "Conflicting Duplicate - Review",
    "Unique"))</f>
        <v>Unique</v>
      </c>
      <c r="AB83" s="2">
        <f>IF(ISBLANK(R83), 0, IF(ISTEXT(R83), VALUE(SUBSTITUTE(R83, "%", ""))/100, IF(OR(R83&lt;0, R83&gt;1), "Invalid", R83)))</f>
        <v>0</v>
      </c>
      <c r="AC83" s="4">
        <f>IF(AB83="Invalid", "Error", P83 * Q83 * (1 - AB83))</f>
        <v>5525.7300000000005</v>
      </c>
      <c r="AD83" s="4">
        <f>IF(AC83="Error", "Error", AC83 - T83)</f>
        <v>2432.3100000000004</v>
      </c>
      <c r="AE83" s="2">
        <f>IF(AC83="Error", "Error", IF(AC83=0, 0, AD83 / AC83))</f>
        <v>0.44017894468242208</v>
      </c>
      <c r="AF83" s="7">
        <f>C83-B83</f>
        <v>1</v>
      </c>
      <c r="AG83" s="2" t="str">
        <f>TEXT(B83, "mmmm")</f>
        <v>March</v>
      </c>
      <c r="AH83" s="4">
        <f>YEAR(B83)</f>
        <v>2025</v>
      </c>
      <c r="AI83" s="2" t="str">
        <f t="shared" si="15"/>
        <v>Clean</v>
      </c>
      <c r="AJ83">
        <f>COUNTIFS($A$2:$A$1000,A83,$B$2:$B$1000,B83,$C$2:$C$1000,C83,$D$2:$D$1000,D83,$E$2:$E$1000,E83,$F$2:$F$1000,F83)</f>
        <v>1</v>
      </c>
      <c r="AK83">
        <f>COUNTIF($A$2:$A$1000, A83)</f>
        <v>1</v>
      </c>
    </row>
    <row r="84" spans="1:37">
      <c r="A84" t="s">
        <v>356</v>
      </c>
      <c r="B84" s="5">
        <v>45507</v>
      </c>
      <c r="C84" s="5">
        <v>45508</v>
      </c>
      <c r="D84" s="6">
        <f>IF(AND(C84&lt;&gt;"",B84&lt;&gt;""), C84-B84, "Missing Date")</f>
        <v>1</v>
      </c>
      <c r="E84" s="6" t="str">
        <f>IF(OR(B84="",C84=""), "Missing Date",
    IF(C84&lt;B84, "Invalid: Ship before Order",
      "OK"))</f>
        <v>OK</v>
      </c>
      <c r="F84" t="s">
        <v>357</v>
      </c>
      <c r="G84" t="s">
        <v>53</v>
      </c>
      <c r="H84" t="s">
        <v>24</v>
      </c>
      <c r="I84" t="s">
        <v>25</v>
      </c>
      <c r="J84" t="s">
        <v>136</v>
      </c>
      <c r="K84" t="s">
        <v>137</v>
      </c>
      <c r="L84" t="s">
        <v>74</v>
      </c>
      <c r="M84" t="s">
        <v>80</v>
      </c>
      <c r="N84" t="s">
        <v>358</v>
      </c>
      <c r="O84" t="s">
        <v>31</v>
      </c>
      <c r="P84">
        <v>6</v>
      </c>
      <c r="Q84">
        <v>1001.73</v>
      </c>
      <c r="R84">
        <v>0</v>
      </c>
      <c r="S84">
        <v>6010.38</v>
      </c>
      <c r="T84">
        <v>3762.85</v>
      </c>
      <c r="U84">
        <v>2247.5300000000002</v>
      </c>
      <c r="V84" t="s">
        <v>155</v>
      </c>
      <c r="W84" t="s">
        <v>103</v>
      </c>
      <c r="X84" t="str">
        <f>_xlfn.TEXTJOIN("|", TRUE, A84:W84)</f>
        <v>ORD-2024-10083|45507|45508|1|OK|CUST-6516|Arjun Bose|Consumer|North|Uttar Pradesh|Noida|Technology|Copiers|Smart Copiers 702|Second Class|6|1001.73|0|6010.38|3762.85|2247.53|Failed|Returned</v>
      </c>
      <c r="Y84">
        <f>COUNTIF($X$2:$X$1000, X84)</f>
        <v>1</v>
      </c>
      <c r="Z84">
        <f>COUNTIF($A$2:$A$1000, A84)</f>
        <v>1</v>
      </c>
      <c r="AA84" t="str">
        <f>IF(Y84&gt;1, "Exact Duplicate",
  IF(Z84&gt;1, "Conflicting Duplicate - Review",
    "Unique"))</f>
        <v>Unique</v>
      </c>
      <c r="AB84" s="2">
        <f>IF(ISBLANK(R84), 0, IF(ISTEXT(R84), VALUE(SUBSTITUTE(R84, "%", ""))/100, IF(OR(R84&lt;0, R84&gt;1), "Invalid", R84)))</f>
        <v>0</v>
      </c>
      <c r="AC84" s="4">
        <f>IF(AB84="Invalid", "Error", P84 * Q84 * (1 - AB84))</f>
        <v>6010.38</v>
      </c>
      <c r="AD84" s="4">
        <f>IF(AC84="Error", "Error", AC84 - T84)</f>
        <v>2247.5300000000002</v>
      </c>
      <c r="AE84" s="2">
        <f>IF(AC84="Error", "Error", IF(AC84=0, 0, AD84 / AC84))</f>
        <v>0.37394141468592673</v>
      </c>
      <c r="AF84" s="7">
        <f>C84-B84</f>
        <v>1</v>
      </c>
      <c r="AG84" s="2" t="str">
        <f>TEXT(B84, "mmmm")</f>
        <v>August</v>
      </c>
      <c r="AH84" s="4">
        <f>YEAR(B84)</f>
        <v>2024</v>
      </c>
      <c r="AI84" s="2" t="str">
        <f t="shared" si="15"/>
        <v>Excluded from Sales</v>
      </c>
      <c r="AJ84">
        <f>COUNTIFS($A$2:$A$1000,A84,$B$2:$B$1000,B84,$C$2:$C$1000,C84,$D$2:$D$1000,D84,$E$2:$E$1000,E84,$F$2:$F$1000,F84)</f>
        <v>1</v>
      </c>
      <c r="AK84">
        <f>COUNTIF($A$2:$A$1000, A84)</f>
        <v>1</v>
      </c>
    </row>
    <row r="85" spans="1:37">
      <c r="A85" t="s">
        <v>359</v>
      </c>
      <c r="B85" s="5">
        <v>45591</v>
      </c>
      <c r="C85" s="5">
        <v>45594</v>
      </c>
      <c r="D85" s="6">
        <f>IF(AND(C85&lt;&gt;"",B85&lt;&gt;""), C85-B85, "Missing Date")</f>
        <v>3</v>
      </c>
      <c r="E85" s="6" t="str">
        <f>IF(OR(B85="",C85=""), "Missing Date",
    IF(C85&lt;B85, "Invalid: Ship before Order",
      "OK"))</f>
        <v>OK</v>
      </c>
      <c r="F85" t="s">
        <v>360</v>
      </c>
      <c r="G85" t="s">
        <v>89</v>
      </c>
      <c r="H85" t="s">
        <v>95</v>
      </c>
      <c r="I85" t="s">
        <v>63</v>
      </c>
      <c r="J85" t="s">
        <v>64</v>
      </c>
      <c r="K85" t="s">
        <v>65</v>
      </c>
      <c r="L85" t="s">
        <v>41</v>
      </c>
      <c r="M85" t="s">
        <v>42</v>
      </c>
      <c r="N85" t="s">
        <v>361</v>
      </c>
      <c r="O85" t="s">
        <v>31</v>
      </c>
      <c r="P85">
        <v>9</v>
      </c>
      <c r="Q85">
        <v>131.74</v>
      </c>
      <c r="R85">
        <v>0.2</v>
      </c>
      <c r="S85">
        <v>948.53</v>
      </c>
      <c r="T85">
        <v>674.62</v>
      </c>
      <c r="U85">
        <v>273.91000000000003</v>
      </c>
      <c r="V85" t="s">
        <v>32</v>
      </c>
      <c r="W85" t="s">
        <v>33</v>
      </c>
      <c r="X85" t="str">
        <f>_xlfn.TEXTJOIN("|", TRUE, A85:W85)</f>
        <v>ORD-2024-10084|45591|45594|3|OK|CUST-4989|Aditi Sen|Home Office|West|Maharashtra|Mumbai|Furniture|Tables|Elite Tables 362|Second Class|9|131.74|0.2|948.53|674.62|273.91|Paid|Completed</v>
      </c>
      <c r="Y85">
        <f>COUNTIF($X$2:$X$1000, X85)</f>
        <v>1</v>
      </c>
      <c r="Z85">
        <f>COUNTIF($A$2:$A$1000, A85)</f>
        <v>1</v>
      </c>
      <c r="AA85" t="str">
        <f>IF(Y85&gt;1, "Exact Duplicate",
  IF(Z85&gt;1, "Conflicting Duplicate - Review",
    "Unique"))</f>
        <v>Unique</v>
      </c>
      <c r="AB85" s="2">
        <f>IF(ISBLANK(R85), 0, IF(ISTEXT(R85), VALUE(SUBSTITUTE(R85, "%", ""))/100, IF(OR(R85&lt;0, R85&gt;1), "Invalid", R85)))</f>
        <v>0.2</v>
      </c>
      <c r="AC85" s="4">
        <f>IF(AB85="Invalid", "Error", P85 * Q85 * (1 - AB85))</f>
        <v>948.52800000000013</v>
      </c>
      <c r="AD85" s="4">
        <f>IF(AC85="Error", "Error", AC85 - T85)</f>
        <v>273.90800000000013</v>
      </c>
      <c r="AE85" s="2">
        <f>IF(AC85="Error", "Error", IF(AC85=0, 0, AD85 / AC85))</f>
        <v>0.28877165460587362</v>
      </c>
      <c r="AF85" s="7">
        <f>C85-B85</f>
        <v>3</v>
      </c>
      <c r="AG85" s="2" t="str">
        <f>TEXT(B85, "mmmm")</f>
        <v>October</v>
      </c>
      <c r="AH85" s="4">
        <f>YEAR(B85)</f>
        <v>2024</v>
      </c>
      <c r="AI85" s="2" t="str">
        <f t="shared" si="15"/>
        <v>Clean</v>
      </c>
      <c r="AJ85">
        <f>COUNTIFS($A$2:$A$1000,A85,$B$2:$B$1000,B85,$C$2:$C$1000,C85,$D$2:$D$1000,D85,$E$2:$E$1000,E85,$F$2:$F$1000,F85)</f>
        <v>1</v>
      </c>
      <c r="AK85">
        <f>COUNTIF($A$2:$A$1000, A85)</f>
        <v>1</v>
      </c>
    </row>
    <row r="86" spans="1:37">
      <c r="A86" t="s">
        <v>362</v>
      </c>
      <c r="B86" s="5">
        <v>45566</v>
      </c>
      <c r="C86" s="5">
        <v>45568</v>
      </c>
      <c r="D86" s="6">
        <f>IF(AND(C86&lt;&gt;"",B86&lt;&gt;""), C86-B86, "Missing Date")</f>
        <v>2</v>
      </c>
      <c r="E86" s="6" t="str">
        <f>IF(OR(B86="",C86=""), "Missing Date",
    IF(C86&lt;B86, "Invalid: Ship before Order",
      "OK"))</f>
        <v>OK</v>
      </c>
      <c r="F86" t="s">
        <v>363</v>
      </c>
      <c r="G86" t="s">
        <v>141</v>
      </c>
      <c r="H86" t="s">
        <v>90</v>
      </c>
      <c r="I86" t="s">
        <v>54</v>
      </c>
      <c r="J86" t="s">
        <v>247</v>
      </c>
      <c r="K86" t="s">
        <v>248</v>
      </c>
      <c r="L86" t="s">
        <v>74</v>
      </c>
      <c r="M86" t="s">
        <v>171</v>
      </c>
      <c r="N86" t="s">
        <v>364</v>
      </c>
      <c r="O86" t="s">
        <v>31</v>
      </c>
      <c r="P86">
        <v>6</v>
      </c>
      <c r="Q86">
        <v>570.28</v>
      </c>
      <c r="R86">
        <v>0.2</v>
      </c>
      <c r="S86">
        <v>2737.34</v>
      </c>
      <c r="T86">
        <v>2085.44</v>
      </c>
      <c r="U86">
        <v>651.9</v>
      </c>
      <c r="V86" t="s">
        <v>32</v>
      </c>
      <c r="W86" t="s">
        <v>33</v>
      </c>
      <c r="X86" t="str">
        <f>_xlfn.TEXTJOIN("|", TRUE, A86:W86)</f>
        <v>ORD-2024-10085|45566|45568|2|OK|CUST-3758|Rohan Mehta|Corporate|South|Tamil Nadu|Chennai|Technology|Phones|Elite Phones 781|Second Class|6|570.28|0.2|2737.34|2085.44|651.9|Paid|Completed</v>
      </c>
      <c r="Y86">
        <f>COUNTIF($X$2:$X$1000, X86)</f>
        <v>1</v>
      </c>
      <c r="Z86">
        <f>COUNTIF($A$2:$A$1000, A86)</f>
        <v>1</v>
      </c>
      <c r="AA86" t="str">
        <f>IF(Y86&gt;1, "Exact Duplicate",
  IF(Z86&gt;1, "Conflicting Duplicate - Review",
    "Unique"))</f>
        <v>Unique</v>
      </c>
      <c r="AB86" s="2">
        <f>IF(ISBLANK(R86), 0, IF(ISTEXT(R86), VALUE(SUBSTITUTE(R86, "%", ""))/100, IF(OR(R86&lt;0, R86&gt;1), "Invalid", R86)))</f>
        <v>0.2</v>
      </c>
      <c r="AC86" s="4">
        <f>IF(AB86="Invalid", "Error", P86 * Q86 * (1 - AB86))</f>
        <v>2737.3440000000001</v>
      </c>
      <c r="AD86" s="4">
        <f>IF(AC86="Error", "Error", AC86 - T86)</f>
        <v>651.904</v>
      </c>
      <c r="AE86" s="2">
        <f>IF(AC86="Error", "Error", IF(AC86=0, 0, AD86 / AC86))</f>
        <v>0.23815201889130486</v>
      </c>
      <c r="AF86" s="7">
        <f>C86-B86</f>
        <v>2</v>
      </c>
      <c r="AG86" s="2" t="str">
        <f>TEXT(B86, "mmmm")</f>
        <v>October</v>
      </c>
      <c r="AH86" s="4">
        <f>YEAR(B86)</f>
        <v>2024</v>
      </c>
      <c r="AI86" s="2" t="str">
        <f t="shared" si="15"/>
        <v>Clean</v>
      </c>
      <c r="AJ86">
        <f>COUNTIFS($A$2:$A$1000,A86,$B$2:$B$1000,B86,$C$2:$C$1000,C86,$D$2:$D$1000,D86,$E$2:$E$1000,E86,$F$2:$F$1000,F86)</f>
        <v>1</v>
      </c>
      <c r="AK86">
        <f>COUNTIF($A$2:$A$1000, A86)</f>
        <v>1</v>
      </c>
    </row>
    <row r="87" spans="1:37">
      <c r="A87" t="s">
        <v>365</v>
      </c>
      <c r="B87" s="5">
        <v>45503</v>
      </c>
      <c r="C87" s="5">
        <v>45420</v>
      </c>
      <c r="D87" s="6">
        <f>IF(AND(C87&lt;&gt;"",B87&lt;&gt;""), C87-B87, "Missing Date")</f>
        <v>-83</v>
      </c>
      <c r="E87" s="6" t="str">
        <f>IF(OR(B87="",C87=""), "Missing Date",
    IF(C87&lt;B87, "Invalid: Ship before Order",
      "OK"))</f>
        <v>Invalid: Ship before Order</v>
      </c>
      <c r="F87" t="s">
        <v>366</v>
      </c>
      <c r="G87" t="s">
        <v>264</v>
      </c>
      <c r="H87" t="s">
        <v>90</v>
      </c>
      <c r="I87" t="s">
        <v>25</v>
      </c>
      <c r="J87" t="s">
        <v>350</v>
      </c>
      <c r="K87" t="s">
        <v>351</v>
      </c>
      <c r="L87" t="s">
        <v>28</v>
      </c>
      <c r="M87" t="s">
        <v>153</v>
      </c>
      <c r="N87" t="s">
        <v>367</v>
      </c>
      <c r="O87" t="s">
        <v>59</v>
      </c>
      <c r="P87">
        <v>1</v>
      </c>
      <c r="Q87">
        <v>608.64</v>
      </c>
      <c r="R87">
        <v>0</v>
      </c>
      <c r="S87">
        <v>608.64</v>
      </c>
      <c r="T87">
        <v>343.99</v>
      </c>
      <c r="U87">
        <v>264.64999999999998</v>
      </c>
      <c r="V87" t="s">
        <v>32</v>
      </c>
      <c r="W87" t="s">
        <v>68</v>
      </c>
      <c r="X87" t="str">
        <f>_xlfn.TEXTJOIN("|", TRUE, A87:W87)</f>
        <v>ORD-2024-10086|45503|45420|-83|Invalid: Ship before Order|CUST-6702|Kabir Singh|Corporate|North|Delhi|New Delhi|Office Supplies|Binders|Eco Binders 456|Standard Class|1|608.64|0|608.64|343.99|264.65|Paid|Cancelled</v>
      </c>
      <c r="Y87">
        <f>COUNTIF($X$2:$X$1000, X87)</f>
        <v>1</v>
      </c>
      <c r="Z87">
        <f>COUNTIF($A$2:$A$1000, A87)</f>
        <v>1</v>
      </c>
      <c r="AA87" t="str">
        <f>IF(Y87&gt;1, "Exact Duplicate",
  IF(Z87&gt;1, "Conflicting Duplicate - Review",
    "Unique"))</f>
        <v>Unique</v>
      </c>
      <c r="AB87" s="2">
        <f>IF(ISBLANK(R87), 0, IF(ISTEXT(R87), VALUE(SUBSTITUTE(R87, "%", ""))/100, IF(OR(R87&lt;0, R87&gt;1), "Invalid", R87)))</f>
        <v>0</v>
      </c>
      <c r="AC87" s="4">
        <f>IF(AB87="Invalid", "Error", P87 * Q87 * (1 - AB87))</f>
        <v>608.64</v>
      </c>
      <c r="AD87" s="4">
        <f>IF(AC87="Error", "Error", AC87 - T87)</f>
        <v>264.64999999999998</v>
      </c>
      <c r="AE87" s="2">
        <f>IF(AC87="Error", "Error", IF(AC87=0, 0, AD87 / AC87))</f>
        <v>0.43482189800210302</v>
      </c>
      <c r="AF87" s="7">
        <f>C87-B87</f>
        <v>-83</v>
      </c>
      <c r="AG87" s="2" t="str">
        <f>TEXT(B87, "mmmm")</f>
        <v>July</v>
      </c>
      <c r="AH87" s="4">
        <f>YEAR(B87)</f>
        <v>2024</v>
      </c>
      <c r="AI87" s="2" t="str">
        <f t="shared" si="15"/>
        <v>Excluded from Sales</v>
      </c>
      <c r="AJ87">
        <f>COUNTIFS($A$2:$A$1000,A87,$B$2:$B$1000,B87,$C$2:$C$1000,C87,$D$2:$D$1000,D87,$E$2:$E$1000,E87,$F$2:$F$1000,F87)</f>
        <v>1</v>
      </c>
      <c r="AK87">
        <f>COUNTIF($A$2:$A$1000, A87)</f>
        <v>1</v>
      </c>
    </row>
    <row r="88" spans="1:37">
      <c r="A88" t="s">
        <v>368</v>
      </c>
      <c r="B88" s="5">
        <v>45474</v>
      </c>
      <c r="C88" s="5">
        <v>45474</v>
      </c>
      <c r="D88" s="6">
        <f>IF(AND(C88&lt;&gt;"",B88&lt;&gt;""), C88-B88, "Missing Date")</f>
        <v>0</v>
      </c>
      <c r="E88" s="6" t="str">
        <f>IF(OR(B88="",C88=""), "Missing Date",
    IF(C88&lt;B88, "Invalid: Ship before Order",
      "OK"))</f>
        <v>OK</v>
      </c>
      <c r="F88" t="s">
        <v>369</v>
      </c>
      <c r="G88" t="s">
        <v>62</v>
      </c>
      <c r="H88" t="s">
        <v>37</v>
      </c>
      <c r="I88" t="s">
        <v>25</v>
      </c>
      <c r="J88" t="s">
        <v>350</v>
      </c>
      <c r="K88" t="s">
        <v>351</v>
      </c>
      <c r="L88" t="s">
        <v>74</v>
      </c>
      <c r="M88" t="s">
        <v>80</v>
      </c>
      <c r="N88" t="s">
        <v>370</v>
      </c>
      <c r="O88" t="s">
        <v>31</v>
      </c>
      <c r="P88">
        <v>3</v>
      </c>
      <c r="Q88">
        <v>885.28</v>
      </c>
      <c r="R88">
        <v>0.1</v>
      </c>
      <c r="S88">
        <v>2390.2600000000002</v>
      </c>
      <c r="T88">
        <v>1495.94</v>
      </c>
      <c r="U88">
        <v>894.32</v>
      </c>
      <c r="V88" t="s">
        <v>102</v>
      </c>
      <c r="W88" t="s">
        <v>68</v>
      </c>
      <c r="X88" t="str">
        <f>_xlfn.TEXTJOIN("|", TRUE, A88:W88)</f>
        <v>ORD-2024-10087|45474|45474|0|OK|CUST-9148|Ananya Rao|Small Business|North|Delhi|New Delhi|Technology|Copiers|Basic Copiers 525|Second Class|3|885.28|0.1|2390.26|1495.94|894.32|Refunded|Cancelled</v>
      </c>
      <c r="Y88">
        <f>COUNTIF($X$2:$X$1000, X88)</f>
        <v>1</v>
      </c>
      <c r="Z88">
        <f>COUNTIF($A$2:$A$1000, A88)</f>
        <v>1</v>
      </c>
      <c r="AA88" t="str">
        <f>IF(Y88&gt;1, "Exact Duplicate",
  IF(Z88&gt;1, "Conflicting Duplicate - Review",
    "Unique"))</f>
        <v>Unique</v>
      </c>
      <c r="AB88" s="2">
        <f>IF(ISBLANK(R88), 0, IF(ISTEXT(R88), VALUE(SUBSTITUTE(R88, "%", ""))/100, IF(OR(R88&lt;0, R88&gt;1), "Invalid", R88)))</f>
        <v>0.1</v>
      </c>
      <c r="AC88" s="4">
        <f>IF(AB88="Invalid", "Error", P88 * Q88 * (1 - AB88))</f>
        <v>2390.2560000000003</v>
      </c>
      <c r="AD88" s="4">
        <f>IF(AC88="Error", "Error", AC88 - T88)</f>
        <v>894.31600000000026</v>
      </c>
      <c r="AE88" s="2">
        <f>IF(AC88="Error", "Error", IF(AC88=0, 0, AD88 / AC88))</f>
        <v>0.37415071858411825</v>
      </c>
      <c r="AF88" s="7">
        <f>C88-B88</f>
        <v>0</v>
      </c>
      <c r="AG88" s="2" t="str">
        <f>TEXT(B88, "mmmm")</f>
        <v>July</v>
      </c>
      <c r="AH88" s="4">
        <f>YEAR(B88)</f>
        <v>2024</v>
      </c>
      <c r="AI88" s="2" t="str">
        <f t="shared" si="15"/>
        <v>Excluded from Sales</v>
      </c>
      <c r="AJ88">
        <f>COUNTIFS($A$2:$A$1000,A88,$B$2:$B$1000,B88,$C$2:$C$1000,C88,$D$2:$D$1000,D88,$E$2:$E$1000,E88,$F$2:$F$1000,F88)</f>
        <v>1</v>
      </c>
      <c r="AK88">
        <f>COUNTIF($A$2:$A$1000, A88)</f>
        <v>1</v>
      </c>
    </row>
    <row r="89" spans="1:37">
      <c r="A89" t="s">
        <v>371</v>
      </c>
      <c r="B89" s="5">
        <v>45506</v>
      </c>
      <c r="C89" s="5">
        <v>45507</v>
      </c>
      <c r="D89" s="6">
        <f>IF(AND(C89&lt;&gt;"",B89&lt;&gt;""), C89-B89, "Missing Date")</f>
        <v>1</v>
      </c>
      <c r="E89" s="6" t="str">
        <f>IF(OR(B89="",C89=""), "Missing Date",
    IF(C89&lt;B89, "Invalid: Ship before Order",
      "OK"))</f>
        <v>OK</v>
      </c>
      <c r="F89" t="s">
        <v>372</v>
      </c>
      <c r="G89" t="s">
        <v>71</v>
      </c>
      <c r="H89" t="s">
        <v>24</v>
      </c>
      <c r="I89" t="s">
        <v>38</v>
      </c>
      <c r="J89" t="s">
        <v>166</v>
      </c>
      <c r="K89" t="s">
        <v>167</v>
      </c>
      <c r="L89" t="s">
        <v>28</v>
      </c>
      <c r="M89" t="s">
        <v>153</v>
      </c>
      <c r="N89" t="s">
        <v>373</v>
      </c>
      <c r="O89" t="s">
        <v>59</v>
      </c>
      <c r="P89">
        <v>7</v>
      </c>
      <c r="Q89">
        <v>3345.22</v>
      </c>
      <c r="R89">
        <v>0</v>
      </c>
      <c r="S89">
        <v>23416.54</v>
      </c>
      <c r="T89">
        <v>15490.89</v>
      </c>
      <c r="U89">
        <v>7925.65</v>
      </c>
      <c r="V89" t="s">
        <v>32</v>
      </c>
      <c r="W89" t="s">
        <v>33</v>
      </c>
      <c r="X89" t="str">
        <f>_xlfn.TEXTJOIN("|", TRUE, A89:W89)</f>
        <v>ORD-2024-10088|45506|45507|1|OK|CUST-5829|Vikram Iyer|Consumer|East|Assam|Guwahati|Office Supplies|Binders|Eco Binders 258|Standard Class|7|3345.22|0|23416.54|15490.89|7925.65|Paid|Completed</v>
      </c>
      <c r="Y89">
        <f>COUNTIF($X$2:$X$1000, X89)</f>
        <v>1</v>
      </c>
      <c r="Z89">
        <f>COUNTIF($A$2:$A$1000, A89)</f>
        <v>1</v>
      </c>
      <c r="AA89" t="str">
        <f>IF(Y89&gt;1, "Exact Duplicate",
  IF(Z89&gt;1, "Conflicting Duplicate - Review",
    "Unique"))</f>
        <v>Unique</v>
      </c>
      <c r="AB89" s="2">
        <f>IF(ISBLANK(R89), 0, IF(ISTEXT(R89), VALUE(SUBSTITUTE(R89, "%", ""))/100, IF(OR(R89&lt;0, R89&gt;1), "Invalid", R89)))</f>
        <v>0</v>
      </c>
      <c r="AC89" s="4">
        <f>IF(AB89="Invalid", "Error", P89 * Q89 * (1 - AB89))</f>
        <v>23416.539999999997</v>
      </c>
      <c r="AD89" s="4">
        <f>IF(AC89="Error", "Error", AC89 - T89)</f>
        <v>7925.6499999999978</v>
      </c>
      <c r="AE89" s="2">
        <f>IF(AC89="Error", "Error", IF(AC89=0, 0, AD89 / AC89))</f>
        <v>0.33846375254414185</v>
      </c>
      <c r="AF89" s="7">
        <f>C89-B89</f>
        <v>1</v>
      </c>
      <c r="AG89" s="2" t="str">
        <f>TEXT(B89, "mmmm")</f>
        <v>August</v>
      </c>
      <c r="AH89" s="4">
        <f>YEAR(B89)</f>
        <v>2024</v>
      </c>
      <c r="AI89" s="2" t="str">
        <f t="shared" si="15"/>
        <v>Clean</v>
      </c>
      <c r="AJ89">
        <f>COUNTIFS($A$2:$A$1000,A89,$B$2:$B$1000,B89,$C$2:$C$1000,C89,$D$2:$D$1000,D89,$E$2:$E$1000,E89,$F$2:$F$1000,F89)</f>
        <v>1</v>
      </c>
      <c r="AK89">
        <f>COUNTIF($A$2:$A$1000, A89)</f>
        <v>1</v>
      </c>
    </row>
    <row r="90" spans="1:37">
      <c r="A90" t="s">
        <v>374</v>
      </c>
      <c r="B90" s="5">
        <v>45375</v>
      </c>
      <c r="C90" s="5">
        <v>45378</v>
      </c>
      <c r="D90" s="6">
        <f>IF(AND(C90&lt;&gt;"",B90&lt;&gt;""), C90-B90, "Missing Date")</f>
        <v>3</v>
      </c>
      <c r="E90" s="6" t="str">
        <f>IF(OR(B90="",C90=""), "Missing Date",
    IF(C90&lt;B90, "Invalid: Ship before Order",
      "OK"))</f>
        <v>OK</v>
      </c>
      <c r="F90" t="s">
        <v>375</v>
      </c>
      <c r="G90" t="s">
        <v>141</v>
      </c>
      <c r="H90" t="s">
        <v>37</v>
      </c>
      <c r="I90" t="s">
        <v>63</v>
      </c>
      <c r="J90" t="s">
        <v>64</v>
      </c>
      <c r="K90" t="s">
        <v>65</v>
      </c>
      <c r="L90" t="s">
        <v>41</v>
      </c>
      <c r="M90" t="s">
        <v>158</v>
      </c>
      <c r="N90" t="s">
        <v>376</v>
      </c>
      <c r="O90" t="s">
        <v>59</v>
      </c>
      <c r="P90">
        <v>2</v>
      </c>
      <c r="Q90">
        <v>3284.75</v>
      </c>
      <c r="R90">
        <v>0.05</v>
      </c>
      <c r="S90">
        <v>6241.02</v>
      </c>
      <c r="T90">
        <v>5345.88</v>
      </c>
      <c r="U90">
        <v>895.14</v>
      </c>
      <c r="V90" t="s">
        <v>32</v>
      </c>
      <c r="W90" t="s">
        <v>33</v>
      </c>
      <c r="X90" t="str">
        <f>_xlfn.TEXTJOIN("|", TRUE, A90:W90)</f>
        <v>ORD-2024-10089|45375|45378|3|OK|CUST-6059|Rohan Mehta|Small Business|West|Maharashtra|Mumbai|Furniture|Bookcases|Max Bookcases 398|Standard Class|2|3284.75|0.05|6241.02|5345.88|895.14|Paid|Completed</v>
      </c>
      <c r="Y90">
        <f>COUNTIF($X$2:$X$1000, X90)</f>
        <v>1</v>
      </c>
      <c r="Z90">
        <f>COUNTIF($A$2:$A$1000, A90)</f>
        <v>1</v>
      </c>
      <c r="AA90" t="str">
        <f>IF(Y90&gt;1, "Exact Duplicate",
  IF(Z90&gt;1, "Conflicting Duplicate - Review",
    "Unique"))</f>
        <v>Unique</v>
      </c>
      <c r="AB90" s="2">
        <f>IF(ISBLANK(R90), 0, IF(ISTEXT(R90), VALUE(SUBSTITUTE(R90, "%", ""))/100, IF(OR(R90&lt;0, R90&gt;1), "Invalid", R90)))</f>
        <v>0.05</v>
      </c>
      <c r="AC90" s="4">
        <f>IF(AB90="Invalid", "Error", P90 * Q90 * (1 - AB90))</f>
        <v>6241.0249999999996</v>
      </c>
      <c r="AD90" s="4">
        <f>IF(AC90="Error", "Error", AC90 - T90)</f>
        <v>895.14499999999953</v>
      </c>
      <c r="AE90" s="2">
        <f>IF(AC90="Error", "Error", IF(AC90=0, 0, AD90 / AC90))</f>
        <v>0.14342916427990587</v>
      </c>
      <c r="AF90" s="7">
        <f>C90-B90</f>
        <v>3</v>
      </c>
      <c r="AG90" s="2" t="str">
        <f>TEXT(B90, "mmmm")</f>
        <v>March</v>
      </c>
      <c r="AH90" s="4">
        <f>YEAR(B90)</f>
        <v>2024</v>
      </c>
      <c r="AI90" s="2" t="str">
        <f t="shared" si="15"/>
        <v>Clean</v>
      </c>
      <c r="AJ90">
        <f>COUNTIFS($A$2:$A$1000,A90,$B$2:$B$1000,B90,$C$2:$C$1000,C90,$D$2:$D$1000,D90,$E$2:$E$1000,E90,$F$2:$F$1000,F90)</f>
        <v>1</v>
      </c>
      <c r="AK90">
        <f>COUNTIF($A$2:$A$1000, A90)</f>
        <v>1</v>
      </c>
    </row>
    <row r="91" spans="1:37">
      <c r="A91" t="s">
        <v>377</v>
      </c>
      <c r="B91" s="5">
        <v>45540</v>
      </c>
      <c r="C91" s="5">
        <v>45540</v>
      </c>
      <c r="D91" s="6">
        <f>IF(AND(C91&lt;&gt;"",B91&lt;&gt;""), C91-B91, "Missing Date")</f>
        <v>0</v>
      </c>
      <c r="E91" s="6" t="str">
        <f>IF(OR(B91="",C91=""), "Missing Date",
    IF(C91&lt;B91, "Invalid: Ship before Order",
      "OK"))</f>
        <v>OK</v>
      </c>
      <c r="F91" t="s">
        <v>378</v>
      </c>
      <c r="G91" t="s">
        <v>264</v>
      </c>
      <c r="H91" t="s">
        <v>24</v>
      </c>
      <c r="I91" t="s">
        <v>54</v>
      </c>
      <c r="J91" t="s">
        <v>84</v>
      </c>
      <c r="K91" t="s">
        <v>85</v>
      </c>
      <c r="L91" t="s">
        <v>41</v>
      </c>
      <c r="M91" t="s">
        <v>158</v>
      </c>
      <c r="N91" t="s">
        <v>379</v>
      </c>
      <c r="O91" t="s">
        <v>59</v>
      </c>
      <c r="P91">
        <v>7</v>
      </c>
      <c r="Q91">
        <v>3761.09</v>
      </c>
      <c r="R91">
        <v>0.2</v>
      </c>
      <c r="S91">
        <v>21062.1</v>
      </c>
      <c r="T91">
        <v>12057.13</v>
      </c>
      <c r="U91">
        <v>9004.9699999999993</v>
      </c>
      <c r="V91" t="s">
        <v>111</v>
      </c>
      <c r="W91" t="s">
        <v>68</v>
      </c>
      <c r="X91" t="str">
        <f>_xlfn.TEXTJOIN("|", TRUE, A91:W91)</f>
        <v>ORD-2024-10090|45540|45540|0|OK|CUST-7744|Kabir Singh|Consumer|South|Andhra Pradesh|Vijayawada|Furniture|Bookcases|Smart Bookcases 857|Standard Class|7|3761.09|0.2|21062.1|12057.13|9004.97|Pending|Cancelled</v>
      </c>
      <c r="Y91">
        <f>COUNTIF($X$2:$X$1000, X91)</f>
        <v>1</v>
      </c>
      <c r="Z91">
        <f>COUNTIF($A$2:$A$1000, A91)</f>
        <v>1</v>
      </c>
      <c r="AA91" t="str">
        <f>IF(Y91&gt;1, "Exact Duplicate",
  IF(Z91&gt;1, "Conflicting Duplicate - Review",
    "Unique"))</f>
        <v>Unique</v>
      </c>
      <c r="AB91" s="2">
        <f>IF(ISBLANK(R91), 0, IF(ISTEXT(R91), VALUE(SUBSTITUTE(R91, "%", ""))/100, IF(OR(R91&lt;0, R91&gt;1), "Invalid", R91)))</f>
        <v>0.2</v>
      </c>
      <c r="AC91" s="4">
        <f>IF(AB91="Invalid", "Error", P91 * Q91 * (1 - AB91))</f>
        <v>21062.104000000003</v>
      </c>
      <c r="AD91" s="4">
        <f>IF(AC91="Error", "Error", AC91 - T91)</f>
        <v>9004.9740000000038</v>
      </c>
      <c r="AE91" s="2">
        <f>IF(AC91="Error", "Error", IF(AC91=0, 0, AD91 / AC91))</f>
        <v>0.42754389589947911</v>
      </c>
      <c r="AF91" s="7">
        <f>C91-B91</f>
        <v>0</v>
      </c>
      <c r="AG91" s="2" t="str">
        <f>TEXT(B91, "mmmm")</f>
        <v>September</v>
      </c>
      <c r="AH91" s="4">
        <f>YEAR(B91)</f>
        <v>2024</v>
      </c>
      <c r="AI91" s="2" t="str">
        <f t="shared" si="15"/>
        <v>Excluded from Sales</v>
      </c>
      <c r="AJ91">
        <f>COUNTIFS($A$2:$A$1000,A91,$B$2:$B$1000,B91,$C$2:$C$1000,C91,$D$2:$D$1000,D91,$E$2:$E$1000,E91,$F$2:$F$1000,F91)</f>
        <v>1</v>
      </c>
      <c r="AK91">
        <f>COUNTIF($A$2:$A$1000, A91)</f>
        <v>1</v>
      </c>
    </row>
    <row r="92" spans="1:37">
      <c r="A92" t="s">
        <v>380</v>
      </c>
      <c r="B92" s="5">
        <v>45893</v>
      </c>
      <c r="C92" s="5">
        <v>45898</v>
      </c>
      <c r="D92" s="6">
        <f>IF(AND(C92&lt;&gt;"",B92&lt;&gt;""), C92-B92, "Missing Date")</f>
        <v>5</v>
      </c>
      <c r="E92" s="6" t="str">
        <f>IF(OR(B92="",C92=""), "Missing Date",
    IF(C92&lt;B92, "Invalid: Ship before Order",
      "OK"))</f>
        <v>OK</v>
      </c>
      <c r="F92" t="s">
        <v>381</v>
      </c>
      <c r="G92" t="s">
        <v>128</v>
      </c>
      <c r="H92" t="s">
        <v>37</v>
      </c>
      <c r="I92" t="s">
        <v>38</v>
      </c>
      <c r="J92" t="s">
        <v>145</v>
      </c>
      <c r="K92" t="s">
        <v>146</v>
      </c>
      <c r="L92" t="s">
        <v>74</v>
      </c>
      <c r="M92" t="s">
        <v>80</v>
      </c>
      <c r="N92" t="s">
        <v>382</v>
      </c>
      <c r="O92" t="s">
        <v>50</v>
      </c>
      <c r="P92">
        <v>3</v>
      </c>
      <c r="Q92">
        <v>3703.96</v>
      </c>
      <c r="R92">
        <v>0.15</v>
      </c>
      <c r="S92">
        <v>9445.1</v>
      </c>
      <c r="T92">
        <v>5586.28</v>
      </c>
      <c r="U92">
        <v>3858.82</v>
      </c>
      <c r="V92" t="s">
        <v>32</v>
      </c>
      <c r="W92" t="s">
        <v>33</v>
      </c>
      <c r="X92" t="str">
        <f>_xlfn.TEXTJOIN("|", TRUE, A92:W92)</f>
        <v>ORD-2025-10091|45893|45898|5|OK|CUST-5909|Aarav Sharma|Small Business|East|Bihar|Patna|Technology|Copiers|Smart Copiers 556|First Class|3|3703.96|0.15|9445.1|5586.28|3858.82|Paid|Completed</v>
      </c>
      <c r="Y92">
        <f>COUNTIF($X$2:$X$1000, X92)</f>
        <v>1</v>
      </c>
      <c r="Z92">
        <f>COUNTIF($A$2:$A$1000, A92)</f>
        <v>2</v>
      </c>
      <c r="AA92" t="str">
        <f>IF(Y92&gt;1, "Exact Duplicate",
  IF(Z92&gt;1, "Conflicting Duplicate - Review",
    "Unique"))</f>
        <v>Conflicting Duplicate - Review</v>
      </c>
      <c r="AB92" s="2">
        <f>IF(ISBLANK(R92), 0, IF(ISTEXT(R92), VALUE(SUBSTITUTE(R92, "%", ""))/100, IF(OR(R92&lt;0, R92&gt;1), "Invalid", R92)))</f>
        <v>0.15</v>
      </c>
      <c r="AC92" s="4">
        <f>IF(AB92="Invalid", "Error", P92 * Q92 * (1 - AB92))</f>
        <v>9445.098</v>
      </c>
      <c r="AD92" s="4">
        <f>IF(AC92="Error", "Error", AC92 - T92)</f>
        <v>3858.8180000000002</v>
      </c>
      <c r="AE92" s="2">
        <f>IF(AC92="Error", "Error", IF(AC92=0, 0, AD92 / AC92))</f>
        <v>0.40855245758170006</v>
      </c>
      <c r="AF92" s="7">
        <f>C92-B92</f>
        <v>5</v>
      </c>
      <c r="AG92" s="2" t="str">
        <f>TEXT(B92, "mmmm")</f>
        <v>August</v>
      </c>
      <c r="AH92" s="4">
        <f>YEAR(B92)</f>
        <v>2025</v>
      </c>
      <c r="AI92" s="2" t="str">
        <f t="shared" si="15"/>
        <v>Clean</v>
      </c>
      <c r="AJ92">
        <f>COUNTIFS($A$2:$A$1000,A92,$B$2:$B$1000,B92,$C$2:$C$1000,C92,$D$2:$D$1000,D92,$E$2:$E$1000,E92,$F$2:$F$1000,F92)</f>
        <v>2</v>
      </c>
      <c r="AK92">
        <f>COUNTIF($A$2:$A$1000, A92)</f>
        <v>2</v>
      </c>
    </row>
    <row r="93" spans="1:37">
      <c r="A93" t="s">
        <v>383</v>
      </c>
      <c r="B93" s="5">
        <v>45718</v>
      </c>
      <c r="C93" s="5">
        <v>45872</v>
      </c>
      <c r="D93" s="6">
        <f>IF(AND(C93&lt;&gt;"",B93&lt;&gt;""), C93-B93, "Missing Date")</f>
        <v>154</v>
      </c>
      <c r="E93" s="6" t="str">
        <f>IF(OR(B93="",C93=""), "Missing Date",
    IF(C93&lt;B93, "Invalid: Ship before Order",
      "OK"))</f>
        <v>OK</v>
      </c>
      <c r="F93" t="s">
        <v>384</v>
      </c>
      <c r="G93" t="s">
        <v>132</v>
      </c>
      <c r="H93" t="s">
        <v>90</v>
      </c>
      <c r="I93" t="s">
        <v>63</v>
      </c>
      <c r="J93" t="s">
        <v>72</v>
      </c>
      <c r="K93" t="s">
        <v>73</v>
      </c>
      <c r="L93" t="s">
        <v>74</v>
      </c>
      <c r="M93" t="s">
        <v>80</v>
      </c>
      <c r="N93" t="s">
        <v>385</v>
      </c>
      <c r="O93" t="s">
        <v>31</v>
      </c>
      <c r="P93">
        <v>9</v>
      </c>
      <c r="Q93">
        <v>269.68</v>
      </c>
      <c r="R93">
        <v>0</v>
      </c>
      <c r="S93">
        <v>2427.12</v>
      </c>
      <c r="T93">
        <v>1538.35</v>
      </c>
      <c r="U93">
        <v>804.53</v>
      </c>
      <c r="V93" t="s">
        <v>32</v>
      </c>
      <c r="W93" t="s">
        <v>33</v>
      </c>
      <c r="X93" t="str">
        <f>_xlfn.TEXTJOIN("|", TRUE, A93:W93)</f>
        <v>ORD-2025-10092|45718|45872|154|OK|CUST-6409|Sneha Kapoor|Corporate|West|Madhya Pradesh|Indore|Technology|Copiers|Prime Copiers 575|Second Class|9|269.68|0|2427.12|1538.35|804.53|Paid|Completed</v>
      </c>
      <c r="Y93">
        <f>COUNTIF($X$2:$X$1000, X93)</f>
        <v>1</v>
      </c>
      <c r="Z93">
        <f>COUNTIF($A$2:$A$1000, A93)</f>
        <v>1</v>
      </c>
      <c r="AA93" t="str">
        <f>IF(Y93&gt;1, "Exact Duplicate",
  IF(Z93&gt;1, "Conflicting Duplicate - Review",
    "Unique"))</f>
        <v>Unique</v>
      </c>
      <c r="AB93" s="2">
        <f>IF(ISBLANK(R93), 0, IF(ISTEXT(R93), VALUE(SUBSTITUTE(R93, "%", ""))/100, IF(OR(R93&lt;0, R93&gt;1), "Invalid", R93)))</f>
        <v>0</v>
      </c>
      <c r="AC93" s="4">
        <f>IF(AB93="Invalid", "Error", P93 * Q93 * (1 - AB93))</f>
        <v>2427.12</v>
      </c>
      <c r="AD93" s="4">
        <f>IF(AC93="Error", "Error", AC93 - T93)</f>
        <v>888.77</v>
      </c>
      <c r="AE93" s="2">
        <f>IF(AC93="Error", "Error", IF(AC93=0, 0, AD93 / AC93))</f>
        <v>0.36618296581957216</v>
      </c>
      <c r="AF93" s="7">
        <f>C93-B93</f>
        <v>154</v>
      </c>
      <c r="AG93" s="2" t="str">
        <f>TEXT(B93, "mmmm")</f>
        <v>March</v>
      </c>
      <c r="AH93" s="4">
        <f>YEAR(B93)</f>
        <v>2025</v>
      </c>
      <c r="AI93" s="2" t="str">
        <f t="shared" si="15"/>
        <v>Clean</v>
      </c>
      <c r="AJ93">
        <f>COUNTIFS($A$2:$A$1000,A93,$B$2:$B$1000,B93,$C$2:$C$1000,C93,$D$2:$D$1000,D93,$E$2:$E$1000,E93,$F$2:$F$1000,F93)</f>
        <v>1</v>
      </c>
      <c r="AK93">
        <f>COUNTIF($A$2:$A$1000, A93)</f>
        <v>1</v>
      </c>
    </row>
    <row r="94" spans="1:37">
      <c r="A94" t="s">
        <v>386</v>
      </c>
      <c r="B94" s="5">
        <v>45680</v>
      </c>
      <c r="C94" s="5">
        <v>45683</v>
      </c>
      <c r="D94" s="6">
        <f>IF(AND(C94&lt;&gt;"",B94&lt;&gt;""), C94-B94, "Missing Date")</f>
        <v>3</v>
      </c>
      <c r="E94" s="6" t="str">
        <f>IF(OR(B94="",C94=""), "Missing Date",
    IF(C94&lt;B94, "Invalid: Ship before Order",
      "OK"))</f>
        <v>OK</v>
      </c>
      <c r="F94" t="s">
        <v>387</v>
      </c>
      <c r="G94" t="s">
        <v>128</v>
      </c>
      <c r="H94" t="s">
        <v>24</v>
      </c>
      <c r="I94" t="s">
        <v>63</v>
      </c>
      <c r="J94" t="s">
        <v>72</v>
      </c>
      <c r="K94" t="s">
        <v>73</v>
      </c>
      <c r="L94" t="s">
        <v>28</v>
      </c>
      <c r="M94" t="s">
        <v>29</v>
      </c>
      <c r="N94" t="s">
        <v>388</v>
      </c>
      <c r="O94" t="s">
        <v>59</v>
      </c>
      <c r="P94">
        <v>9</v>
      </c>
      <c r="Q94">
        <v>4458.26</v>
      </c>
      <c r="R94">
        <v>0.1</v>
      </c>
      <c r="S94">
        <v>36111.910000000003</v>
      </c>
      <c r="T94">
        <v>29194.5</v>
      </c>
      <c r="U94">
        <v>6917.41</v>
      </c>
      <c r="V94" t="s">
        <v>32</v>
      </c>
      <c r="W94" t="s">
        <v>33</v>
      </c>
      <c r="X94" t="str">
        <f>_xlfn.TEXTJOIN("|", TRUE, A94:W94)</f>
        <v>ORD-2025-10093|45680|45683|3|OK|CUST-3014|Aarav Sharma|Consumer|West|Madhya Pradesh|Indore|Office Supplies|Paper|Elite Paper 669|Standard Class|9|4458.26|0.1|36111.91|29194.5|6917.41|Paid|Completed</v>
      </c>
      <c r="Y94">
        <f>COUNTIF($X$2:$X$1000, X94)</f>
        <v>1</v>
      </c>
      <c r="Z94">
        <f>COUNTIF($A$2:$A$1000, A94)</f>
        <v>1</v>
      </c>
      <c r="AA94" t="str">
        <f>IF(Y94&gt;1, "Exact Duplicate",
  IF(Z94&gt;1, "Conflicting Duplicate - Review",
    "Unique"))</f>
        <v>Unique</v>
      </c>
      <c r="AB94" s="2">
        <f>IF(ISBLANK(R94), 0, IF(ISTEXT(R94), VALUE(SUBSTITUTE(R94, "%", ""))/100, IF(OR(R94&lt;0, R94&gt;1), "Invalid", R94)))</f>
        <v>0.1</v>
      </c>
      <c r="AC94" s="4">
        <f>IF(AB94="Invalid", "Error", P94 * Q94 * (1 - AB94))</f>
        <v>36111.906000000003</v>
      </c>
      <c r="AD94" s="4">
        <f>IF(AC94="Error", "Error", AC94 - T94)</f>
        <v>6917.4060000000027</v>
      </c>
      <c r="AE94" s="2">
        <f>IF(AC94="Error", "Error", IF(AC94=0, 0, AD94 / AC94))</f>
        <v>0.19155471882320479</v>
      </c>
      <c r="AF94" s="7">
        <f>C94-B94</f>
        <v>3</v>
      </c>
      <c r="AG94" s="2" t="str">
        <f>TEXT(B94, "mmmm")</f>
        <v>January</v>
      </c>
      <c r="AH94" s="4">
        <f>YEAR(B94)</f>
        <v>2025</v>
      </c>
      <c r="AI94" s="2" t="str">
        <f t="shared" si="15"/>
        <v>Clean</v>
      </c>
      <c r="AJ94">
        <f>COUNTIFS($A$2:$A$1000,A94,$B$2:$B$1000,B94,$C$2:$C$1000,C94,$D$2:$D$1000,D94,$E$2:$E$1000,E94,$F$2:$F$1000,F94)</f>
        <v>1</v>
      </c>
      <c r="AK94">
        <f>COUNTIF($A$2:$A$1000, A94)</f>
        <v>1</v>
      </c>
    </row>
    <row r="95" spans="1:37">
      <c r="A95" t="s">
        <v>389</v>
      </c>
      <c r="B95" s="5">
        <v>45474</v>
      </c>
      <c r="C95" s="5">
        <v>45304</v>
      </c>
      <c r="D95" s="6">
        <f>IF(AND(C95&lt;&gt;"",B95&lt;&gt;""), C95-B95, "Missing Date")</f>
        <v>-170</v>
      </c>
      <c r="E95" s="6" t="str">
        <f>IF(OR(B95="",C95=""), "Missing Date",
    IF(C95&lt;B95, "Invalid: Ship before Order",
      "OK"))</f>
        <v>Invalid: Ship before Order</v>
      </c>
      <c r="F95" t="s">
        <v>390</v>
      </c>
      <c r="G95" t="s">
        <v>141</v>
      </c>
      <c r="H95" t="s">
        <v>90</v>
      </c>
      <c r="I95" t="s">
        <v>25</v>
      </c>
      <c r="J95" t="s">
        <v>136</v>
      </c>
      <c r="K95" t="s">
        <v>137</v>
      </c>
      <c r="L95" t="s">
        <v>28</v>
      </c>
      <c r="M95" t="s">
        <v>153</v>
      </c>
      <c r="N95" t="s">
        <v>391</v>
      </c>
      <c r="O95" t="s">
        <v>59</v>
      </c>
      <c r="P95">
        <v>7</v>
      </c>
      <c r="Q95">
        <v>2788.97</v>
      </c>
      <c r="R95">
        <v>-0.09</v>
      </c>
      <c r="S95">
        <v>19522.79</v>
      </c>
      <c r="T95">
        <v>12455.78</v>
      </c>
      <c r="U95">
        <v>7067.01</v>
      </c>
      <c r="V95" t="s">
        <v>32</v>
      </c>
      <c r="W95" t="s">
        <v>33</v>
      </c>
      <c r="X95" t="str">
        <f>_xlfn.TEXTJOIN("|", TRUE, A95:W95)</f>
        <v>ORD-2024-10094|45474|45304|-170|Invalid: Ship before Order|CUST-6106|Rohan Mehta|Corporate|North|Uttar Pradesh|Noida|Office Supplies|Binders|Eco Binders 780|Standard Class|7|2788.97|-0.09|19522.79|12455.78|7067.01|Paid|Completed</v>
      </c>
      <c r="Y95">
        <f>COUNTIF($X$2:$X$1000, X95)</f>
        <v>1</v>
      </c>
      <c r="Z95">
        <f>COUNTIF($A$2:$A$1000, A95)</f>
        <v>1</v>
      </c>
      <c r="AA95" t="str">
        <f>IF(Y95&gt;1, "Exact Duplicate",
  IF(Z95&gt;1, "Conflicting Duplicate - Review",
    "Unique"))</f>
        <v>Unique</v>
      </c>
      <c r="AB95" s="2" t="str">
        <f>IF(ISBLANK(R95), 0, IF(ISTEXT(R95), VALUE(SUBSTITUTE(R95, "%", ""))/100, IF(OR(R95&lt;0, R95&gt;1), "Invalid", R95)))</f>
        <v>Invalid</v>
      </c>
      <c r="AC95" s="4" t="str">
        <f>IF(AB95="Invalid", "Error", P95 * Q95 * (1 - AB95))</f>
        <v>Error</v>
      </c>
      <c r="AD95" s="4" t="str">
        <f>IF(AC95="Error", "Error", AC95 - T95)</f>
        <v>Error</v>
      </c>
      <c r="AE95" s="2" t="str">
        <f>IF(AC95="Error", "Error", IF(AC95=0, 0, AD95 / AC95))</f>
        <v>Error</v>
      </c>
      <c r="AF95" s="7">
        <f>C95-B95</f>
        <v>-170</v>
      </c>
      <c r="AG95" s="2" t="str">
        <f>TEXT(B95, "mmmm")</f>
        <v>July</v>
      </c>
      <c r="AH95" s="4">
        <f>YEAR(B95)</f>
        <v>2024</v>
      </c>
      <c r="AI95" s="2" t="str">
        <f t="shared" si="15"/>
        <v>Invalid: Discount</v>
      </c>
      <c r="AJ95">
        <f>COUNTIFS($A$2:$A$1000,A95,$B$2:$B$1000,B95,$C$2:$C$1000,C95,$D$2:$D$1000,D95,$E$2:$E$1000,E95,$F$2:$F$1000,F95)</f>
        <v>1</v>
      </c>
      <c r="AK95">
        <f>COUNTIF($A$2:$A$1000, A95)</f>
        <v>1</v>
      </c>
    </row>
    <row r="96" spans="1:37">
      <c r="A96" t="s">
        <v>392</v>
      </c>
      <c r="B96" s="5">
        <v>45452</v>
      </c>
      <c r="C96" s="5">
        <v>45544</v>
      </c>
      <c r="D96" s="6">
        <f>IF(AND(C96&lt;&gt;"",B96&lt;&gt;""), C96-B96, "Missing Date")</f>
        <v>92</v>
      </c>
      <c r="E96" s="6" t="str">
        <f>IF(OR(B96="",C96=""), "Missing Date",
    IF(C96&lt;B96, "Invalid: Ship before Order",
      "OK"))</f>
        <v>OK</v>
      </c>
      <c r="F96" t="s">
        <v>393</v>
      </c>
      <c r="G96" t="s">
        <v>162</v>
      </c>
      <c r="H96" t="s">
        <v>24</v>
      </c>
      <c r="I96" t="s">
        <v>25</v>
      </c>
      <c r="J96" t="s">
        <v>236</v>
      </c>
      <c r="K96" t="s">
        <v>237</v>
      </c>
      <c r="L96" t="s">
        <v>74</v>
      </c>
      <c r="M96" t="s">
        <v>171</v>
      </c>
      <c r="N96" t="s">
        <v>394</v>
      </c>
      <c r="O96" t="s">
        <v>31</v>
      </c>
      <c r="P96">
        <v>7</v>
      </c>
      <c r="Q96">
        <v>3781.53</v>
      </c>
      <c r="R96">
        <v>0</v>
      </c>
      <c r="S96">
        <v>26470.71</v>
      </c>
      <c r="T96">
        <v>21367.599999999999</v>
      </c>
      <c r="U96">
        <v>5103.1099999999997</v>
      </c>
      <c r="V96" t="s">
        <v>111</v>
      </c>
      <c r="W96" t="s">
        <v>68</v>
      </c>
      <c r="X96" t="str">
        <f>_xlfn.TEXTJOIN("|", TRUE, A96:W96)</f>
        <v>ORD-2024-10095|45452|45544|92|OK|CUST-1926|Diya Patel|Consumer|North|Haryana|Gurugram|Technology|Phones|Elite Phones 723|Second Class|7|3781.53|0|26470.71|21367.6|5103.11|Pending|Cancelled</v>
      </c>
      <c r="Y96">
        <f>COUNTIF($X$2:$X$1000, X96)</f>
        <v>1</v>
      </c>
      <c r="Z96">
        <f>COUNTIF($A$2:$A$1000, A96)</f>
        <v>1</v>
      </c>
      <c r="AA96" t="str">
        <f>IF(Y96&gt;1, "Exact Duplicate",
  IF(Z96&gt;1, "Conflicting Duplicate - Review",
    "Unique"))</f>
        <v>Unique</v>
      </c>
      <c r="AB96" s="2">
        <f>IF(ISBLANK(R96), 0, IF(ISTEXT(R96), VALUE(SUBSTITUTE(R96, "%", ""))/100, IF(OR(R96&lt;0, R96&gt;1), "Invalid", R96)))</f>
        <v>0</v>
      </c>
      <c r="AC96" s="4">
        <f>IF(AB96="Invalid", "Error", P96 * Q96 * (1 - AB96))</f>
        <v>26470.710000000003</v>
      </c>
      <c r="AD96" s="4">
        <f>IF(AC96="Error", "Error", AC96 - T96)</f>
        <v>5103.1100000000042</v>
      </c>
      <c r="AE96" s="2">
        <f>IF(AC96="Error", "Error", IF(AC96=0, 0, AD96 / AC96))</f>
        <v>0.19278326875251944</v>
      </c>
      <c r="AF96" s="7">
        <f>C96-B96</f>
        <v>92</v>
      </c>
      <c r="AG96" s="2" t="str">
        <f>TEXT(B96, "mmmm")</f>
        <v>June</v>
      </c>
      <c r="AH96" s="4">
        <f>YEAR(B96)</f>
        <v>2024</v>
      </c>
      <c r="AI96" s="2" t="str">
        <f t="shared" si="15"/>
        <v>Excluded from Sales</v>
      </c>
      <c r="AJ96">
        <f>COUNTIFS($A$2:$A$1000,A96,$B$2:$B$1000,B96,$C$2:$C$1000,C96,$D$2:$D$1000,D96,$E$2:$E$1000,E96,$F$2:$F$1000,F96)</f>
        <v>1</v>
      </c>
      <c r="AK96">
        <f>COUNTIF($A$2:$A$1000, A96)</f>
        <v>1</v>
      </c>
    </row>
    <row r="97" spans="1:37">
      <c r="A97" t="s">
        <v>395</v>
      </c>
      <c r="B97" s="5">
        <v>45905</v>
      </c>
      <c r="C97" s="5">
        <v>45939</v>
      </c>
      <c r="D97" s="6">
        <f>IF(AND(C97&lt;&gt;"",B97&lt;&gt;""), C97-B97, "Missing Date")</f>
        <v>34</v>
      </c>
      <c r="E97" s="6" t="str">
        <f>IF(OR(B97="",C97=""), "Missing Date",
    IF(C97&lt;B97, "Invalid: Ship before Order",
      "OK"))</f>
        <v>OK</v>
      </c>
      <c r="F97" t="s">
        <v>396</v>
      </c>
      <c r="G97" t="s">
        <v>132</v>
      </c>
      <c r="H97" t="s">
        <v>90</v>
      </c>
      <c r="I97" t="s">
        <v>63</v>
      </c>
      <c r="J97" t="s">
        <v>190</v>
      </c>
      <c r="K97" t="s">
        <v>191</v>
      </c>
      <c r="L97" t="s">
        <v>41</v>
      </c>
      <c r="M97" t="s">
        <v>158</v>
      </c>
      <c r="N97" t="s">
        <v>397</v>
      </c>
      <c r="O97" t="s">
        <v>44</v>
      </c>
      <c r="P97">
        <v>6</v>
      </c>
      <c r="Q97">
        <v>1754.13</v>
      </c>
      <c r="R97">
        <v>0</v>
      </c>
      <c r="S97">
        <v>10524.78</v>
      </c>
      <c r="T97">
        <v>8841.0499999999993</v>
      </c>
      <c r="U97">
        <v>1683.73</v>
      </c>
      <c r="V97" t="s">
        <v>32</v>
      </c>
      <c r="W97" t="s">
        <v>33</v>
      </c>
      <c r="X97" t="str">
        <f>_xlfn.TEXTJOIN("|", TRUE, A97:W97)</f>
        <v>ORD-2025-10096|45905|45939|34|OK|CUST-2687|Sneha Kapoor|Corporate|West|Goa|Panaji|Furniture|Bookcases|Classic Bookcases 988|Same Day|6|1754.13|0|10524.78|8841.05|1683.73|Paid|Completed</v>
      </c>
      <c r="Y97">
        <f>COUNTIF($X$2:$X$1000, X97)</f>
        <v>1</v>
      </c>
      <c r="Z97">
        <f>COUNTIF($A$2:$A$1000, A97)</f>
        <v>1</v>
      </c>
      <c r="AA97" t="str">
        <f>IF(Y97&gt;1, "Exact Duplicate",
  IF(Z97&gt;1, "Conflicting Duplicate - Review",
    "Unique"))</f>
        <v>Unique</v>
      </c>
      <c r="AB97" s="2">
        <f>IF(ISBLANK(R97), 0, IF(ISTEXT(R97), VALUE(SUBSTITUTE(R97, "%", ""))/100, IF(OR(R97&lt;0, R97&gt;1), "Invalid", R97)))</f>
        <v>0</v>
      </c>
      <c r="AC97" s="4">
        <f>IF(AB97="Invalid", "Error", P97 * Q97 * (1 - AB97))</f>
        <v>10524.78</v>
      </c>
      <c r="AD97" s="4">
        <f>IF(AC97="Error", "Error", AC97 - T97)</f>
        <v>1683.7300000000014</v>
      </c>
      <c r="AE97" s="2">
        <f>IF(AC97="Error", "Error", IF(AC97=0, 0, AD97 / AC97))</f>
        <v>0.15997769074507984</v>
      </c>
      <c r="AF97" s="7">
        <f>C97-B97</f>
        <v>34</v>
      </c>
      <c r="AG97" s="2" t="str">
        <f>TEXT(B97, "mmmm")</f>
        <v>September</v>
      </c>
      <c r="AH97" s="4">
        <f>YEAR(B97)</f>
        <v>2025</v>
      </c>
      <c r="AI97" s="2" t="str">
        <f t="shared" si="15"/>
        <v>Clean</v>
      </c>
      <c r="AJ97">
        <f>COUNTIFS($A$2:$A$1000,A97,$B$2:$B$1000,B97,$C$2:$C$1000,C97,$D$2:$D$1000,D97,$E$2:$E$1000,E97,$F$2:$F$1000,F97)</f>
        <v>1</v>
      </c>
      <c r="AK97">
        <f>COUNTIF($A$2:$A$1000, A97)</f>
        <v>1</v>
      </c>
    </row>
    <row r="98" spans="1:37">
      <c r="A98" t="s">
        <v>398</v>
      </c>
      <c r="B98" s="5">
        <v>45448</v>
      </c>
      <c r="C98" s="5">
        <v>45450</v>
      </c>
      <c r="D98" s="6">
        <f>IF(AND(C98&lt;&gt;"",B98&lt;&gt;""), C98-B98, "Missing Date")</f>
        <v>2</v>
      </c>
      <c r="E98" s="6" t="str">
        <f>IF(OR(B98="",C98=""), "Missing Date",
    IF(C98&lt;B98, "Invalid: Ship before Order",
      "OK"))</f>
        <v>OK</v>
      </c>
      <c r="F98" t="s">
        <v>399</v>
      </c>
      <c r="G98" t="s">
        <v>118</v>
      </c>
      <c r="H98" t="s">
        <v>95</v>
      </c>
      <c r="I98" t="s">
        <v>38</v>
      </c>
      <c r="J98" t="s">
        <v>39</v>
      </c>
      <c r="K98" t="s">
        <v>40</v>
      </c>
      <c r="L98" t="s">
        <v>74</v>
      </c>
      <c r="M98" t="s">
        <v>80</v>
      </c>
      <c r="N98" t="s">
        <v>400</v>
      </c>
      <c r="O98" t="s">
        <v>31</v>
      </c>
      <c r="P98">
        <v>2</v>
      </c>
      <c r="Q98">
        <v>2259.2399999999998</v>
      </c>
      <c r="R98">
        <v>0.15</v>
      </c>
      <c r="S98">
        <v>3840.71</v>
      </c>
      <c r="T98">
        <v>2516.29</v>
      </c>
      <c r="U98">
        <v>1324.42</v>
      </c>
      <c r="V98" t="s">
        <v>32</v>
      </c>
      <c r="W98" t="s">
        <v>33</v>
      </c>
      <c r="X98" t="str">
        <f>_xlfn.TEXTJOIN("|", TRUE, A98:W98)</f>
        <v>ORD-2024-10097|45448|45450|2|OK|CUST-7283|Rahul Verma|Home Office|East|Odisha|Bhubaneswar|Technology|Copiers|Smart Copiers 547|Second Class|2|2259.24|0.15|3840.71|2516.29|1324.42|Paid|Completed</v>
      </c>
      <c r="Y98">
        <f>COUNTIF($X$2:$X$1000, X98)</f>
        <v>1</v>
      </c>
      <c r="Z98">
        <f>COUNTIF($A$2:$A$1000, A98)</f>
        <v>1</v>
      </c>
      <c r="AA98" t="str">
        <f>IF(Y98&gt;1, "Exact Duplicate",
  IF(Z98&gt;1, "Conflicting Duplicate - Review",
    "Unique"))</f>
        <v>Unique</v>
      </c>
      <c r="AB98" s="2">
        <f>IF(ISBLANK(R98), 0, IF(ISTEXT(R98), VALUE(SUBSTITUTE(R98, "%", ""))/100, IF(OR(R98&lt;0, R98&gt;1), "Invalid", R98)))</f>
        <v>0.15</v>
      </c>
      <c r="AC98" s="4">
        <f>IF(AB98="Invalid", "Error", P98 * Q98 * (1 - AB98))</f>
        <v>3840.7079999999996</v>
      </c>
      <c r="AD98" s="4">
        <f>IF(AC98="Error", "Error", AC98 - T98)</f>
        <v>1324.4179999999997</v>
      </c>
      <c r="AE98" s="2">
        <f>IF(AC98="Error", "Error", IF(AC98=0, 0, AD98 / AC98))</f>
        <v>0.34483694152224009</v>
      </c>
      <c r="AF98" s="7">
        <f>C98-B98</f>
        <v>2</v>
      </c>
      <c r="AG98" s="2" t="str">
        <f>TEXT(B98, "mmmm")</f>
        <v>June</v>
      </c>
      <c r="AH98" s="4">
        <f>YEAR(B98)</f>
        <v>2024</v>
      </c>
      <c r="AI98" s="2" t="str">
        <f t="shared" si="15"/>
        <v>Clean</v>
      </c>
      <c r="AJ98">
        <f>COUNTIFS($A$2:$A$1000,A98,$B$2:$B$1000,B98,$C$2:$C$1000,C98,$D$2:$D$1000,D98,$E$2:$E$1000,E98,$F$2:$F$1000,F98)</f>
        <v>1</v>
      </c>
      <c r="AK98">
        <f>COUNTIF($A$2:$A$1000, A98)</f>
        <v>1</v>
      </c>
    </row>
    <row r="99" spans="1:37">
      <c r="A99" t="s">
        <v>401</v>
      </c>
      <c r="B99" s="5">
        <v>45877</v>
      </c>
      <c r="C99" s="5">
        <v>45880</v>
      </c>
      <c r="D99" s="6">
        <f>IF(AND(C99&lt;&gt;"",B99&lt;&gt;""), C99-B99, "Missing Date")</f>
        <v>3</v>
      </c>
      <c r="E99" s="6" t="str">
        <f>IF(OR(B99="",C99=""), "Missing Date",
    IF(C99&lt;B99, "Invalid: Ship before Order",
      "OK"))</f>
        <v>OK</v>
      </c>
      <c r="F99" t="s">
        <v>402</v>
      </c>
      <c r="G99" t="s">
        <v>162</v>
      </c>
      <c r="H99" t="s">
        <v>37</v>
      </c>
      <c r="I99" t="s">
        <v>63</v>
      </c>
      <c r="J99" t="s">
        <v>180</v>
      </c>
      <c r="K99" t="s">
        <v>181</v>
      </c>
      <c r="L99" t="s">
        <v>28</v>
      </c>
      <c r="M99" t="s">
        <v>124</v>
      </c>
      <c r="N99" t="s">
        <v>403</v>
      </c>
      <c r="O99" t="s">
        <v>44</v>
      </c>
      <c r="P99">
        <v>5</v>
      </c>
      <c r="Q99">
        <v>3602.36</v>
      </c>
      <c r="R99">
        <v>0.2</v>
      </c>
      <c r="S99">
        <v>14409.44</v>
      </c>
      <c r="T99">
        <v>8809.9699999999993</v>
      </c>
      <c r="U99">
        <v>5599.47</v>
      </c>
      <c r="V99" t="s">
        <v>111</v>
      </c>
      <c r="W99" t="s">
        <v>103</v>
      </c>
      <c r="X99" t="str">
        <f>_xlfn.TEXTJOIN("|", TRUE, A99:W99)</f>
        <v>ORD-2025-10098|45877|45880|3|OK|CUST-8111|Diya Patel|Small Business|West|Gujarat|Ahmedabad|Office Supplies|Storage|Basic Storage 656|Same Day|5|3602.36|0.2|14409.44|8809.97|5599.47|Pending|Returned</v>
      </c>
      <c r="Y99">
        <f>COUNTIF($X$2:$X$1000, X99)</f>
        <v>1</v>
      </c>
      <c r="Z99">
        <f>COUNTIF($A$2:$A$1000, A99)</f>
        <v>1</v>
      </c>
      <c r="AA99" t="str">
        <f>IF(Y99&gt;1, "Exact Duplicate",
  IF(Z99&gt;1, "Conflicting Duplicate - Review",
    "Unique"))</f>
        <v>Unique</v>
      </c>
      <c r="AB99" s="2">
        <f>IF(ISBLANK(R99), 0, IF(ISTEXT(R99), VALUE(SUBSTITUTE(R99, "%", ""))/100, IF(OR(R99&lt;0, R99&gt;1), "Invalid", R99)))</f>
        <v>0.2</v>
      </c>
      <c r="AC99" s="4">
        <f>IF(AB99="Invalid", "Error", P99 * Q99 * (1 - AB99))</f>
        <v>14409.44</v>
      </c>
      <c r="AD99" s="4">
        <f>IF(AC99="Error", "Error", AC99 - T99)</f>
        <v>5599.4700000000012</v>
      </c>
      <c r="AE99" s="2">
        <f>IF(AC99="Error", "Error", IF(AC99=0, 0, AD99 / AC99))</f>
        <v>0.38859733619071951</v>
      </c>
      <c r="AF99" s="7">
        <f>C99-B99</f>
        <v>3</v>
      </c>
      <c r="AG99" s="2" t="str">
        <f>TEXT(B99, "mmmm")</f>
        <v>August</v>
      </c>
      <c r="AH99" s="4">
        <f>YEAR(B99)</f>
        <v>2025</v>
      </c>
      <c r="AI99" s="2" t="str">
        <f t="shared" si="15"/>
        <v>Clean</v>
      </c>
      <c r="AJ99">
        <f>COUNTIFS($A$2:$A$1000,A99,$B$2:$B$1000,B99,$C$2:$C$1000,C99,$D$2:$D$1000,D99,$E$2:$E$1000,E99,$F$2:$F$1000,F99)</f>
        <v>1</v>
      </c>
      <c r="AK99">
        <f>COUNTIF($A$2:$A$1000, A99)</f>
        <v>1</v>
      </c>
    </row>
    <row r="100" spans="1:37">
      <c r="A100" t="s">
        <v>404</v>
      </c>
      <c r="B100" s="5">
        <v>45317</v>
      </c>
      <c r="C100" s="5">
        <v>45293</v>
      </c>
      <c r="D100" s="6">
        <f>IF(AND(C100&lt;&gt;"",B100&lt;&gt;""), C100-B100, "Missing Date")</f>
        <v>-24</v>
      </c>
      <c r="E100" s="6" t="str">
        <f>IF(OR(B100="",C100=""), "Missing Date",
    IF(C100&lt;B100, "Invalid: Ship before Order",
      "OK"))</f>
        <v>Invalid: Ship before Order</v>
      </c>
      <c r="F100" t="s">
        <v>405</v>
      </c>
      <c r="G100" t="s">
        <v>141</v>
      </c>
      <c r="H100" t="s">
        <v>95</v>
      </c>
      <c r="I100" t="s">
        <v>54</v>
      </c>
      <c r="J100" t="s">
        <v>185</v>
      </c>
      <c r="K100" t="s">
        <v>186</v>
      </c>
      <c r="L100" t="s">
        <v>74</v>
      </c>
      <c r="M100" t="s">
        <v>80</v>
      </c>
      <c r="N100" t="s">
        <v>406</v>
      </c>
      <c r="O100" t="s">
        <v>2762</v>
      </c>
      <c r="P100">
        <v>8</v>
      </c>
      <c r="Q100">
        <v>2108.9299999999998</v>
      </c>
      <c r="R100">
        <v>0.1</v>
      </c>
      <c r="S100">
        <v>15184.3</v>
      </c>
      <c r="T100">
        <v>11270.74</v>
      </c>
      <c r="U100">
        <v>3913.56</v>
      </c>
      <c r="V100" t="s">
        <v>32</v>
      </c>
      <c r="W100" t="s">
        <v>33</v>
      </c>
      <c r="X100" t="str">
        <f>_xlfn.TEXTJOIN("|", TRUE, A100:W100)</f>
        <v>ORD-2024-10099|45317|45293|-24|Invalid: Ship before Order|CUST-5434|Rohan Mehta|Home Office|South|Kerala|Kochi|Technology|Copiers|Elite Copiers 785|Unknown|8|2108.93|0.1|15184.3|11270.74|3913.56|Paid|Completed</v>
      </c>
      <c r="Y100">
        <f>COUNTIF($X$2:$X$1000, X100)</f>
        <v>1</v>
      </c>
      <c r="Z100">
        <f>COUNTIF($A$2:$A$1000, A100)</f>
        <v>1</v>
      </c>
      <c r="AA100" t="str">
        <f>IF(Y100&gt;1, "Exact Duplicate",
  IF(Z100&gt;1, "Conflicting Duplicate - Review",
    "Unique"))</f>
        <v>Unique</v>
      </c>
      <c r="AB100" s="2">
        <f>IF(ISBLANK(R100), 0, IF(ISTEXT(R100), VALUE(SUBSTITUTE(R100, "%", ""))/100, IF(OR(R100&lt;0, R100&gt;1), "Invalid", R100)))</f>
        <v>0.1</v>
      </c>
      <c r="AC100" s="4">
        <f>IF(AB100="Invalid", "Error", P100 * Q100 * (1 - AB100))</f>
        <v>15184.295999999998</v>
      </c>
      <c r="AD100" s="4">
        <f>IF(AC100="Error", "Error", AC100 - T100)</f>
        <v>3913.5559999999987</v>
      </c>
      <c r="AE100" s="2">
        <f>IF(AC100="Error", "Error", IF(AC100=0, 0, AD100 / AC100))</f>
        <v>0.25773707256497103</v>
      </c>
      <c r="AF100" s="7">
        <f>C100-B100</f>
        <v>-24</v>
      </c>
      <c r="AG100" s="2" t="str">
        <f>TEXT(B100, "mmmm")</f>
        <v>January</v>
      </c>
      <c r="AH100" s="4">
        <f>YEAR(B100)</f>
        <v>2024</v>
      </c>
      <c r="AI100" s="2" t="str">
        <f t="shared" si="15"/>
        <v>Warning: Missing Shipping Mode</v>
      </c>
      <c r="AJ100">
        <f>COUNTIFS($A$2:$A$1000,A100,$B$2:$B$1000,B100,$C$2:$C$1000,C100,$D$2:$D$1000,D100,$E$2:$E$1000,E100,$F$2:$F$1000,F100)</f>
        <v>1</v>
      </c>
      <c r="AK100">
        <f>COUNTIF($A$2:$A$1000, A100)</f>
        <v>1</v>
      </c>
    </row>
    <row r="101" spans="1:37">
      <c r="A101" t="s">
        <v>407</v>
      </c>
      <c r="B101" s="5">
        <v>45668</v>
      </c>
      <c r="C101" s="5">
        <v>45668</v>
      </c>
      <c r="D101" s="6">
        <f>IF(AND(C101&lt;&gt;"",B101&lt;&gt;""), C101-B101, "Missing Date")</f>
        <v>0</v>
      </c>
      <c r="E101" s="6" t="str">
        <f>IF(OR(B101="",C101=""), "Missing Date",
    IF(C101&lt;B101, "Invalid: Ship before Order",
      "OK"))</f>
        <v>OK</v>
      </c>
      <c r="F101" t="s">
        <v>408</v>
      </c>
      <c r="G101" t="s">
        <v>89</v>
      </c>
      <c r="H101" t="s">
        <v>37</v>
      </c>
      <c r="I101" t="s">
        <v>63</v>
      </c>
      <c r="J101" t="s">
        <v>26</v>
      </c>
      <c r="K101" t="s">
        <v>109</v>
      </c>
      <c r="L101" t="s">
        <v>74</v>
      </c>
      <c r="M101" t="s">
        <v>75</v>
      </c>
      <c r="N101" t="s">
        <v>409</v>
      </c>
      <c r="O101" t="s">
        <v>44</v>
      </c>
      <c r="P101">
        <v>3</v>
      </c>
      <c r="Q101">
        <v>2165.29</v>
      </c>
      <c r="R101">
        <v>0</v>
      </c>
      <c r="S101">
        <v>6495.87</v>
      </c>
      <c r="T101">
        <v>4700.8900000000003</v>
      </c>
      <c r="U101">
        <v>1794.98</v>
      </c>
      <c r="V101" t="s">
        <v>32</v>
      </c>
      <c r="W101" t="s">
        <v>33</v>
      </c>
      <c r="X101" t="str">
        <f>_xlfn.TEXTJOIN("|", TRUE, A101:W101)</f>
        <v>ORD-2025-10100|45668|45668|0|OK|CUST-3865|Aditi Sen|Small Business|West|Rajasthan|Udaipur|Technology|Accessories|Smart Accessories 542|Same Day|3|2165.29|0|6495.87|4700.89|1794.98|Paid|Completed</v>
      </c>
      <c r="Y101">
        <f>COUNTIF($X$2:$X$1000, X101)</f>
        <v>1</v>
      </c>
      <c r="Z101">
        <f>COUNTIF($A$2:$A$1000, A101)</f>
        <v>1</v>
      </c>
      <c r="AA101" t="str">
        <f>IF(Y101&gt;1, "Exact Duplicate",
  IF(Z101&gt;1, "Conflicting Duplicate - Review",
    "Unique"))</f>
        <v>Unique</v>
      </c>
      <c r="AB101" s="2">
        <f>IF(ISBLANK(R101), 0, IF(ISTEXT(R101), VALUE(SUBSTITUTE(R101, "%", ""))/100, IF(OR(R101&lt;0, R101&gt;1), "Invalid", R101)))</f>
        <v>0</v>
      </c>
      <c r="AC101" s="4">
        <f>IF(AB101="Invalid", "Error", P101 * Q101 * (1 - AB101))</f>
        <v>6495.87</v>
      </c>
      <c r="AD101" s="4">
        <f>IF(AC101="Error", "Error", AC101 - T101)</f>
        <v>1794.9799999999996</v>
      </c>
      <c r="AE101" s="2">
        <f>IF(AC101="Error", "Error", IF(AC101=0, 0, AD101 / AC101))</f>
        <v>0.27632634273777024</v>
      </c>
      <c r="AF101" s="7">
        <f>C101-B101</f>
        <v>0</v>
      </c>
      <c r="AG101" s="2" t="str">
        <f>TEXT(B101, "mmmm")</f>
        <v>January</v>
      </c>
      <c r="AH101" s="4">
        <f>YEAR(B101)</f>
        <v>2025</v>
      </c>
      <c r="AI101" s="2" t="str">
        <f t="shared" si="15"/>
        <v>Clean</v>
      </c>
      <c r="AJ101">
        <f>COUNTIFS($A$2:$A$1000,A101,$B$2:$B$1000,B101,$C$2:$C$1000,C101,$D$2:$D$1000,D101,$E$2:$E$1000,E101,$F$2:$F$1000,F101)</f>
        <v>1</v>
      </c>
      <c r="AK101">
        <f>COUNTIF($A$2:$A$1000, A101)</f>
        <v>1</v>
      </c>
    </row>
    <row r="102" spans="1:37">
      <c r="A102" t="s">
        <v>410</v>
      </c>
      <c r="B102" s="5">
        <v>45912</v>
      </c>
      <c r="C102" s="5">
        <v>45918</v>
      </c>
      <c r="D102" s="6">
        <f>IF(AND(C102&lt;&gt;"",B102&lt;&gt;""), C102-B102, "Missing Date")</f>
        <v>6</v>
      </c>
      <c r="E102" s="6" t="str">
        <f>IF(OR(B102="",C102=""), "Missing Date",
    IF(C102&lt;B102, "Invalid: Ship before Order",
      "OK"))</f>
        <v>OK</v>
      </c>
      <c r="F102" t="s">
        <v>411</v>
      </c>
      <c r="G102" t="s">
        <v>128</v>
      </c>
      <c r="H102" t="s">
        <v>95</v>
      </c>
      <c r="I102" t="s">
        <v>54</v>
      </c>
      <c r="J102" t="s">
        <v>185</v>
      </c>
      <c r="K102" t="s">
        <v>186</v>
      </c>
      <c r="L102" t="s">
        <v>28</v>
      </c>
      <c r="M102" t="s">
        <v>124</v>
      </c>
      <c r="N102" t="s">
        <v>412</v>
      </c>
      <c r="O102" t="s">
        <v>59</v>
      </c>
      <c r="P102">
        <v>6</v>
      </c>
      <c r="Q102">
        <v>1673.8</v>
      </c>
      <c r="R102">
        <v>0.05</v>
      </c>
      <c r="S102">
        <v>9540.66</v>
      </c>
      <c r="T102">
        <v>5561.49</v>
      </c>
      <c r="U102">
        <v>3979.17</v>
      </c>
      <c r="V102" t="s">
        <v>32</v>
      </c>
      <c r="W102" t="s">
        <v>33</v>
      </c>
      <c r="X102" t="str">
        <f>_xlfn.TEXTJOIN("|", TRUE, A102:W102)</f>
        <v>ORD-2025-10101|45912|45918|6|OK|CUST-6015|Aarav Sharma|Home Office|South|Kerala|Kochi|Office Supplies|Storage|Eco Storage 936|Standard Class|6|1673.8|0.05|9540.66|5561.49|3979.17|Paid|Completed</v>
      </c>
      <c r="Y102">
        <f>COUNTIF($X$2:$X$1000, X102)</f>
        <v>1</v>
      </c>
      <c r="Z102">
        <f>COUNTIF($A$2:$A$1000, A102)</f>
        <v>1</v>
      </c>
      <c r="AA102" t="str">
        <f>IF(Y102&gt;1, "Exact Duplicate",
  IF(Z102&gt;1, "Conflicting Duplicate - Review",
    "Unique"))</f>
        <v>Unique</v>
      </c>
      <c r="AB102" s="2">
        <f>IF(ISBLANK(R102), 0, IF(ISTEXT(R102), VALUE(SUBSTITUTE(R102, "%", ""))/100, IF(OR(R102&lt;0, R102&gt;1), "Invalid", R102)))</f>
        <v>0.05</v>
      </c>
      <c r="AC102" s="4">
        <f>IF(AB102="Invalid", "Error", P102 * Q102 * (1 - AB102))</f>
        <v>9540.659999999998</v>
      </c>
      <c r="AD102" s="4">
        <f>IF(AC102="Error", "Error", AC102 - T102)</f>
        <v>3979.1699999999983</v>
      </c>
      <c r="AE102" s="2">
        <f>IF(AC102="Error", "Error", IF(AC102=0, 0, AD102 / AC102))</f>
        <v>0.41707491934520241</v>
      </c>
      <c r="AF102" s="7">
        <f>C102-B102</f>
        <v>6</v>
      </c>
      <c r="AG102" s="2" t="str">
        <f>TEXT(B102, "mmmm")</f>
        <v>September</v>
      </c>
      <c r="AH102" s="4">
        <f>YEAR(B102)</f>
        <v>2025</v>
      </c>
      <c r="AI102" s="2" t="str">
        <f t="shared" si="15"/>
        <v>Clean</v>
      </c>
      <c r="AJ102">
        <f>COUNTIFS($A$2:$A$1000,A102,$B$2:$B$1000,B102,$C$2:$C$1000,C102,$D$2:$D$1000,D102,$E$2:$E$1000,E102,$F$2:$F$1000,F102)</f>
        <v>1</v>
      </c>
      <c r="AK102">
        <f>COUNTIF($A$2:$A$1000, A102)</f>
        <v>1</v>
      </c>
    </row>
    <row r="103" spans="1:37">
      <c r="A103" t="s">
        <v>413</v>
      </c>
      <c r="B103" s="5">
        <v>45465</v>
      </c>
      <c r="C103" s="5">
        <v>45469</v>
      </c>
      <c r="D103" s="6">
        <f>IF(AND(C103&lt;&gt;"",B103&lt;&gt;""), C103-B103, "Missing Date")</f>
        <v>4</v>
      </c>
      <c r="E103" s="6" t="str">
        <f>IF(OR(B103="",C103=""), "Missing Date",
    IF(C103&lt;B103, "Invalid: Ship before Order",
      "OK"))</f>
        <v>OK</v>
      </c>
      <c r="F103" t="s">
        <v>414</v>
      </c>
      <c r="G103" t="s">
        <v>141</v>
      </c>
      <c r="H103" t="s">
        <v>95</v>
      </c>
      <c r="I103" t="s">
        <v>38</v>
      </c>
      <c r="J103" t="s">
        <v>145</v>
      </c>
      <c r="K103" t="s">
        <v>146</v>
      </c>
      <c r="L103" t="s">
        <v>41</v>
      </c>
      <c r="M103" t="s">
        <v>57</v>
      </c>
      <c r="N103" t="s">
        <v>415</v>
      </c>
      <c r="O103" t="s">
        <v>50</v>
      </c>
      <c r="P103">
        <v>5</v>
      </c>
      <c r="Q103">
        <v>4396.5200000000004</v>
      </c>
      <c r="R103">
        <v>0.25</v>
      </c>
      <c r="S103">
        <v>16486.95</v>
      </c>
      <c r="T103">
        <v>12054.14</v>
      </c>
      <c r="U103">
        <v>4432.8100000000004</v>
      </c>
      <c r="V103" t="s">
        <v>32</v>
      </c>
      <c r="W103" t="s">
        <v>33</v>
      </c>
      <c r="X103" t="str">
        <f>_xlfn.TEXTJOIN("|", TRUE, A103:W103)</f>
        <v>ORD-2024-10102|45465|45469|4|OK|CUST-7909|Rohan Mehta|Home Office|East|Bihar|Patna|Furniture|Furnishings|Classic Furnishings 682|First Class|5|4396.52|0.25|16486.95|12054.14|4432.81|Paid|Completed</v>
      </c>
      <c r="Y103">
        <f>COUNTIF($X$2:$X$1000, X103)</f>
        <v>1</v>
      </c>
      <c r="Z103">
        <f>COUNTIF($A$2:$A$1000, A103)</f>
        <v>1</v>
      </c>
      <c r="AA103" t="str">
        <f>IF(Y103&gt;1, "Exact Duplicate",
  IF(Z103&gt;1, "Conflicting Duplicate - Review",
    "Unique"))</f>
        <v>Unique</v>
      </c>
      <c r="AB103" s="2">
        <f>IF(ISBLANK(R103), 0, IF(ISTEXT(R103), VALUE(SUBSTITUTE(R103, "%", ""))/100, IF(OR(R103&lt;0, R103&gt;1), "Invalid", R103)))</f>
        <v>0.25</v>
      </c>
      <c r="AC103" s="4">
        <f>IF(AB103="Invalid", "Error", P103 * Q103 * (1 - AB103))</f>
        <v>16486.95</v>
      </c>
      <c r="AD103" s="4">
        <f>IF(AC103="Error", "Error", AC103 - T103)</f>
        <v>4432.8100000000013</v>
      </c>
      <c r="AE103" s="2">
        <f>IF(AC103="Error", "Error", IF(AC103=0, 0, AD103 / AC103))</f>
        <v>0.26886780150361356</v>
      </c>
      <c r="AF103" s="7">
        <f>C103-B103</f>
        <v>4</v>
      </c>
      <c r="AG103" s="2" t="str">
        <f>TEXT(B103, "mmmm")</f>
        <v>June</v>
      </c>
      <c r="AH103" s="4">
        <f>YEAR(B103)</f>
        <v>2024</v>
      </c>
      <c r="AI103" s="2" t="str">
        <f t="shared" si="15"/>
        <v>Clean</v>
      </c>
      <c r="AJ103">
        <f>COUNTIFS($A$2:$A$1000,A103,$B$2:$B$1000,B103,$C$2:$C$1000,C103,$D$2:$D$1000,D103,$E$2:$E$1000,E103,$F$2:$F$1000,F103)</f>
        <v>1</v>
      </c>
      <c r="AK103">
        <f>COUNTIF($A$2:$A$1000, A103)</f>
        <v>1</v>
      </c>
    </row>
    <row r="104" spans="1:37">
      <c r="A104" t="s">
        <v>416</v>
      </c>
      <c r="B104" s="5">
        <v>45850</v>
      </c>
      <c r="C104" s="5">
        <v>45854</v>
      </c>
      <c r="D104" s="6">
        <f>IF(AND(C104&lt;&gt;"",B104&lt;&gt;""), C104-B104, "Missing Date")</f>
        <v>4</v>
      </c>
      <c r="E104" s="6" t="str">
        <f>IF(OR(B104="",C104=""), "Missing Date",
    IF(C104&lt;B104, "Invalid: Ship before Order",
      "OK"))</f>
        <v>OK</v>
      </c>
      <c r="F104" t="s">
        <v>417</v>
      </c>
      <c r="G104" t="s">
        <v>71</v>
      </c>
      <c r="H104" t="s">
        <v>24</v>
      </c>
      <c r="I104" t="s">
        <v>54</v>
      </c>
      <c r="J104" t="s">
        <v>175</v>
      </c>
      <c r="K104" t="s">
        <v>176</v>
      </c>
      <c r="L104" t="s">
        <v>41</v>
      </c>
      <c r="M104" t="s">
        <v>66</v>
      </c>
      <c r="N104" t="s">
        <v>418</v>
      </c>
      <c r="O104" t="s">
        <v>50</v>
      </c>
      <c r="P104">
        <v>4</v>
      </c>
      <c r="Q104">
        <v>2865.71</v>
      </c>
      <c r="R104">
        <v>0</v>
      </c>
      <c r="S104">
        <v>11462.84</v>
      </c>
      <c r="T104">
        <v>8979.7800000000007</v>
      </c>
      <c r="U104">
        <v>2483.06</v>
      </c>
      <c r="V104" t="s">
        <v>102</v>
      </c>
      <c r="W104" t="s">
        <v>68</v>
      </c>
      <c r="X104" t="str">
        <f>_xlfn.TEXTJOIN("|", TRUE, A104:W104)</f>
        <v>ORD-2025-10103|45850|45854|4|OK|CUST-9603|Vikram Iyer|Consumer|South|Karnataka|Bengaluru|Furniture|Chairs|Classic Chairs 604|First Class|4|2865.71|0|11462.84|8979.78|2483.06|Refunded|Cancelled</v>
      </c>
      <c r="Y104">
        <f>COUNTIF($X$2:$X$1000, X104)</f>
        <v>1</v>
      </c>
      <c r="Z104">
        <f>COUNTIF($A$2:$A$1000, A104)</f>
        <v>1</v>
      </c>
      <c r="AA104" t="str">
        <f>IF(Y104&gt;1, "Exact Duplicate",
  IF(Z104&gt;1, "Conflicting Duplicate - Review",
    "Unique"))</f>
        <v>Unique</v>
      </c>
      <c r="AB104" s="2">
        <f>IF(ISBLANK(R104), 0, IF(ISTEXT(R104), VALUE(SUBSTITUTE(R104, "%", ""))/100, IF(OR(R104&lt;0, R104&gt;1), "Invalid", R104)))</f>
        <v>0</v>
      </c>
      <c r="AC104" s="4">
        <f>IF(AB104="Invalid", "Error", P104 * Q104 * (1 - AB104))</f>
        <v>11462.84</v>
      </c>
      <c r="AD104" s="4">
        <f>IF(AC104="Error", "Error", AC104 - T104)</f>
        <v>2483.0599999999995</v>
      </c>
      <c r="AE104" s="2">
        <f>IF(AC104="Error", "Error", IF(AC104=0, 0, AD104 / AC104))</f>
        <v>0.21661822026653077</v>
      </c>
      <c r="AF104" s="7">
        <f>C104-B104</f>
        <v>4</v>
      </c>
      <c r="AG104" s="2" t="str">
        <f>TEXT(B104, "mmmm")</f>
        <v>July</v>
      </c>
      <c r="AH104" s="4">
        <f>YEAR(B104)</f>
        <v>2025</v>
      </c>
      <c r="AI104" s="2" t="str">
        <f t="shared" si="15"/>
        <v>Excluded from Sales</v>
      </c>
      <c r="AJ104">
        <f>COUNTIFS($A$2:$A$1000,A104,$B$2:$B$1000,B104,$C$2:$C$1000,C104,$D$2:$D$1000,D104,$E$2:$E$1000,E104,$F$2:$F$1000,F104)</f>
        <v>1</v>
      </c>
      <c r="AK104">
        <f>COUNTIF($A$2:$A$1000, A104)</f>
        <v>1</v>
      </c>
    </row>
    <row r="105" spans="1:37">
      <c r="A105" t="s">
        <v>419</v>
      </c>
      <c r="B105" s="5">
        <v>45693</v>
      </c>
      <c r="C105" s="5">
        <v>45935</v>
      </c>
      <c r="D105" s="6">
        <f>IF(AND(C105&lt;&gt;"",B105&lt;&gt;""), C105-B105, "Missing Date")</f>
        <v>242</v>
      </c>
      <c r="E105" s="6" t="str">
        <f>IF(OR(B105="",C105=""), "Missing Date",
    IF(C105&lt;B105, "Invalid: Ship before Order",
      "OK"))</f>
        <v>OK</v>
      </c>
      <c r="F105" t="s">
        <v>420</v>
      </c>
      <c r="G105" t="s">
        <v>264</v>
      </c>
      <c r="H105" t="s">
        <v>90</v>
      </c>
      <c r="I105" t="s">
        <v>63</v>
      </c>
      <c r="J105" t="s">
        <v>64</v>
      </c>
      <c r="K105" t="s">
        <v>65</v>
      </c>
      <c r="L105" t="s">
        <v>41</v>
      </c>
      <c r="M105" t="s">
        <v>42</v>
      </c>
      <c r="N105" t="s">
        <v>421</v>
      </c>
      <c r="O105" t="s">
        <v>50</v>
      </c>
      <c r="P105">
        <v>4</v>
      </c>
      <c r="Q105">
        <v>2440.34</v>
      </c>
      <c r="R105">
        <v>0.2</v>
      </c>
      <c r="S105">
        <v>7809.09</v>
      </c>
      <c r="T105">
        <v>6657.75</v>
      </c>
      <c r="U105">
        <v>1151.3399999999999</v>
      </c>
      <c r="V105" t="s">
        <v>32</v>
      </c>
      <c r="W105" t="s">
        <v>33</v>
      </c>
      <c r="X105" t="str">
        <f>_xlfn.TEXTJOIN("|", TRUE, A105:W105)</f>
        <v>ORD-2025-10104|45693|45935|242|OK|CUST-6263|Kabir Singh|Corporate|West|Maharashtra|Mumbai|Furniture|Tables|Prime Tables 377|First Class|4|2440.34|0.2|7809.09|6657.75|1151.34|Paid|Completed</v>
      </c>
      <c r="Y105">
        <f>COUNTIF($X$2:$X$1000, X105)</f>
        <v>1</v>
      </c>
      <c r="Z105">
        <f>COUNTIF($A$2:$A$1000, A105)</f>
        <v>1</v>
      </c>
      <c r="AA105" t="str">
        <f>IF(Y105&gt;1, "Exact Duplicate",
  IF(Z105&gt;1, "Conflicting Duplicate - Review",
    "Unique"))</f>
        <v>Unique</v>
      </c>
      <c r="AB105" s="2">
        <f>IF(ISBLANK(R105), 0, IF(ISTEXT(R105), VALUE(SUBSTITUTE(R105, "%", ""))/100, IF(OR(R105&lt;0, R105&gt;1), "Invalid", R105)))</f>
        <v>0.2</v>
      </c>
      <c r="AC105" s="4">
        <f>IF(AB105="Invalid", "Error", P105 * Q105 * (1 - AB105))</f>
        <v>7809.0880000000006</v>
      </c>
      <c r="AD105" s="4">
        <f>IF(AC105="Error", "Error", AC105 - T105)</f>
        <v>1151.3380000000006</v>
      </c>
      <c r="AE105" s="2">
        <f>IF(AC105="Error", "Error", IF(AC105=0, 0, AD105 / AC105))</f>
        <v>0.14743565445798543</v>
      </c>
      <c r="AF105" s="7">
        <f>C105-B105</f>
        <v>242</v>
      </c>
      <c r="AG105" s="2" t="str">
        <f>TEXT(B105, "mmmm")</f>
        <v>February</v>
      </c>
      <c r="AH105" s="4">
        <f>YEAR(B105)</f>
        <v>2025</v>
      </c>
      <c r="AI105" s="2" t="str">
        <f t="shared" si="15"/>
        <v>Clean</v>
      </c>
      <c r="AJ105">
        <f>COUNTIFS($A$2:$A$1000,A105,$B$2:$B$1000,B105,$C$2:$C$1000,C105,$D$2:$D$1000,D105,$E$2:$E$1000,E105,$F$2:$F$1000,F105)</f>
        <v>1</v>
      </c>
      <c r="AK105">
        <f>COUNTIF($A$2:$A$1000, A105)</f>
        <v>1</v>
      </c>
    </row>
    <row r="106" spans="1:37">
      <c r="A106" t="s">
        <v>422</v>
      </c>
      <c r="B106" s="5">
        <v>45689</v>
      </c>
      <c r="C106" s="5">
        <v>45871</v>
      </c>
      <c r="D106" s="6">
        <f>IF(AND(C106&lt;&gt;"",B106&lt;&gt;""), C106-B106, "Missing Date")</f>
        <v>182</v>
      </c>
      <c r="E106" s="6" t="str">
        <f>IF(OR(B106="",C106=""), "Missing Date",
    IF(C106&lt;B106, "Invalid: Ship before Order",
      "OK"))</f>
        <v>OK</v>
      </c>
      <c r="F106" t="s">
        <v>423</v>
      </c>
      <c r="G106" t="s">
        <v>62</v>
      </c>
      <c r="H106" t="s">
        <v>24</v>
      </c>
      <c r="I106" t="s">
        <v>54</v>
      </c>
      <c r="J106" t="s">
        <v>175</v>
      </c>
      <c r="K106" t="s">
        <v>176</v>
      </c>
      <c r="L106" t="s">
        <v>28</v>
      </c>
      <c r="M106" t="s">
        <v>91</v>
      </c>
      <c r="N106" t="s">
        <v>424</v>
      </c>
      <c r="O106" t="s">
        <v>44</v>
      </c>
      <c r="P106">
        <v>5</v>
      </c>
      <c r="Q106">
        <v>2112.54</v>
      </c>
      <c r="R106">
        <v>0.25</v>
      </c>
      <c r="S106">
        <v>8260.4599999999991</v>
      </c>
      <c r="T106">
        <v>5619.95</v>
      </c>
      <c r="U106">
        <v>2302.08</v>
      </c>
      <c r="V106" t="s">
        <v>32</v>
      </c>
      <c r="W106" t="s">
        <v>68</v>
      </c>
      <c r="X106" t="str">
        <f>_xlfn.TEXTJOIN("|", TRUE, A106:W106)</f>
        <v>ORD-2025-10105|45689|45871|182|OK|CUST-1576|Ananya Rao|Consumer|South|Karnataka|Bengaluru|Office Supplies|Labels|Prime Labels 807|Same Day|5|2112.54|0.25|8260.46|5619.95|2302.08|Paid|Cancelled</v>
      </c>
      <c r="Y106">
        <f>COUNTIF($X$2:$X$1000, X106)</f>
        <v>1</v>
      </c>
      <c r="Z106">
        <f>COUNTIF($A$2:$A$1000, A106)</f>
        <v>1</v>
      </c>
      <c r="AA106" t="str">
        <f>IF(Y106&gt;1, "Exact Duplicate",
  IF(Z106&gt;1, "Conflicting Duplicate - Review",
    "Unique"))</f>
        <v>Unique</v>
      </c>
      <c r="AB106" s="2">
        <f>IF(ISBLANK(R106), 0, IF(ISTEXT(R106), VALUE(SUBSTITUTE(R106, "%", ""))/100, IF(OR(R106&lt;0, R106&gt;1), "Invalid", R106)))</f>
        <v>0.25</v>
      </c>
      <c r="AC106" s="4">
        <f>IF(AB106="Invalid", "Error", P106 * Q106 * (1 - AB106))</f>
        <v>7922.0250000000005</v>
      </c>
      <c r="AD106" s="4">
        <f>IF(AC106="Error", "Error", AC106 - T106)</f>
        <v>2302.0750000000007</v>
      </c>
      <c r="AE106" s="2">
        <f>IF(AC106="Error", "Error", IF(AC106=0, 0, AD106 / AC106))</f>
        <v>0.29059173633004193</v>
      </c>
      <c r="AF106" s="7">
        <f>C106-B106</f>
        <v>182</v>
      </c>
      <c r="AG106" s="2" t="str">
        <f>TEXT(B106, "mmmm")</f>
        <v>February</v>
      </c>
      <c r="AH106" s="4">
        <f>YEAR(B106)</f>
        <v>2025</v>
      </c>
      <c r="AI106" s="2" t="str">
        <f t="shared" si="15"/>
        <v>Excluded from Sales</v>
      </c>
      <c r="AJ106">
        <f>COUNTIFS($A$2:$A$1000,A106,$B$2:$B$1000,B106,$C$2:$C$1000,C106,$D$2:$D$1000,D106,$E$2:$E$1000,E106,$F$2:$F$1000,F106)</f>
        <v>1</v>
      </c>
      <c r="AK106">
        <f>COUNTIF($A$2:$A$1000, A106)</f>
        <v>1</v>
      </c>
    </row>
    <row r="107" spans="1:37">
      <c r="A107" t="s">
        <v>425</v>
      </c>
      <c r="B107" s="5">
        <v>45467</v>
      </c>
      <c r="C107" s="5">
        <v>45472</v>
      </c>
      <c r="D107" s="6">
        <f>IF(AND(C107&lt;&gt;"",B107&lt;&gt;""), C107-B107, "Missing Date")</f>
        <v>5</v>
      </c>
      <c r="E107" s="6" t="str">
        <f>IF(OR(B107="",C107=""), "Missing Date",
    IF(C107&lt;B107, "Invalid: Ship before Order",
      "OK"))</f>
        <v>OK</v>
      </c>
      <c r="F107" t="s">
        <v>426</v>
      </c>
      <c r="G107" t="s">
        <v>36</v>
      </c>
      <c r="H107" t="s">
        <v>95</v>
      </c>
      <c r="I107" t="s">
        <v>38</v>
      </c>
      <c r="J107" t="s">
        <v>99</v>
      </c>
      <c r="K107" t="s">
        <v>100</v>
      </c>
      <c r="L107" t="s">
        <v>41</v>
      </c>
      <c r="M107" t="s">
        <v>42</v>
      </c>
      <c r="N107" t="s">
        <v>427</v>
      </c>
      <c r="O107" t="s">
        <v>31</v>
      </c>
      <c r="P107">
        <v>2</v>
      </c>
      <c r="Q107">
        <v>685</v>
      </c>
      <c r="R107">
        <v>0.1</v>
      </c>
      <c r="S107">
        <v>1233</v>
      </c>
      <c r="T107">
        <v>1006.9</v>
      </c>
      <c r="U107">
        <v>226.1</v>
      </c>
      <c r="V107" t="s">
        <v>32</v>
      </c>
      <c r="W107" t="s">
        <v>33</v>
      </c>
      <c r="X107" t="str">
        <f>_xlfn.TEXTJOIN("|", TRUE, A107:W107)</f>
        <v>ORD-2024-10106|45467|45472|5|OK|CUST-6540|Mira Das|Home Office|East|West Bengal|Kolkata|Furniture|Tables|Eco Tables 575|Second Class|2|685|0.1|1233|1006.9|226.1|Paid|Completed</v>
      </c>
      <c r="Y107">
        <f>COUNTIF($X$2:$X$1000, X107)</f>
        <v>1</v>
      </c>
      <c r="Z107">
        <f>COUNTIF($A$2:$A$1000, A107)</f>
        <v>1</v>
      </c>
      <c r="AA107" t="str">
        <f>IF(Y107&gt;1, "Exact Duplicate",
  IF(Z107&gt;1, "Conflicting Duplicate - Review",
    "Unique"))</f>
        <v>Unique</v>
      </c>
      <c r="AB107" s="2">
        <f>IF(ISBLANK(R107), 0, IF(ISTEXT(R107), VALUE(SUBSTITUTE(R107, "%", ""))/100, IF(OR(R107&lt;0, R107&gt;1), "Invalid", R107)))</f>
        <v>0.1</v>
      </c>
      <c r="AC107" s="4">
        <f>IF(AB107="Invalid", "Error", P107 * Q107 * (1 - AB107))</f>
        <v>1233</v>
      </c>
      <c r="AD107" s="4">
        <f>IF(AC107="Error", "Error", AC107 - T107)</f>
        <v>226.10000000000002</v>
      </c>
      <c r="AE107" s="2">
        <f>IF(AC107="Error", "Error", IF(AC107=0, 0, AD107 / AC107))</f>
        <v>0.18337388483373887</v>
      </c>
      <c r="AF107" s="7">
        <f>C107-B107</f>
        <v>5</v>
      </c>
      <c r="AG107" s="2" t="str">
        <f>TEXT(B107, "mmmm")</f>
        <v>June</v>
      </c>
      <c r="AH107" s="4">
        <f>YEAR(B107)</f>
        <v>2024</v>
      </c>
      <c r="AI107" s="2" t="str">
        <f t="shared" si="15"/>
        <v>Clean</v>
      </c>
      <c r="AJ107">
        <f>COUNTIFS($A$2:$A$1000,A107,$B$2:$B$1000,B107,$C$2:$C$1000,C107,$D$2:$D$1000,D107,$E$2:$E$1000,E107,$F$2:$F$1000,F107)</f>
        <v>1</v>
      </c>
      <c r="AK107">
        <f>COUNTIF($A$2:$A$1000, A107)</f>
        <v>1</v>
      </c>
    </row>
    <row r="108" spans="1:37">
      <c r="A108" t="s">
        <v>428</v>
      </c>
      <c r="B108" s="5">
        <v>45342</v>
      </c>
      <c r="C108" s="5">
        <v>45350</v>
      </c>
      <c r="D108" s="6">
        <f>IF(AND(C108&lt;&gt;"",B108&lt;&gt;""), C108-B108, "Missing Date")</f>
        <v>8</v>
      </c>
      <c r="E108" s="6" t="str">
        <f>IF(OR(B108="",C108=""), "Missing Date",
    IF(C108&lt;B108, "Invalid: Ship before Order",
      "OK"))</f>
        <v>OK</v>
      </c>
      <c r="F108" t="s">
        <v>429</v>
      </c>
      <c r="G108" t="s">
        <v>53</v>
      </c>
      <c r="H108" t="s">
        <v>95</v>
      </c>
      <c r="I108" t="s">
        <v>38</v>
      </c>
      <c r="J108" t="s">
        <v>99</v>
      </c>
      <c r="K108" t="s">
        <v>100</v>
      </c>
      <c r="L108" t="s">
        <v>28</v>
      </c>
      <c r="M108" t="s">
        <v>29</v>
      </c>
      <c r="N108" t="s">
        <v>430</v>
      </c>
      <c r="O108" t="s">
        <v>59</v>
      </c>
      <c r="P108">
        <v>2</v>
      </c>
      <c r="Q108">
        <v>4004.04</v>
      </c>
      <c r="S108">
        <v>7207.27</v>
      </c>
      <c r="T108">
        <v>5709.39</v>
      </c>
      <c r="U108">
        <v>1497.88</v>
      </c>
      <c r="V108" t="s">
        <v>32</v>
      </c>
      <c r="W108" t="s">
        <v>68</v>
      </c>
      <c r="X108" t="str">
        <f>_xlfn.TEXTJOIN("|", TRUE, A108:W108)</f>
        <v>ORD-2024-10107|45342|45350|8|OK|CUST-4008|Arjun Bose|Home Office|East|West Bengal|Kolkata|Office Supplies|Paper|Eco Paper 918|Standard Class|2|4004.04|7207.27|5709.39|1497.88|Paid|Cancelled</v>
      </c>
      <c r="Y108">
        <f>COUNTIF($X$2:$X$1000, X108)</f>
        <v>1</v>
      </c>
      <c r="Z108">
        <f>COUNTIF($A$2:$A$1000, A108)</f>
        <v>1</v>
      </c>
      <c r="AA108" t="str">
        <f>IF(Y108&gt;1, "Exact Duplicate",
  IF(Z108&gt;1, "Conflicting Duplicate - Review",
    "Unique"))</f>
        <v>Unique</v>
      </c>
      <c r="AB108" s="2">
        <f>IF(ISBLANK(R108), 0, IF(ISTEXT(R108), VALUE(SUBSTITUTE(R108, "%", ""))/100, IF(OR(R108&lt;0, R108&gt;1), "Invalid", R108)))</f>
        <v>0</v>
      </c>
      <c r="AC108" s="4">
        <f>IF(AB108="Invalid", "Error", P108 * Q108 * (1 - AB108))</f>
        <v>8008.08</v>
      </c>
      <c r="AD108" s="4">
        <f>IF(AC108="Error", "Error", AC108 - T108)</f>
        <v>2298.6899999999996</v>
      </c>
      <c r="AE108" s="2">
        <f>IF(AC108="Error", "Error", IF(AC108=0, 0, AD108 / AC108))</f>
        <v>0.28704633320346445</v>
      </c>
      <c r="AF108" s="7">
        <f>C108-B108</f>
        <v>8</v>
      </c>
      <c r="AG108" s="2" t="str">
        <f>TEXT(B108, "mmmm")</f>
        <v>February</v>
      </c>
      <c r="AH108" s="4">
        <f>YEAR(B108)</f>
        <v>2024</v>
      </c>
      <c r="AI108" s="2" t="str">
        <f t="shared" si="15"/>
        <v>Excluded from Sales</v>
      </c>
      <c r="AJ108">
        <f>COUNTIFS($A$2:$A$1000,A108,$B$2:$B$1000,B108,$C$2:$C$1000,C108,$D$2:$D$1000,D108,$E$2:$E$1000,E108,$F$2:$F$1000,F108)</f>
        <v>1</v>
      </c>
      <c r="AK108">
        <f>COUNTIF($A$2:$A$1000, A108)</f>
        <v>1</v>
      </c>
    </row>
    <row r="109" spans="1:37">
      <c r="A109" t="s">
        <v>431</v>
      </c>
      <c r="B109" s="5">
        <v>45594</v>
      </c>
      <c r="C109" s="5">
        <v>45600</v>
      </c>
      <c r="D109" s="6">
        <f>IF(AND(C109&lt;&gt;"",B109&lt;&gt;""), C109-B109, "Missing Date")</f>
        <v>6</v>
      </c>
      <c r="E109" s="6" t="str">
        <f>IF(OR(B109="",C109=""), "Missing Date",
    IF(C109&lt;B109, "Invalid: Ship before Order",
      "OK"))</f>
        <v>OK</v>
      </c>
      <c r="F109" t="s">
        <v>432</v>
      </c>
      <c r="G109" t="s">
        <v>141</v>
      </c>
      <c r="H109" t="s">
        <v>95</v>
      </c>
      <c r="I109" t="s">
        <v>38</v>
      </c>
      <c r="J109" t="s">
        <v>99</v>
      </c>
      <c r="K109" t="s">
        <v>100</v>
      </c>
      <c r="L109" t="s">
        <v>41</v>
      </c>
      <c r="M109" t="s">
        <v>57</v>
      </c>
      <c r="N109" t="s">
        <v>433</v>
      </c>
      <c r="O109" t="s">
        <v>50</v>
      </c>
      <c r="P109">
        <v>3</v>
      </c>
      <c r="Q109">
        <v>4302.8900000000003</v>
      </c>
      <c r="R109">
        <v>0.05</v>
      </c>
      <c r="S109">
        <v>12263.24</v>
      </c>
      <c r="T109">
        <v>8925.57</v>
      </c>
      <c r="U109">
        <v>3337.67</v>
      </c>
      <c r="V109" t="s">
        <v>32</v>
      </c>
      <c r="W109" t="s">
        <v>33</v>
      </c>
      <c r="X109" t="str">
        <f>_xlfn.TEXTJOIN("|", TRUE, A109:W109)</f>
        <v>ORD-2024-10108|45594|45600|6|OK|CUST-6604|Rohan Mehta|Home Office|East|West Bengal|Kolkata|Furniture|Furnishings|Prime Furnishings 952|First Class|3|4302.89|0.05|12263.24|8925.57|3337.67|Paid|Completed</v>
      </c>
      <c r="Y109">
        <f>COUNTIF($X$2:$X$1000, X109)</f>
        <v>1</v>
      </c>
      <c r="Z109">
        <f>COUNTIF($A$2:$A$1000, A109)</f>
        <v>1</v>
      </c>
      <c r="AA109" t="str">
        <f>IF(Y109&gt;1, "Exact Duplicate",
  IF(Z109&gt;1, "Conflicting Duplicate - Review",
    "Unique"))</f>
        <v>Unique</v>
      </c>
      <c r="AB109" s="2">
        <f>IF(ISBLANK(R109), 0, IF(ISTEXT(R109), VALUE(SUBSTITUTE(R109, "%", ""))/100, IF(OR(R109&lt;0, R109&gt;1), "Invalid", R109)))</f>
        <v>0.05</v>
      </c>
      <c r="AC109" s="4">
        <f>IF(AB109="Invalid", "Error", P109 * Q109 * (1 - AB109))</f>
        <v>12263.236500000001</v>
      </c>
      <c r="AD109" s="4">
        <f>IF(AC109="Error", "Error", AC109 - T109)</f>
        <v>3337.6665000000012</v>
      </c>
      <c r="AE109" s="2">
        <f>IF(AC109="Error", "Error", IF(AC109=0, 0, AD109 / AC109))</f>
        <v>0.27216848504878799</v>
      </c>
      <c r="AF109" s="7">
        <f>C109-B109</f>
        <v>6</v>
      </c>
      <c r="AG109" s="2" t="str">
        <f>TEXT(B109, "mmmm")</f>
        <v>October</v>
      </c>
      <c r="AH109" s="4">
        <f>YEAR(B109)</f>
        <v>2024</v>
      </c>
      <c r="AI109" s="2" t="str">
        <f t="shared" si="15"/>
        <v>Clean</v>
      </c>
      <c r="AJ109">
        <f>COUNTIFS($A$2:$A$1000,A109,$B$2:$B$1000,B109,$C$2:$C$1000,C109,$D$2:$D$1000,D109,$E$2:$E$1000,E109,$F$2:$F$1000,F109)</f>
        <v>1</v>
      </c>
      <c r="AK109">
        <f>COUNTIF($A$2:$A$1000, A109)</f>
        <v>1</v>
      </c>
    </row>
    <row r="110" spans="1:37">
      <c r="A110" t="s">
        <v>434</v>
      </c>
      <c r="B110" s="5">
        <v>45519</v>
      </c>
      <c r="C110" s="5">
        <v>45527</v>
      </c>
      <c r="D110" s="6">
        <f>IF(AND(C110&lt;&gt;"",B110&lt;&gt;""), C110-B110, "Missing Date")</f>
        <v>8</v>
      </c>
      <c r="E110" s="6" t="str">
        <f>IF(OR(B110="",C110=""), "Missing Date",
    IF(C110&lt;B110, "Invalid: Ship before Order",
      "OK"))</f>
        <v>OK</v>
      </c>
      <c r="F110" t="s">
        <v>435</v>
      </c>
      <c r="G110" t="s">
        <v>89</v>
      </c>
      <c r="H110" t="s">
        <v>37</v>
      </c>
      <c r="I110" t="s">
        <v>38</v>
      </c>
      <c r="J110" t="s">
        <v>39</v>
      </c>
      <c r="K110" t="s">
        <v>40</v>
      </c>
      <c r="L110" t="s">
        <v>41</v>
      </c>
      <c r="M110" t="s">
        <v>158</v>
      </c>
      <c r="N110" t="s">
        <v>436</v>
      </c>
      <c r="O110" t="s">
        <v>44</v>
      </c>
      <c r="P110">
        <v>2</v>
      </c>
      <c r="Q110">
        <v>537.54</v>
      </c>
      <c r="R110">
        <v>0.25</v>
      </c>
      <c r="S110">
        <v>806.31</v>
      </c>
      <c r="T110">
        <v>498.5</v>
      </c>
      <c r="U110">
        <v>307.81</v>
      </c>
      <c r="V110" t="s">
        <v>32</v>
      </c>
      <c r="W110" t="s">
        <v>33</v>
      </c>
      <c r="X110" t="str">
        <f>_xlfn.TEXTJOIN("|", TRUE, A110:W110)</f>
        <v>ORD-2024-10109|45519|45527|8|OK|CUST-4337|Aditi Sen|Small Business|East|Odisha|Bhubaneswar|Furniture|Bookcases|Prime Bookcases 631|Same Day|2|537.54|0.25|806.31|498.5|307.81|Paid|Completed</v>
      </c>
      <c r="Y110">
        <f>COUNTIF($X$2:$X$1000, X110)</f>
        <v>1</v>
      </c>
      <c r="Z110">
        <f>COUNTIF($A$2:$A$1000, A110)</f>
        <v>1</v>
      </c>
      <c r="AA110" t="str">
        <f>IF(Y110&gt;1, "Exact Duplicate",
  IF(Z110&gt;1, "Conflicting Duplicate - Review",
    "Unique"))</f>
        <v>Unique</v>
      </c>
      <c r="AB110" s="2">
        <f>IF(ISBLANK(R110), 0, IF(ISTEXT(R110), VALUE(SUBSTITUTE(R110, "%", ""))/100, IF(OR(R110&lt;0, R110&gt;1), "Invalid", R110)))</f>
        <v>0.25</v>
      </c>
      <c r="AC110" s="4">
        <f>IF(AB110="Invalid", "Error", P110 * Q110 * (1 - AB110))</f>
        <v>806.31</v>
      </c>
      <c r="AD110" s="4">
        <f>IF(AC110="Error", "Error", AC110 - T110)</f>
        <v>307.80999999999995</v>
      </c>
      <c r="AE110" s="2">
        <f>IF(AC110="Error", "Error", IF(AC110=0, 0, AD110 / AC110))</f>
        <v>0.38175143555208291</v>
      </c>
      <c r="AF110" s="7">
        <f>C110-B110</f>
        <v>8</v>
      </c>
      <c r="AG110" s="2" t="str">
        <f>TEXT(B110, "mmmm")</f>
        <v>August</v>
      </c>
      <c r="AH110" s="4">
        <f>YEAR(B110)</f>
        <v>2024</v>
      </c>
      <c r="AI110" s="2" t="str">
        <f t="shared" si="15"/>
        <v>Clean</v>
      </c>
      <c r="AJ110">
        <f>COUNTIFS($A$2:$A$1000,A110,$B$2:$B$1000,B110,$C$2:$C$1000,C110,$D$2:$D$1000,D110,$E$2:$E$1000,E110,$F$2:$F$1000,F110)</f>
        <v>1</v>
      </c>
      <c r="AK110">
        <f>COUNTIF($A$2:$A$1000, A110)</f>
        <v>1</v>
      </c>
    </row>
    <row r="111" spans="1:37">
      <c r="A111" t="s">
        <v>437</v>
      </c>
      <c r="B111" s="5">
        <v>45892</v>
      </c>
      <c r="C111" s="5">
        <v>45896</v>
      </c>
      <c r="D111" s="6">
        <f>IF(AND(C111&lt;&gt;"",B111&lt;&gt;""), C111-B111, "Missing Date")</f>
        <v>4</v>
      </c>
      <c r="E111" s="6" t="str">
        <f>IF(OR(B111="",C111=""), "Missing Date",
    IF(C111&lt;B111, "Invalid: Ship before Order",
      "OK"))</f>
        <v>OK</v>
      </c>
      <c r="F111" t="s">
        <v>438</v>
      </c>
      <c r="G111" t="s">
        <v>132</v>
      </c>
      <c r="H111" t="s">
        <v>24</v>
      </c>
      <c r="I111" t="s">
        <v>25</v>
      </c>
      <c r="J111" t="s">
        <v>350</v>
      </c>
      <c r="K111" t="s">
        <v>351</v>
      </c>
      <c r="L111" t="s">
        <v>28</v>
      </c>
      <c r="M111" t="s">
        <v>153</v>
      </c>
      <c r="N111" t="s">
        <v>439</v>
      </c>
      <c r="O111" t="s">
        <v>31</v>
      </c>
      <c r="P111">
        <v>1</v>
      </c>
      <c r="Q111">
        <v>2788.62</v>
      </c>
      <c r="R111">
        <v>0.25</v>
      </c>
      <c r="S111">
        <v>2091.4699999999998</v>
      </c>
      <c r="T111">
        <v>1317.22</v>
      </c>
      <c r="U111">
        <v>774.25</v>
      </c>
      <c r="V111" t="s">
        <v>32</v>
      </c>
      <c r="W111" t="s">
        <v>33</v>
      </c>
      <c r="X111" t="str">
        <f>_xlfn.TEXTJOIN("|", TRUE, A111:W111)</f>
        <v>ORD-2025-10110|45892|45896|4|OK|CUST-3740|Sneha Kapoor|Consumer|North|Delhi|New Delhi|Office Supplies|Binders|Classic Binders 660|Second Class|1|2788.62|0.25|2091.47|1317.22|774.25|Paid|Completed</v>
      </c>
      <c r="Y111">
        <f>COUNTIF($X$2:$X$1000, X111)</f>
        <v>1</v>
      </c>
      <c r="Z111">
        <f>COUNTIF($A$2:$A$1000, A111)</f>
        <v>1</v>
      </c>
      <c r="AA111" t="str">
        <f>IF(Y111&gt;1, "Exact Duplicate",
  IF(Z111&gt;1, "Conflicting Duplicate - Review",
    "Unique"))</f>
        <v>Unique</v>
      </c>
      <c r="AB111" s="2">
        <f>IF(ISBLANK(R111), 0, IF(ISTEXT(R111), VALUE(SUBSTITUTE(R111, "%", ""))/100, IF(OR(R111&lt;0, R111&gt;1), "Invalid", R111)))</f>
        <v>0.25</v>
      </c>
      <c r="AC111" s="4">
        <f>IF(AB111="Invalid", "Error", P111 * Q111 * (1 - AB111))</f>
        <v>2091.4650000000001</v>
      </c>
      <c r="AD111" s="4">
        <f>IF(AC111="Error", "Error", AC111 - T111)</f>
        <v>774.24500000000012</v>
      </c>
      <c r="AE111" s="2">
        <f>IF(AC111="Error", "Error", IF(AC111=0, 0, AD111 / AC111))</f>
        <v>0.37019266399389905</v>
      </c>
      <c r="AF111" s="7">
        <f>C111-B111</f>
        <v>4</v>
      </c>
      <c r="AG111" s="2" t="str">
        <f>TEXT(B111, "mmmm")</f>
        <v>August</v>
      </c>
      <c r="AH111" s="4">
        <f>YEAR(B111)</f>
        <v>2025</v>
      </c>
      <c r="AI111" s="2" t="str">
        <f t="shared" si="15"/>
        <v>Clean</v>
      </c>
      <c r="AJ111">
        <f>COUNTIFS($A$2:$A$1000,A111,$B$2:$B$1000,B111,$C$2:$C$1000,C111,$D$2:$D$1000,D111,$E$2:$E$1000,E111,$F$2:$F$1000,F111)</f>
        <v>1</v>
      </c>
      <c r="AK111">
        <f>COUNTIF($A$2:$A$1000, A111)</f>
        <v>1</v>
      </c>
    </row>
    <row r="112" spans="1:37">
      <c r="A112" t="s">
        <v>440</v>
      </c>
      <c r="B112" s="5">
        <v>45583</v>
      </c>
      <c r="C112" s="5">
        <v>45589</v>
      </c>
      <c r="D112" s="6">
        <f>IF(AND(C112&lt;&gt;"",B112&lt;&gt;""), C112-B112, "Missing Date")</f>
        <v>6</v>
      </c>
      <c r="E112" s="6" t="str">
        <f>IF(OR(B112="",C112=""), "Missing Date",
    IF(C112&lt;B112, "Invalid: Ship before Order",
      "OK"))</f>
        <v>OK</v>
      </c>
      <c r="F112" t="s">
        <v>441</v>
      </c>
      <c r="G112" t="s">
        <v>71</v>
      </c>
      <c r="H112" t="s">
        <v>90</v>
      </c>
      <c r="I112" t="s">
        <v>54</v>
      </c>
      <c r="J112" t="s">
        <v>185</v>
      </c>
      <c r="K112" t="s">
        <v>186</v>
      </c>
      <c r="L112" t="s">
        <v>28</v>
      </c>
      <c r="M112" t="s">
        <v>91</v>
      </c>
      <c r="N112" t="s">
        <v>442</v>
      </c>
      <c r="O112" t="s">
        <v>50</v>
      </c>
      <c r="P112">
        <v>2</v>
      </c>
      <c r="Q112">
        <v>2250.4699999999998</v>
      </c>
      <c r="R112">
        <v>0</v>
      </c>
      <c r="S112">
        <v>4500.9399999999996</v>
      </c>
      <c r="T112">
        <v>2607.73</v>
      </c>
      <c r="U112">
        <v>1893.21</v>
      </c>
      <c r="V112" t="s">
        <v>102</v>
      </c>
      <c r="W112" t="s">
        <v>68</v>
      </c>
      <c r="X112" t="str">
        <f>_xlfn.TEXTJOIN("|", TRUE, A112:W112)</f>
        <v>ORD-2024-10111|45583|45589|6|OK|CUST-7128|Vikram Iyer|Corporate|South|Kerala|Kochi|Office Supplies|Labels|Pro Labels 255|First Class|2|2250.47|0|4500.94|2607.73|1893.21|Refunded|Cancelled</v>
      </c>
      <c r="Y112">
        <f>COUNTIF($X$2:$X$1000, X112)</f>
        <v>1</v>
      </c>
      <c r="Z112">
        <f>COUNTIF($A$2:$A$1000, A112)</f>
        <v>1</v>
      </c>
      <c r="AA112" t="str">
        <f>IF(Y112&gt;1, "Exact Duplicate",
  IF(Z112&gt;1, "Conflicting Duplicate - Review",
    "Unique"))</f>
        <v>Unique</v>
      </c>
      <c r="AB112" s="2">
        <f>IF(ISBLANK(R112), 0, IF(ISTEXT(R112), VALUE(SUBSTITUTE(R112, "%", ""))/100, IF(OR(R112&lt;0, R112&gt;1), "Invalid", R112)))</f>
        <v>0</v>
      </c>
      <c r="AC112" s="4">
        <f>IF(AB112="Invalid", "Error", P112 * Q112 * (1 - AB112))</f>
        <v>4500.9399999999996</v>
      </c>
      <c r="AD112" s="4">
        <f>IF(AC112="Error", "Error", AC112 - T112)</f>
        <v>1893.2099999999996</v>
      </c>
      <c r="AE112" s="2">
        <f>IF(AC112="Error", "Error", IF(AC112=0, 0, AD112 / AC112))</f>
        <v>0.42062546934640316</v>
      </c>
      <c r="AF112" s="7">
        <f>C112-B112</f>
        <v>6</v>
      </c>
      <c r="AG112" s="2" t="str">
        <f>TEXT(B112, "mmmm")</f>
        <v>October</v>
      </c>
      <c r="AH112" s="4">
        <f>YEAR(B112)</f>
        <v>2024</v>
      </c>
      <c r="AI112" s="2" t="str">
        <f t="shared" si="15"/>
        <v>Excluded from Sales</v>
      </c>
      <c r="AJ112">
        <f>COUNTIFS($A$2:$A$1000,A112,$B$2:$B$1000,B112,$C$2:$C$1000,C112,$D$2:$D$1000,D112,$E$2:$E$1000,E112,$F$2:$F$1000,F112)</f>
        <v>1</v>
      </c>
      <c r="AK112">
        <f>COUNTIF($A$2:$A$1000, A112)</f>
        <v>1</v>
      </c>
    </row>
    <row r="113" spans="1:37">
      <c r="A113" t="s">
        <v>443</v>
      </c>
      <c r="B113" s="5">
        <v>45835</v>
      </c>
      <c r="C113" s="5">
        <v>45838</v>
      </c>
      <c r="D113" s="6">
        <f>IF(AND(C113&lt;&gt;"",B113&lt;&gt;""), C113-B113, "Missing Date")</f>
        <v>3</v>
      </c>
      <c r="E113" s="6" t="str">
        <f>IF(OR(B113="",C113=""), "Missing Date",
    IF(C113&lt;B113, "Invalid: Ship before Order",
      "OK"))</f>
        <v>OK</v>
      </c>
      <c r="F113" t="s">
        <v>444</v>
      </c>
      <c r="G113" t="s">
        <v>79</v>
      </c>
      <c r="H113" t="s">
        <v>90</v>
      </c>
      <c r="I113" t="s">
        <v>38</v>
      </c>
      <c r="J113" t="s">
        <v>145</v>
      </c>
      <c r="K113" t="s">
        <v>146</v>
      </c>
      <c r="L113" t="s">
        <v>74</v>
      </c>
      <c r="M113" t="s">
        <v>75</v>
      </c>
      <c r="N113" t="s">
        <v>445</v>
      </c>
      <c r="O113" t="s">
        <v>50</v>
      </c>
      <c r="P113">
        <v>1</v>
      </c>
      <c r="Q113">
        <v>1708.44</v>
      </c>
      <c r="R113">
        <v>0.05</v>
      </c>
      <c r="S113">
        <v>1623.02</v>
      </c>
      <c r="T113">
        <v>1077.46</v>
      </c>
      <c r="U113">
        <v>545.55999999999995</v>
      </c>
      <c r="V113" t="s">
        <v>111</v>
      </c>
      <c r="W113" t="s">
        <v>68</v>
      </c>
      <c r="X113" t="str">
        <f>_xlfn.TEXTJOIN("|", TRUE, A113:W113)</f>
        <v>ORD-2025-10112|45835|45838|3|OK|CUST-4743|Neha Gupta|Corporate|East|Bihar|Patna|Technology|Accessories|Basic Accessories 187|First Class|1|1708.44|0.05|1623.02|1077.46|545.56|Pending|Cancelled</v>
      </c>
      <c r="Y113">
        <f>COUNTIF($X$2:$X$1000, X113)</f>
        <v>1</v>
      </c>
      <c r="Z113">
        <f>COUNTIF($A$2:$A$1000, A113)</f>
        <v>1</v>
      </c>
      <c r="AA113" t="str">
        <f>IF(Y113&gt;1, "Exact Duplicate",
  IF(Z113&gt;1, "Conflicting Duplicate - Review",
    "Unique"))</f>
        <v>Unique</v>
      </c>
      <c r="AB113" s="2">
        <f>IF(ISBLANK(R113), 0, IF(ISTEXT(R113), VALUE(SUBSTITUTE(R113, "%", ""))/100, IF(OR(R113&lt;0, R113&gt;1), "Invalid", R113)))</f>
        <v>0.05</v>
      </c>
      <c r="AC113" s="4">
        <f>IF(AB113="Invalid", "Error", P113 * Q113 * (1 - AB113))</f>
        <v>1623.018</v>
      </c>
      <c r="AD113" s="4">
        <f>IF(AC113="Error", "Error", AC113 - T113)</f>
        <v>545.55799999999999</v>
      </c>
      <c r="AE113" s="2">
        <f>IF(AC113="Error", "Error", IF(AC113=0, 0, AD113 / AC113))</f>
        <v>0.3361379849145234</v>
      </c>
      <c r="AF113" s="7">
        <f>C113-B113</f>
        <v>3</v>
      </c>
      <c r="AG113" s="2" t="str">
        <f>TEXT(B113, "mmmm")</f>
        <v>June</v>
      </c>
      <c r="AH113" s="4">
        <f>YEAR(B113)</f>
        <v>2025</v>
      </c>
      <c r="AI113" s="2" t="str">
        <f t="shared" si="15"/>
        <v>Excluded from Sales</v>
      </c>
      <c r="AJ113">
        <f>COUNTIFS($A$2:$A$1000,A113,$B$2:$B$1000,B113,$C$2:$C$1000,C113,$D$2:$D$1000,D113,$E$2:$E$1000,E113,$F$2:$F$1000,F113)</f>
        <v>1</v>
      </c>
      <c r="AK113">
        <f>COUNTIF($A$2:$A$1000, A113)</f>
        <v>1</v>
      </c>
    </row>
    <row r="114" spans="1:37">
      <c r="A114" t="s">
        <v>446</v>
      </c>
      <c r="B114" s="5">
        <v>45301</v>
      </c>
      <c r="C114" s="5">
        <v>45305</v>
      </c>
      <c r="D114" s="6">
        <f>IF(AND(C114&lt;&gt;"",B114&lt;&gt;""), C114-B114, "Missing Date")</f>
        <v>4</v>
      </c>
      <c r="E114" s="6" t="str">
        <f>IF(OR(B114="",C114=""), "Missing Date",
    IF(C114&lt;B114, "Invalid: Ship before Order",
      "OK"))</f>
        <v>OK</v>
      </c>
      <c r="F114" t="s">
        <v>447</v>
      </c>
      <c r="G114" t="s">
        <v>132</v>
      </c>
      <c r="H114" t="s">
        <v>24</v>
      </c>
      <c r="I114" t="s">
        <v>2762</v>
      </c>
      <c r="J114" t="s">
        <v>180</v>
      </c>
      <c r="K114" t="s">
        <v>181</v>
      </c>
      <c r="L114" t="s">
        <v>74</v>
      </c>
      <c r="M114" t="s">
        <v>75</v>
      </c>
      <c r="N114" t="s">
        <v>448</v>
      </c>
      <c r="O114" t="s">
        <v>59</v>
      </c>
      <c r="P114">
        <v>3</v>
      </c>
      <c r="Q114">
        <v>3829.48</v>
      </c>
      <c r="R114">
        <v>0.05</v>
      </c>
      <c r="S114">
        <v>10914.02</v>
      </c>
      <c r="T114">
        <v>6548.74</v>
      </c>
      <c r="U114">
        <v>4365.28</v>
      </c>
      <c r="V114" t="s">
        <v>32</v>
      </c>
      <c r="W114" t="s">
        <v>33</v>
      </c>
      <c r="X114" t="str">
        <f>_xlfn.TEXTJOIN("|", TRUE, A114:W114)</f>
        <v>ORD-2024-10113|45301|45305|4|OK|CUST-5213|Sneha Kapoor|Consumer|Unknown|Gujarat|Ahmedabad|Technology|Accessories|Max Accessories 451|Standard Class|3|3829.48|0.05|10914.02|6548.74|4365.28|Paid|Completed</v>
      </c>
      <c r="Y114">
        <f>COUNTIF($X$2:$X$1000, X114)</f>
        <v>1</v>
      </c>
      <c r="Z114">
        <f>COUNTIF($A$2:$A$1000, A114)</f>
        <v>1</v>
      </c>
      <c r="AA114" t="str">
        <f>IF(Y114&gt;1, "Exact Duplicate",
  IF(Z114&gt;1, "Conflicting Duplicate - Review",
    "Unique"))</f>
        <v>Unique</v>
      </c>
      <c r="AB114" s="2">
        <f>IF(ISBLANK(R114), 0, IF(ISTEXT(R114), VALUE(SUBSTITUTE(R114, "%", ""))/100, IF(OR(R114&lt;0, R114&gt;1), "Invalid", R114)))</f>
        <v>0.05</v>
      </c>
      <c r="AC114" s="4">
        <f>IF(AB114="Invalid", "Error", P114 * Q114 * (1 - AB114))</f>
        <v>10914.018</v>
      </c>
      <c r="AD114" s="4">
        <f>IF(AC114="Error", "Error", AC114 - T114)</f>
        <v>4365.2780000000002</v>
      </c>
      <c r="AE114" s="2">
        <f>IF(AC114="Error", "Error", IF(AC114=0, 0, AD114 / AC114))</f>
        <v>0.39996983695647198</v>
      </c>
      <c r="AF114" s="7">
        <f>C114-B114</f>
        <v>4</v>
      </c>
      <c r="AG114" s="2" t="str">
        <f>TEXT(B114, "mmmm")</f>
        <v>January</v>
      </c>
      <c r="AH114" s="4">
        <f>YEAR(B114)</f>
        <v>2024</v>
      </c>
      <c r="AI114" s="2" t="str">
        <f t="shared" si="15"/>
        <v>Warning: Missing Region</v>
      </c>
      <c r="AJ114">
        <f>COUNTIFS($A$2:$A$1000,A114,$B$2:$B$1000,B114,$C$2:$C$1000,C114,$D$2:$D$1000,D114,$E$2:$E$1000,E114,$F$2:$F$1000,F114)</f>
        <v>1</v>
      </c>
      <c r="AK114">
        <f>COUNTIF($A$2:$A$1000, A114)</f>
        <v>1</v>
      </c>
    </row>
    <row r="115" spans="1:37">
      <c r="A115" t="s">
        <v>449</v>
      </c>
      <c r="B115" s="5">
        <v>45334</v>
      </c>
      <c r="C115" s="5">
        <v>45334</v>
      </c>
      <c r="D115" s="6">
        <f>IF(AND(C115&lt;&gt;"",B115&lt;&gt;""), C115-B115, "Missing Date")</f>
        <v>0</v>
      </c>
      <c r="E115" s="6" t="str">
        <f>IF(OR(B115="",C115=""), "Missing Date",
    IF(C115&lt;B115, "Invalid: Ship before Order",
      "OK"))</f>
        <v>OK</v>
      </c>
      <c r="F115" t="s">
        <v>360</v>
      </c>
      <c r="G115" t="s">
        <v>47</v>
      </c>
      <c r="H115" t="s">
        <v>95</v>
      </c>
      <c r="I115" t="s">
        <v>54</v>
      </c>
      <c r="J115" t="s">
        <v>247</v>
      </c>
      <c r="K115" t="s">
        <v>248</v>
      </c>
      <c r="L115" t="s">
        <v>41</v>
      </c>
      <c r="M115" t="s">
        <v>42</v>
      </c>
      <c r="N115" t="s">
        <v>450</v>
      </c>
      <c r="O115" t="s">
        <v>59</v>
      </c>
      <c r="P115">
        <v>3</v>
      </c>
      <c r="Q115">
        <v>1089.1500000000001</v>
      </c>
      <c r="R115">
        <v>0.25</v>
      </c>
      <c r="S115">
        <v>2450.59</v>
      </c>
      <c r="T115">
        <v>1639.89</v>
      </c>
      <c r="U115">
        <v>810.7</v>
      </c>
      <c r="V115" t="s">
        <v>32</v>
      </c>
      <c r="W115" t="s">
        <v>33</v>
      </c>
      <c r="X115" t="str">
        <f>_xlfn.TEXTJOIN("|", TRUE, A115:W115)</f>
        <v>ORD-2024-10114|45334|45334|0|OK|CUST-4989|Isha Nair|Home Office|South|Tamil Nadu|Chennai|Furniture|Tables|Classic Tables 752|Standard Class|3|1089.15|0.25|2450.59|1639.89|810.7|Paid|Completed</v>
      </c>
      <c r="Y115">
        <f>COUNTIF($X$2:$X$1000, X115)</f>
        <v>1</v>
      </c>
      <c r="Z115">
        <f>COUNTIF($A$2:$A$1000, A115)</f>
        <v>1</v>
      </c>
      <c r="AA115" t="str">
        <f>IF(Y115&gt;1, "Exact Duplicate",
  IF(Z115&gt;1, "Conflicting Duplicate - Review",
    "Unique"))</f>
        <v>Unique</v>
      </c>
      <c r="AB115" s="2">
        <f>IF(ISBLANK(R115), 0, IF(ISTEXT(R115), VALUE(SUBSTITUTE(R115, "%", ""))/100, IF(OR(R115&lt;0, R115&gt;1), "Invalid", R115)))</f>
        <v>0.25</v>
      </c>
      <c r="AC115" s="4">
        <f>IF(AB115="Invalid", "Error", P115 * Q115 * (1 - AB115))</f>
        <v>2450.5875000000001</v>
      </c>
      <c r="AD115" s="4">
        <f>IF(AC115="Error", "Error", AC115 - T115)</f>
        <v>810.69749999999999</v>
      </c>
      <c r="AE115" s="2">
        <f>IF(AC115="Error", "Error", IF(AC115=0, 0, AD115 / AC115))</f>
        <v>0.33081761006289306</v>
      </c>
      <c r="AF115" s="7">
        <f>C115-B115</f>
        <v>0</v>
      </c>
      <c r="AG115" s="2" t="str">
        <f>TEXT(B115, "mmmm")</f>
        <v>February</v>
      </c>
      <c r="AH115" s="4">
        <f>YEAR(B115)</f>
        <v>2024</v>
      </c>
      <c r="AI115" s="2" t="str">
        <f t="shared" si="15"/>
        <v>Clean</v>
      </c>
      <c r="AJ115">
        <f>COUNTIFS($A$2:$A$1000,A115,$B$2:$B$1000,B115,$C$2:$C$1000,C115,$D$2:$D$1000,D115,$E$2:$E$1000,E115,$F$2:$F$1000,F115)</f>
        <v>1</v>
      </c>
      <c r="AK115">
        <f>COUNTIF($A$2:$A$1000, A115)</f>
        <v>1</v>
      </c>
    </row>
    <row r="116" spans="1:37">
      <c r="A116" t="s">
        <v>451</v>
      </c>
      <c r="B116" s="5">
        <v>45560</v>
      </c>
      <c r="C116" s="5">
        <v>45565</v>
      </c>
      <c r="D116" s="6">
        <f>IF(AND(C116&lt;&gt;"",B116&lt;&gt;""), C116-B116, "Missing Date")</f>
        <v>5</v>
      </c>
      <c r="E116" s="6" t="str">
        <f>IF(OR(B116="",C116=""), "Missing Date",
    IF(C116&lt;B116, "Invalid: Ship before Order",
      "OK"))</f>
        <v>OK</v>
      </c>
      <c r="F116" t="s">
        <v>452</v>
      </c>
      <c r="G116" t="s">
        <v>79</v>
      </c>
      <c r="H116" t="s">
        <v>37</v>
      </c>
      <c r="I116" t="s">
        <v>25</v>
      </c>
      <c r="J116" t="s">
        <v>26</v>
      </c>
      <c r="K116" t="s">
        <v>27</v>
      </c>
      <c r="L116" t="s">
        <v>74</v>
      </c>
      <c r="M116" t="s">
        <v>75</v>
      </c>
      <c r="N116" t="s">
        <v>453</v>
      </c>
      <c r="O116" t="s">
        <v>31</v>
      </c>
      <c r="P116">
        <v>1</v>
      </c>
      <c r="Q116">
        <v>4388.3999999999996</v>
      </c>
      <c r="R116">
        <v>0.1</v>
      </c>
      <c r="S116">
        <v>3949.56</v>
      </c>
      <c r="T116">
        <v>3186.73</v>
      </c>
      <c r="U116">
        <v>762.83</v>
      </c>
      <c r="V116" t="s">
        <v>111</v>
      </c>
      <c r="W116" t="s">
        <v>68</v>
      </c>
      <c r="X116" t="str">
        <f>_xlfn.TEXTJOIN("|", TRUE, A116:W116)</f>
        <v>ORD-2024-10115|45560|45565|5|OK|CUST-2927|Neha Gupta|Small Business|North|Rajasthan|Jaipur|Technology|Accessories|Eco Accessories 452|Second Class|1|4388.4|0.1|3949.56|3186.73|762.83|Pending|Cancelled</v>
      </c>
      <c r="Y116">
        <f>COUNTIF($X$2:$X$1000, X116)</f>
        <v>1</v>
      </c>
      <c r="Z116">
        <f>COUNTIF($A$2:$A$1000, A116)</f>
        <v>1</v>
      </c>
      <c r="AA116" t="str">
        <f>IF(Y116&gt;1, "Exact Duplicate",
  IF(Z116&gt;1, "Conflicting Duplicate - Review",
    "Unique"))</f>
        <v>Unique</v>
      </c>
      <c r="AB116" s="2">
        <f>IF(ISBLANK(R116), 0, IF(ISTEXT(R116), VALUE(SUBSTITUTE(R116, "%", ""))/100, IF(OR(R116&lt;0, R116&gt;1), "Invalid", R116)))</f>
        <v>0.1</v>
      </c>
      <c r="AC116" s="4">
        <f>IF(AB116="Invalid", "Error", P116 * Q116 * (1 - AB116))</f>
        <v>3949.56</v>
      </c>
      <c r="AD116" s="4">
        <f>IF(AC116="Error", "Error", AC116 - T116)</f>
        <v>762.82999999999993</v>
      </c>
      <c r="AE116" s="2">
        <f>IF(AC116="Error", "Error", IF(AC116=0, 0, AD116 / AC116))</f>
        <v>0.19314303365438173</v>
      </c>
      <c r="AF116" s="7">
        <f>C116-B116</f>
        <v>5</v>
      </c>
      <c r="AG116" s="2" t="str">
        <f>TEXT(B116, "mmmm")</f>
        <v>September</v>
      </c>
      <c r="AH116" s="4">
        <f>YEAR(B116)</f>
        <v>2024</v>
      </c>
      <c r="AI116" s="2" t="str">
        <f t="shared" si="15"/>
        <v>Excluded from Sales</v>
      </c>
      <c r="AJ116">
        <f>COUNTIFS($A$2:$A$1000,A116,$B$2:$B$1000,B116,$C$2:$C$1000,C116,$D$2:$D$1000,D116,$E$2:$E$1000,E116,$F$2:$F$1000,F116)</f>
        <v>1</v>
      </c>
      <c r="AK116">
        <f>COUNTIF($A$2:$A$1000, A116)</f>
        <v>1</v>
      </c>
    </row>
    <row r="117" spans="1:37">
      <c r="A117" t="s">
        <v>454</v>
      </c>
      <c r="B117" s="5">
        <v>45653</v>
      </c>
      <c r="C117" s="5">
        <v>45658</v>
      </c>
      <c r="D117" s="6">
        <f>IF(AND(C117&lt;&gt;"",B117&lt;&gt;""), C117-B117, "Missing Date")</f>
        <v>5</v>
      </c>
      <c r="E117" s="6" t="str">
        <f>IF(OR(B117="",C117=""), "Missing Date",
    IF(C117&lt;B117, "Invalid: Ship before Order",
      "OK"))</f>
        <v>OK</v>
      </c>
      <c r="F117" t="s">
        <v>455</v>
      </c>
      <c r="G117" t="s">
        <v>264</v>
      </c>
      <c r="H117" t="s">
        <v>90</v>
      </c>
      <c r="I117" t="s">
        <v>54</v>
      </c>
      <c r="J117" t="s">
        <v>247</v>
      </c>
      <c r="K117" t="s">
        <v>248</v>
      </c>
      <c r="L117" t="s">
        <v>28</v>
      </c>
      <c r="M117" t="s">
        <v>153</v>
      </c>
      <c r="N117" t="s">
        <v>456</v>
      </c>
      <c r="O117" t="s">
        <v>44</v>
      </c>
      <c r="P117">
        <v>2</v>
      </c>
      <c r="Q117">
        <v>446.34</v>
      </c>
      <c r="R117">
        <v>0.15</v>
      </c>
      <c r="S117">
        <v>758.78</v>
      </c>
      <c r="T117">
        <v>490.74</v>
      </c>
      <c r="U117">
        <v>268.04000000000002</v>
      </c>
      <c r="V117" t="s">
        <v>32</v>
      </c>
      <c r="W117" t="s">
        <v>68</v>
      </c>
      <c r="X117" t="str">
        <f>_xlfn.TEXTJOIN("|", TRUE, A117:W117)</f>
        <v>ORD-2024-10116|45653|45658|5|OK|CUST-7764|Kabir Singh|Corporate|South|Tamil Nadu|Chennai|Office Supplies|Binders|Classic Binders 203|Same Day|2|446.34|0.15|758.78|490.74|268.04|Paid|Cancelled</v>
      </c>
      <c r="Y117">
        <f>COUNTIF($X$2:$X$1000, X117)</f>
        <v>1</v>
      </c>
      <c r="Z117">
        <f>COUNTIF($A$2:$A$1000, A117)</f>
        <v>1</v>
      </c>
      <c r="AA117" t="str">
        <f>IF(Y117&gt;1, "Exact Duplicate",
  IF(Z117&gt;1, "Conflicting Duplicate - Review",
    "Unique"))</f>
        <v>Unique</v>
      </c>
      <c r="AB117" s="2">
        <f>IF(ISBLANK(R117), 0, IF(ISTEXT(R117), VALUE(SUBSTITUTE(R117, "%", ""))/100, IF(OR(R117&lt;0, R117&gt;1), "Invalid", R117)))</f>
        <v>0.15</v>
      </c>
      <c r="AC117" s="4">
        <f>IF(AB117="Invalid", "Error", P117 * Q117 * (1 - AB117))</f>
        <v>758.77799999999991</v>
      </c>
      <c r="AD117" s="4">
        <f>IF(AC117="Error", "Error", AC117 - T117)</f>
        <v>268.0379999999999</v>
      </c>
      <c r="AE117" s="2">
        <f>IF(AC117="Error", "Error", IF(AC117=0, 0, AD117 / AC117))</f>
        <v>0.35324956706704719</v>
      </c>
      <c r="AF117" s="7">
        <f>C117-B117</f>
        <v>5</v>
      </c>
      <c r="AG117" s="2" t="str">
        <f>TEXT(B117, "mmmm")</f>
        <v>December</v>
      </c>
      <c r="AH117" s="4">
        <f>YEAR(B117)</f>
        <v>2024</v>
      </c>
      <c r="AI117" s="2" t="str">
        <f t="shared" si="15"/>
        <v>Excluded from Sales</v>
      </c>
      <c r="AJ117">
        <f>COUNTIFS($A$2:$A$1000,A117,$B$2:$B$1000,B117,$C$2:$C$1000,C117,$D$2:$D$1000,D117,$E$2:$E$1000,E117,$F$2:$F$1000,F117)</f>
        <v>1</v>
      </c>
      <c r="AK117">
        <f>COUNTIF($A$2:$A$1000, A117)</f>
        <v>1</v>
      </c>
    </row>
    <row r="118" spans="1:37">
      <c r="A118" t="s">
        <v>457</v>
      </c>
      <c r="B118" s="5">
        <v>45703</v>
      </c>
      <c r="C118" s="5">
        <v>45707</v>
      </c>
      <c r="D118" s="6">
        <f>IF(AND(C118&lt;&gt;"",B118&lt;&gt;""), C118-B118, "Missing Date")</f>
        <v>4</v>
      </c>
      <c r="E118" s="6" t="str">
        <f>IF(OR(B118="",C118=""), "Missing Date",
    IF(C118&lt;B118, "Invalid: Ship before Order",
      "OK"))</f>
        <v>OK</v>
      </c>
      <c r="F118" t="s">
        <v>458</v>
      </c>
      <c r="G118" t="s">
        <v>62</v>
      </c>
      <c r="H118" t="s">
        <v>37</v>
      </c>
      <c r="I118" t="s">
        <v>2762</v>
      </c>
      <c r="J118" t="s">
        <v>72</v>
      </c>
      <c r="K118" t="s">
        <v>73</v>
      </c>
      <c r="L118" t="s">
        <v>28</v>
      </c>
      <c r="M118" t="s">
        <v>153</v>
      </c>
      <c r="N118" t="s">
        <v>459</v>
      </c>
      <c r="O118" t="s">
        <v>50</v>
      </c>
      <c r="P118">
        <v>9</v>
      </c>
      <c r="Q118">
        <v>531.99</v>
      </c>
      <c r="R118">
        <v>0.25</v>
      </c>
      <c r="S118">
        <v>3590.93</v>
      </c>
      <c r="T118">
        <v>3061.39</v>
      </c>
      <c r="U118">
        <v>529.54</v>
      </c>
      <c r="V118" t="s">
        <v>155</v>
      </c>
      <c r="W118" t="s">
        <v>68</v>
      </c>
      <c r="X118" t="str">
        <f>_xlfn.TEXTJOIN("|", TRUE, A118:W118)</f>
        <v>ORD-2025-10117|45703|45707|4|OK|CUST-3632|Ananya Rao|Small Business|Unknown|Madhya Pradesh|Indore|Office Supplies|Binders|Basic Binders 859|First Class|9|531.99|0.25|3590.93|3061.39|529.54|Failed|Cancelled</v>
      </c>
      <c r="Y118">
        <f>COUNTIF($X$2:$X$1000, X118)</f>
        <v>1</v>
      </c>
      <c r="Z118">
        <f>COUNTIF($A$2:$A$1000, A118)</f>
        <v>1</v>
      </c>
      <c r="AA118" t="str">
        <f>IF(Y118&gt;1, "Exact Duplicate",
  IF(Z118&gt;1, "Conflicting Duplicate - Review",
    "Unique"))</f>
        <v>Unique</v>
      </c>
      <c r="AB118" s="2">
        <f>IF(ISBLANK(R118), 0, IF(ISTEXT(R118), VALUE(SUBSTITUTE(R118, "%", ""))/100, IF(OR(R118&lt;0, R118&gt;1), "Invalid", R118)))</f>
        <v>0.25</v>
      </c>
      <c r="AC118" s="4">
        <f>IF(AB118="Invalid", "Error", P118 * Q118 * (1 - AB118))</f>
        <v>3590.9324999999999</v>
      </c>
      <c r="AD118" s="4">
        <f>IF(AC118="Error", "Error", AC118 - T118)</f>
        <v>529.54250000000002</v>
      </c>
      <c r="AE118" s="2">
        <f>IF(AC118="Error", "Error", IF(AC118=0, 0, AD118 / AC118))</f>
        <v>0.14746657031286442</v>
      </c>
      <c r="AF118" s="7">
        <f>C118-B118</f>
        <v>4</v>
      </c>
      <c r="AG118" s="2" t="str">
        <f>TEXT(B118, "mmmm")</f>
        <v>February</v>
      </c>
      <c r="AH118" s="4">
        <f>YEAR(B118)</f>
        <v>2025</v>
      </c>
      <c r="AI118" s="2" t="str">
        <f t="shared" si="15"/>
        <v>Warning: Missing Region</v>
      </c>
      <c r="AJ118">
        <f>COUNTIFS($A$2:$A$1000,A118,$B$2:$B$1000,B118,$C$2:$C$1000,C118,$D$2:$D$1000,D118,$E$2:$E$1000,E118,$F$2:$F$1000,F118)</f>
        <v>1</v>
      </c>
      <c r="AK118">
        <f>COUNTIF($A$2:$A$1000, A118)</f>
        <v>1</v>
      </c>
    </row>
    <row r="119" spans="1:37">
      <c r="A119" t="s">
        <v>460</v>
      </c>
      <c r="B119" s="5">
        <v>45337</v>
      </c>
      <c r="C119" s="5">
        <v>45339</v>
      </c>
      <c r="D119" s="6">
        <f>IF(AND(C119&lt;&gt;"",B119&lt;&gt;""), C119-B119, "Missing Date")</f>
        <v>2</v>
      </c>
      <c r="E119" s="6" t="str">
        <f>IF(OR(B119="",C119=""), "Missing Date",
    IF(C119&lt;B119, "Invalid: Ship before Order",
      "OK"))</f>
        <v>OK</v>
      </c>
      <c r="F119" t="s">
        <v>461</v>
      </c>
      <c r="G119" t="s">
        <v>36</v>
      </c>
      <c r="H119" t="s">
        <v>95</v>
      </c>
      <c r="I119" t="s">
        <v>54</v>
      </c>
      <c r="J119" t="s">
        <v>247</v>
      </c>
      <c r="K119" t="s">
        <v>248</v>
      </c>
      <c r="L119" t="s">
        <v>74</v>
      </c>
      <c r="M119" t="s">
        <v>274</v>
      </c>
      <c r="N119" t="s">
        <v>462</v>
      </c>
      <c r="O119" t="s">
        <v>59</v>
      </c>
      <c r="P119">
        <v>9</v>
      </c>
      <c r="Q119">
        <v>3324.55</v>
      </c>
      <c r="R119" s="9">
        <v>0.7</v>
      </c>
      <c r="S119">
        <v>25432.81</v>
      </c>
      <c r="T119">
        <v>20370.16</v>
      </c>
      <c r="U119">
        <v>5062.6499999999996</v>
      </c>
      <c r="V119" t="s">
        <v>32</v>
      </c>
      <c r="W119" t="s">
        <v>33</v>
      </c>
      <c r="X119" t="str">
        <f>_xlfn.TEXTJOIN("|", TRUE, A119:W119)</f>
        <v>ORD-2024-10118|45337|45339|2|OK|CUST-9608|Mira Das|Home Office|South|Tamil Nadu|Chennai|Technology|Machines|Elite Machines 705|Standard Class|9|3324.55|0.7|25432.81|20370.16|5062.65|Paid|Completed</v>
      </c>
      <c r="Y119">
        <f>COUNTIF($X$2:$X$1000, X119)</f>
        <v>1</v>
      </c>
      <c r="Z119">
        <f>COUNTIF($A$2:$A$1000, A119)</f>
        <v>1</v>
      </c>
      <c r="AA119" t="str">
        <f>IF(Y119&gt;1, "Exact Duplicate",
  IF(Z119&gt;1, "Conflicting Duplicate - Review",
    "Unique"))</f>
        <v>Unique</v>
      </c>
      <c r="AB119" s="2">
        <f>IF(ISBLANK(R119), 0, IF(ISTEXT(R119), VALUE(SUBSTITUTE(R119, "%", ""))/100, IF(OR(R119&lt;0, R119&gt;1), "Invalid", R119)))</f>
        <v>0.7</v>
      </c>
      <c r="AC119" s="4">
        <f>IF(AB119="Invalid", "Error", P119 * Q119 * (1 - AB119))</f>
        <v>8976.2850000000017</v>
      </c>
      <c r="AD119" s="4">
        <f>IF(AC119="Error", "Error", AC119 - T119)</f>
        <v>-11393.874999999998</v>
      </c>
      <c r="AE119" s="2">
        <f>IF(AC119="Error", "Error", IF(AC119=0, 0, AD119 / AC119))</f>
        <v>-1.2693307977632167</v>
      </c>
      <c r="AF119" s="7">
        <f>C119-B119</f>
        <v>2</v>
      </c>
      <c r="AG119" s="2" t="str">
        <f>TEXT(B119, "mmmm")</f>
        <v>February</v>
      </c>
      <c r="AH119" s="4">
        <f>YEAR(B119)</f>
        <v>2024</v>
      </c>
      <c r="AI119" s="2" t="str">
        <f t="shared" si="15"/>
        <v>Clean</v>
      </c>
      <c r="AJ119">
        <f>COUNTIFS($A$2:$A$1000,A119,$B$2:$B$1000,B119,$C$2:$C$1000,C119,$D$2:$D$1000,D119,$E$2:$E$1000,E119,$F$2:$F$1000,F119)</f>
        <v>1</v>
      </c>
      <c r="AK119">
        <f>COUNTIF($A$2:$A$1000, A119)</f>
        <v>1</v>
      </c>
    </row>
    <row r="120" spans="1:37">
      <c r="A120" t="s">
        <v>463</v>
      </c>
      <c r="B120" s="5">
        <v>45571</v>
      </c>
      <c r="C120" s="5">
        <v>45461</v>
      </c>
      <c r="D120" s="6">
        <f>IF(AND(C120&lt;&gt;"",B120&lt;&gt;""), C120-B120, "Missing Date")</f>
        <v>-110</v>
      </c>
      <c r="E120" s="6" t="str">
        <f>IF(OR(B120="",C120=""), "Missing Date",
    IF(C120&lt;B120, "Invalid: Ship before Order",
      "OK"))</f>
        <v>Invalid: Ship before Order</v>
      </c>
      <c r="F120" t="s">
        <v>464</v>
      </c>
      <c r="G120" t="s">
        <v>71</v>
      </c>
      <c r="H120" t="s">
        <v>95</v>
      </c>
      <c r="I120" t="s">
        <v>54</v>
      </c>
      <c r="J120" t="s">
        <v>84</v>
      </c>
      <c r="K120" t="s">
        <v>85</v>
      </c>
      <c r="L120" t="s">
        <v>74</v>
      </c>
      <c r="M120" t="s">
        <v>80</v>
      </c>
      <c r="N120" t="s">
        <v>465</v>
      </c>
      <c r="O120" t="s">
        <v>44</v>
      </c>
      <c r="P120">
        <v>5</v>
      </c>
      <c r="Q120">
        <v>1580.27</v>
      </c>
      <c r="R120">
        <v>0.2</v>
      </c>
      <c r="S120">
        <v>6321.08</v>
      </c>
      <c r="T120">
        <v>4407.22</v>
      </c>
      <c r="U120">
        <v>1913.86</v>
      </c>
      <c r="V120" t="s">
        <v>32</v>
      </c>
      <c r="W120" t="s">
        <v>33</v>
      </c>
      <c r="X120" t="str">
        <f>_xlfn.TEXTJOIN("|", TRUE, A120:W120)</f>
        <v>ORD-2024-10119|45571|45461|-110|Invalid: Ship before Order|CUST-9135|Vikram Iyer|Home Office|South|Andhra Pradesh|Vijayawada|Technology|Copiers|Pro Copiers 208|Same Day|5|1580.27|0.2|6321.08|4407.22|1913.86|Paid|Completed</v>
      </c>
      <c r="Y120">
        <f>COUNTIF($X$2:$X$1000, X120)</f>
        <v>1</v>
      </c>
      <c r="Z120">
        <f>COUNTIF($A$2:$A$1000, A120)</f>
        <v>1</v>
      </c>
      <c r="AA120" t="str">
        <f>IF(Y120&gt;1, "Exact Duplicate",
  IF(Z120&gt;1, "Conflicting Duplicate - Review",
    "Unique"))</f>
        <v>Unique</v>
      </c>
      <c r="AB120" s="2">
        <f>IF(ISBLANK(R120), 0, IF(ISTEXT(R120), VALUE(SUBSTITUTE(R120, "%", ""))/100, IF(OR(R120&lt;0, R120&gt;1), "Invalid", R120)))</f>
        <v>0.2</v>
      </c>
      <c r="AC120" s="4">
        <f>IF(AB120="Invalid", "Error", P120 * Q120 * (1 - AB120))</f>
        <v>6321.0800000000008</v>
      </c>
      <c r="AD120" s="4">
        <f>IF(AC120="Error", "Error", AC120 - T120)</f>
        <v>1913.8600000000006</v>
      </c>
      <c r="AE120" s="2">
        <f>IF(AC120="Error", "Error", IF(AC120=0, 0, AD120 / AC120))</f>
        <v>0.30277420947053357</v>
      </c>
      <c r="AF120" s="7">
        <f>C120-B120</f>
        <v>-110</v>
      </c>
      <c r="AG120" s="2" t="str">
        <f>TEXT(B120, "mmmm")</f>
        <v>October</v>
      </c>
      <c r="AH120" s="4">
        <f>YEAR(B120)</f>
        <v>2024</v>
      </c>
      <c r="AI120" s="2" t="str">
        <f t="shared" si="15"/>
        <v>Invalid Shipping Record</v>
      </c>
      <c r="AJ120">
        <f>COUNTIFS($A$2:$A$1000,A120,$B$2:$B$1000,B120,$C$2:$C$1000,C120,$D$2:$D$1000,D120,$E$2:$E$1000,E120,$F$2:$F$1000,F120)</f>
        <v>1</v>
      </c>
      <c r="AK120">
        <f>COUNTIF($A$2:$A$1000, A120)</f>
        <v>1</v>
      </c>
    </row>
    <row r="121" spans="1:37">
      <c r="A121" t="s">
        <v>466</v>
      </c>
      <c r="B121" s="5">
        <v>45455</v>
      </c>
      <c r="C121" s="5">
        <v>45462</v>
      </c>
      <c r="D121" s="6">
        <f>IF(AND(C121&lt;&gt;"",B121&lt;&gt;""), C121-B121, "Missing Date")</f>
        <v>7</v>
      </c>
      <c r="E121" s="6" t="str">
        <f>IF(OR(B121="",C121=""), "Missing Date",
    IF(C121&lt;B121, "Invalid: Ship before Order",
      "OK"))</f>
        <v>OK</v>
      </c>
      <c r="F121" t="s">
        <v>467</v>
      </c>
      <c r="G121" t="s">
        <v>89</v>
      </c>
      <c r="H121" t="s">
        <v>37</v>
      </c>
      <c r="I121" t="s">
        <v>54</v>
      </c>
      <c r="J121" t="s">
        <v>185</v>
      </c>
      <c r="K121" t="s">
        <v>186</v>
      </c>
      <c r="L121" t="s">
        <v>41</v>
      </c>
      <c r="M121" t="s">
        <v>66</v>
      </c>
      <c r="N121" t="s">
        <v>468</v>
      </c>
      <c r="O121" t="s">
        <v>59</v>
      </c>
      <c r="P121">
        <v>8</v>
      </c>
      <c r="Q121">
        <v>314.05</v>
      </c>
      <c r="R121">
        <v>0.25</v>
      </c>
      <c r="S121">
        <v>1884.3</v>
      </c>
      <c r="T121">
        <v>1517.69</v>
      </c>
      <c r="U121">
        <v>366.61</v>
      </c>
      <c r="V121" t="s">
        <v>102</v>
      </c>
      <c r="W121" t="s">
        <v>103</v>
      </c>
      <c r="X121" t="str">
        <f>_xlfn.TEXTJOIN("|", TRUE, A121:W121)</f>
        <v>ORD-2024-10120|45455|45462|7|OK|CUST-7861|Aditi Sen|Small Business|South|Kerala|Kochi|Furniture|Chairs|Elite Chairs 921|Standard Class|8|314.05|0.25|1884.3|1517.69|366.61|Refunded|Returned</v>
      </c>
      <c r="Y121">
        <f>COUNTIF($X$2:$X$1000, X121)</f>
        <v>1</v>
      </c>
      <c r="Z121">
        <f>COUNTIF($A$2:$A$1000, A121)</f>
        <v>1</v>
      </c>
      <c r="AA121" t="str">
        <f>IF(Y121&gt;1, "Exact Duplicate",
  IF(Z121&gt;1, "Conflicting Duplicate - Review",
    "Unique"))</f>
        <v>Unique</v>
      </c>
      <c r="AB121" s="2">
        <f>IF(ISBLANK(R121), 0, IF(ISTEXT(R121), VALUE(SUBSTITUTE(R121, "%", ""))/100, IF(OR(R121&lt;0, R121&gt;1), "Invalid", R121)))</f>
        <v>0.25</v>
      </c>
      <c r="AC121" s="4">
        <f>IF(AB121="Invalid", "Error", P121 * Q121 * (1 - AB121))</f>
        <v>1884.3000000000002</v>
      </c>
      <c r="AD121" s="4">
        <f>IF(AC121="Error", "Error", AC121 - T121)</f>
        <v>366.61000000000013</v>
      </c>
      <c r="AE121" s="2">
        <f>IF(AC121="Error", "Error", IF(AC121=0, 0, AD121 / AC121))</f>
        <v>0.19456031417502526</v>
      </c>
      <c r="AF121" s="7">
        <f>C121-B121</f>
        <v>7</v>
      </c>
      <c r="AG121" s="2" t="str">
        <f>TEXT(B121, "mmmm")</f>
        <v>June</v>
      </c>
      <c r="AH121" s="4">
        <f>YEAR(B121)</f>
        <v>2024</v>
      </c>
      <c r="AI121" s="2" t="str">
        <f t="shared" si="15"/>
        <v>Clean</v>
      </c>
      <c r="AJ121">
        <f>COUNTIFS($A$2:$A$1000,A121,$B$2:$B$1000,B121,$C$2:$C$1000,C121,$D$2:$D$1000,D121,$E$2:$E$1000,E121,$F$2:$F$1000,F121)</f>
        <v>1</v>
      </c>
      <c r="AK121">
        <f>COUNTIF($A$2:$A$1000, A121)</f>
        <v>1</v>
      </c>
    </row>
    <row r="122" spans="1:37">
      <c r="A122" t="s">
        <v>469</v>
      </c>
      <c r="B122" s="5">
        <v>45514</v>
      </c>
      <c r="C122" s="5">
        <v>45522</v>
      </c>
      <c r="D122" s="6">
        <f>IF(AND(C122&lt;&gt;"",B122&lt;&gt;""), C122-B122, "Missing Date")</f>
        <v>8</v>
      </c>
      <c r="E122" s="6" t="str">
        <f>IF(OR(B122="",C122=""), "Missing Date",
    IF(C122&lt;B122, "Invalid: Ship before Order",
      "OK"))</f>
        <v>OK</v>
      </c>
      <c r="F122" t="s">
        <v>470</v>
      </c>
      <c r="G122" t="s">
        <v>132</v>
      </c>
      <c r="H122" t="s">
        <v>37</v>
      </c>
      <c r="I122" t="s">
        <v>38</v>
      </c>
      <c r="J122" t="s">
        <v>145</v>
      </c>
      <c r="K122" t="s">
        <v>146</v>
      </c>
      <c r="L122" t="s">
        <v>74</v>
      </c>
      <c r="M122" t="s">
        <v>171</v>
      </c>
      <c r="N122" t="s">
        <v>471</v>
      </c>
      <c r="O122" t="s">
        <v>59</v>
      </c>
      <c r="P122">
        <v>1</v>
      </c>
      <c r="Q122">
        <v>1823.67</v>
      </c>
      <c r="R122">
        <v>0.2</v>
      </c>
      <c r="S122">
        <v>1458.94</v>
      </c>
      <c r="T122">
        <v>893.2</v>
      </c>
      <c r="U122">
        <v>565.74</v>
      </c>
      <c r="V122" t="s">
        <v>32</v>
      </c>
      <c r="W122" t="s">
        <v>103</v>
      </c>
      <c r="X122" t="str">
        <f>_xlfn.TEXTJOIN("|", TRUE, A122:W122)</f>
        <v>ORD-2024-10121|45514|45522|8|OK|CUST-6096|Sneha Kapoor|Small Business|East|Bihar|Patna|Technology|Phones|Prime Phones 540|Standard Class|1|1823.67|0.2|1458.94|893.2|565.74|Paid|Returned</v>
      </c>
      <c r="Y122">
        <f>COUNTIF($X$2:$X$1000, X122)</f>
        <v>1</v>
      </c>
      <c r="Z122">
        <f>COUNTIF($A$2:$A$1000, A122)</f>
        <v>1</v>
      </c>
      <c r="AA122" t="str">
        <f>IF(Y122&gt;1, "Exact Duplicate",
  IF(Z122&gt;1, "Conflicting Duplicate - Review",
    "Unique"))</f>
        <v>Unique</v>
      </c>
      <c r="AB122" s="2">
        <f>IF(ISBLANK(R122), 0, IF(ISTEXT(R122), VALUE(SUBSTITUTE(R122, "%", ""))/100, IF(OR(R122&lt;0, R122&gt;1), "Invalid", R122)))</f>
        <v>0.2</v>
      </c>
      <c r="AC122" s="4">
        <f>IF(AB122="Invalid", "Error", P122 * Q122 * (1 - AB122))</f>
        <v>1458.9360000000001</v>
      </c>
      <c r="AD122" s="4">
        <f>IF(AC122="Error", "Error", AC122 - T122)</f>
        <v>565.7360000000001</v>
      </c>
      <c r="AE122" s="2">
        <f>IF(AC122="Error", "Error", IF(AC122=0, 0, AD122 / AC122))</f>
        <v>0.38777300717783375</v>
      </c>
      <c r="AF122" s="7">
        <f>C122-B122</f>
        <v>8</v>
      </c>
      <c r="AG122" s="2" t="str">
        <f>TEXT(B122, "mmmm")</f>
        <v>August</v>
      </c>
      <c r="AH122" s="4">
        <f>YEAR(B122)</f>
        <v>2024</v>
      </c>
      <c r="AI122" s="2" t="str">
        <f t="shared" si="15"/>
        <v>Clean</v>
      </c>
      <c r="AJ122">
        <f>COUNTIFS($A$2:$A$1000,A122,$B$2:$B$1000,B122,$C$2:$C$1000,C122,$D$2:$D$1000,D122,$E$2:$E$1000,E122,$F$2:$F$1000,F122)</f>
        <v>1</v>
      </c>
      <c r="AK122">
        <f>COUNTIF($A$2:$A$1000, A122)</f>
        <v>1</v>
      </c>
    </row>
    <row r="123" spans="1:37">
      <c r="A123" t="s">
        <v>472</v>
      </c>
      <c r="B123" s="5">
        <v>45891</v>
      </c>
      <c r="C123" s="5">
        <v>45895</v>
      </c>
      <c r="D123" s="6">
        <f>IF(AND(C123&lt;&gt;"",B123&lt;&gt;""), C123-B123, "Missing Date")</f>
        <v>4</v>
      </c>
      <c r="E123" s="6" t="str">
        <f>IF(OR(B123="",C123=""), "Missing Date",
    IF(C123&lt;B123, "Invalid: Ship before Order",
      "OK"))</f>
        <v>OK</v>
      </c>
      <c r="F123" t="s">
        <v>473</v>
      </c>
      <c r="G123" t="s">
        <v>264</v>
      </c>
      <c r="H123" t="s">
        <v>37</v>
      </c>
      <c r="I123" t="s">
        <v>54</v>
      </c>
      <c r="J123" t="s">
        <v>84</v>
      </c>
      <c r="K123" t="s">
        <v>85</v>
      </c>
      <c r="L123" t="s">
        <v>74</v>
      </c>
      <c r="M123" t="s">
        <v>274</v>
      </c>
      <c r="N123" t="s">
        <v>474</v>
      </c>
      <c r="O123" t="s">
        <v>31</v>
      </c>
      <c r="P123">
        <v>5</v>
      </c>
      <c r="Q123">
        <v>3482.92</v>
      </c>
      <c r="R123">
        <v>0</v>
      </c>
      <c r="S123">
        <v>17414.599999999999</v>
      </c>
      <c r="T123">
        <v>11760.91</v>
      </c>
      <c r="U123">
        <v>5653.69</v>
      </c>
      <c r="V123" t="s">
        <v>102</v>
      </c>
      <c r="W123" t="s">
        <v>68</v>
      </c>
      <c r="X123" t="str">
        <f>_xlfn.TEXTJOIN("|", TRUE, A123:W123)</f>
        <v>ORD-2025-10122|45891|45895|4|OK|CUST-2044|Kabir Singh|Small Business|South|Andhra Pradesh|Vijayawada|Technology|Machines|Max Machines 948|Second Class|5|3482.92|0|17414.6|11760.91|5653.69|Refunded|Cancelled</v>
      </c>
      <c r="Y123">
        <f>COUNTIF($X$2:$X$1000, X123)</f>
        <v>1</v>
      </c>
      <c r="Z123">
        <f>COUNTIF($A$2:$A$1000, A123)</f>
        <v>1</v>
      </c>
      <c r="AA123" t="str">
        <f>IF(Y123&gt;1, "Exact Duplicate",
  IF(Z123&gt;1, "Conflicting Duplicate - Review",
    "Unique"))</f>
        <v>Unique</v>
      </c>
      <c r="AB123" s="2">
        <f>IF(ISBLANK(R123), 0, IF(ISTEXT(R123), VALUE(SUBSTITUTE(R123, "%", ""))/100, IF(OR(R123&lt;0, R123&gt;1), "Invalid", R123)))</f>
        <v>0</v>
      </c>
      <c r="AC123" s="4">
        <f>IF(AB123="Invalid", "Error", P123 * Q123 * (1 - AB123))</f>
        <v>17414.599999999999</v>
      </c>
      <c r="AD123" s="4">
        <f>IF(AC123="Error", "Error", AC123 - T123)</f>
        <v>5653.6899999999987</v>
      </c>
      <c r="AE123" s="2">
        <f>IF(AC123="Error", "Error", IF(AC123=0, 0, AD123 / AC123))</f>
        <v>0.3246523032398102</v>
      </c>
      <c r="AF123" s="7">
        <f>C123-B123</f>
        <v>4</v>
      </c>
      <c r="AG123" s="2" t="str">
        <f>TEXT(B123, "mmmm")</f>
        <v>August</v>
      </c>
      <c r="AH123" s="4">
        <f>YEAR(B123)</f>
        <v>2025</v>
      </c>
      <c r="AI123" s="2" t="str">
        <f t="shared" si="15"/>
        <v>Excluded from Sales</v>
      </c>
      <c r="AJ123">
        <f>COUNTIFS($A$2:$A$1000,A123,$B$2:$B$1000,B123,$C$2:$C$1000,C123,$D$2:$D$1000,D123,$E$2:$E$1000,E123,$F$2:$F$1000,F123)</f>
        <v>1</v>
      </c>
      <c r="AK123">
        <f>COUNTIF($A$2:$A$1000, A123)</f>
        <v>1</v>
      </c>
    </row>
    <row r="124" spans="1:37">
      <c r="A124" t="s">
        <v>475</v>
      </c>
      <c r="B124" s="5">
        <v>45626</v>
      </c>
      <c r="C124" s="5">
        <v>45630</v>
      </c>
      <c r="D124" s="6">
        <f>IF(AND(C124&lt;&gt;"",B124&lt;&gt;""), C124-B124, "Missing Date")</f>
        <v>4</v>
      </c>
      <c r="E124" s="6" t="str">
        <f>IF(OR(B124="",C124=""), "Missing Date",
    IF(C124&lt;B124, "Invalid: Ship before Order",
      "OK"))</f>
        <v>OK</v>
      </c>
      <c r="F124" t="s">
        <v>476</v>
      </c>
      <c r="G124" t="s">
        <v>62</v>
      </c>
      <c r="H124" t="s">
        <v>37</v>
      </c>
      <c r="I124" t="s">
        <v>38</v>
      </c>
      <c r="J124" t="s">
        <v>166</v>
      </c>
      <c r="K124" t="s">
        <v>167</v>
      </c>
      <c r="L124" t="s">
        <v>41</v>
      </c>
      <c r="M124" t="s">
        <v>66</v>
      </c>
      <c r="N124" t="s">
        <v>477</v>
      </c>
      <c r="O124" t="s">
        <v>31</v>
      </c>
      <c r="P124">
        <v>3</v>
      </c>
      <c r="Q124">
        <v>170.35</v>
      </c>
      <c r="R124">
        <v>0</v>
      </c>
      <c r="S124">
        <v>511.05</v>
      </c>
      <c r="T124">
        <v>367.18</v>
      </c>
      <c r="U124">
        <v>143.87</v>
      </c>
      <c r="V124" t="s">
        <v>32</v>
      </c>
      <c r="W124" t="s">
        <v>33</v>
      </c>
      <c r="X124" t="str">
        <f>_xlfn.TEXTJOIN("|", TRUE, A124:W124)</f>
        <v>ORD-2024-10123|45626|45630|4|OK|CUST-1721|Ananya Rao|Small Business|East|Assam|Guwahati|Furniture|Chairs|Max Chairs 786|Second Class|3|170.35|0|511.05|367.18|143.87|Paid|Completed</v>
      </c>
      <c r="Y124">
        <f>COUNTIF($X$2:$X$1000, X124)</f>
        <v>1</v>
      </c>
      <c r="Z124">
        <f>COUNTIF($A$2:$A$1000, A124)</f>
        <v>1</v>
      </c>
      <c r="AA124" t="str">
        <f>IF(Y124&gt;1, "Exact Duplicate",
  IF(Z124&gt;1, "Conflicting Duplicate - Review",
    "Unique"))</f>
        <v>Unique</v>
      </c>
      <c r="AB124" s="2">
        <f>IF(ISBLANK(R124), 0, IF(ISTEXT(R124), VALUE(SUBSTITUTE(R124, "%", ""))/100, IF(OR(R124&lt;0, R124&gt;1), "Invalid", R124)))</f>
        <v>0</v>
      </c>
      <c r="AC124" s="4">
        <f>IF(AB124="Invalid", "Error", P124 * Q124 * (1 - AB124))</f>
        <v>511.04999999999995</v>
      </c>
      <c r="AD124" s="4">
        <f>IF(AC124="Error", "Error", AC124 - T124)</f>
        <v>143.86999999999995</v>
      </c>
      <c r="AE124" s="2">
        <f>IF(AC124="Error", "Error", IF(AC124=0, 0, AD124 / AC124))</f>
        <v>0.28151844242246349</v>
      </c>
      <c r="AF124" s="7">
        <f>C124-B124</f>
        <v>4</v>
      </c>
      <c r="AG124" s="2" t="str">
        <f>TEXT(B124, "mmmm")</f>
        <v>November</v>
      </c>
      <c r="AH124" s="4">
        <f>YEAR(B124)</f>
        <v>2024</v>
      </c>
      <c r="AI124" s="2" t="str">
        <f t="shared" si="15"/>
        <v>Clean</v>
      </c>
      <c r="AJ124">
        <f>COUNTIFS($A$2:$A$1000,A124,$B$2:$B$1000,B124,$C$2:$C$1000,C124,$D$2:$D$1000,D124,$E$2:$E$1000,E124,$F$2:$F$1000,F124)</f>
        <v>1</v>
      </c>
      <c r="AK124">
        <f>COUNTIF($A$2:$A$1000, A124)</f>
        <v>1</v>
      </c>
    </row>
    <row r="125" spans="1:37">
      <c r="A125" t="s">
        <v>478</v>
      </c>
      <c r="B125" s="5">
        <v>45436</v>
      </c>
      <c r="C125" s="5">
        <v>45437</v>
      </c>
      <c r="D125" s="6">
        <f>IF(AND(C125&lt;&gt;"",B125&lt;&gt;""), C125-B125, "Missing Date")</f>
        <v>1</v>
      </c>
      <c r="E125" s="6" t="str">
        <f>IF(OR(B125="",C125=""), "Missing Date",
    IF(C125&lt;B125, "Invalid: Ship before Order",
      "OK"))</f>
        <v>OK</v>
      </c>
      <c r="F125" t="s">
        <v>479</v>
      </c>
      <c r="G125" t="s">
        <v>132</v>
      </c>
      <c r="H125" t="s">
        <v>37</v>
      </c>
      <c r="I125" t="s">
        <v>25</v>
      </c>
      <c r="J125" t="s">
        <v>122</v>
      </c>
      <c r="K125" t="s">
        <v>123</v>
      </c>
      <c r="L125" t="s">
        <v>74</v>
      </c>
      <c r="M125" t="s">
        <v>80</v>
      </c>
      <c r="N125" t="s">
        <v>481</v>
      </c>
      <c r="O125" t="s">
        <v>44</v>
      </c>
      <c r="P125">
        <v>1</v>
      </c>
      <c r="Q125">
        <v>634.13</v>
      </c>
      <c r="R125">
        <v>0</v>
      </c>
      <c r="S125">
        <v>634.13</v>
      </c>
      <c r="T125">
        <v>453.35</v>
      </c>
      <c r="U125">
        <v>180.78</v>
      </c>
      <c r="V125" t="s">
        <v>102</v>
      </c>
      <c r="W125" t="s">
        <v>68</v>
      </c>
      <c r="X125" t="str">
        <f>_xlfn.TEXTJOIN("|", TRUE, A125:W125)</f>
        <v>ORD-2024-10124|45436|45437|1|OK|CUST-1007|Sneha Kapoor|Small Business|North|Punjab|Ludhiana|Technology|Copiers|Max Copiers 970|Same Day|1|634.13|0|634.13|453.35|180.78|Refunded|Cancelled</v>
      </c>
      <c r="Y125">
        <f>COUNTIF($X$2:$X$1000, X125)</f>
        <v>1</v>
      </c>
      <c r="Z125">
        <f>COUNTIF($A$2:$A$1000, A125)</f>
        <v>3</v>
      </c>
      <c r="AA125" t="str">
        <f>IF(Y125&gt;1, "Exact Duplicate",
  IF(Z125&gt;1, "Conflicting Duplicate - Review",
    "Unique"))</f>
        <v>Conflicting Duplicate - Review</v>
      </c>
      <c r="AB125" s="2">
        <f>IF(ISBLANK(R125), 0, IF(ISTEXT(R125), VALUE(SUBSTITUTE(R125, "%", ""))/100, IF(OR(R125&lt;0, R125&gt;1), "Invalid", R125)))</f>
        <v>0</v>
      </c>
      <c r="AC125" s="4">
        <f>IF(AB125="Invalid", "Error", P125 * Q125 * (1 - AB125))</f>
        <v>634.13</v>
      </c>
      <c r="AD125" s="4">
        <f>IF(AC125="Error", "Error", AC125 - T125)</f>
        <v>180.77999999999997</v>
      </c>
      <c r="AE125" s="2">
        <f>IF(AC125="Error", "Error", IF(AC125=0, 0, AD125 / AC125))</f>
        <v>0.28508350022865969</v>
      </c>
      <c r="AF125" s="7">
        <f>C125-B125</f>
        <v>1</v>
      </c>
      <c r="AG125" s="2" t="str">
        <f>TEXT(B125, "mmmm")</f>
        <v>May</v>
      </c>
      <c r="AH125" s="4">
        <f>YEAR(B125)</f>
        <v>2024</v>
      </c>
      <c r="AI125" s="2" t="str">
        <f t="shared" si="15"/>
        <v>Excluded from Sales</v>
      </c>
      <c r="AJ125">
        <f>COUNTIFS($A$2:$A$1000,A125,$B$2:$B$1000,B125,$C$2:$C$1000,C125,$D$2:$D$1000,D125,$E$2:$E$1000,E125,$F$2:$F$1000,F125)</f>
        <v>3</v>
      </c>
      <c r="AK125">
        <f>COUNTIF($A$2:$A$1000, A125)</f>
        <v>3</v>
      </c>
    </row>
    <row r="126" spans="1:37">
      <c r="A126" t="s">
        <v>482</v>
      </c>
      <c r="B126" s="5">
        <v>45494</v>
      </c>
      <c r="C126" s="5">
        <v>45497</v>
      </c>
      <c r="D126" s="6">
        <f>IF(AND(C126&lt;&gt;"",B126&lt;&gt;""), C126-B126, "Missing Date")</f>
        <v>3</v>
      </c>
      <c r="E126" s="6" t="str">
        <f>IF(OR(B126="",C126=""), "Missing Date",
    IF(C126&lt;B126, "Invalid: Ship before Order",
      "OK"))</f>
        <v>OK</v>
      </c>
      <c r="F126" t="s">
        <v>483</v>
      </c>
      <c r="G126" t="s">
        <v>47</v>
      </c>
      <c r="H126" t="s">
        <v>90</v>
      </c>
      <c r="I126" t="s">
        <v>54</v>
      </c>
      <c r="J126" t="s">
        <v>175</v>
      </c>
      <c r="K126" t="s">
        <v>176</v>
      </c>
      <c r="L126" t="s">
        <v>74</v>
      </c>
      <c r="M126" t="s">
        <v>80</v>
      </c>
      <c r="N126" t="s">
        <v>484</v>
      </c>
      <c r="O126" t="s">
        <v>59</v>
      </c>
      <c r="P126">
        <v>9</v>
      </c>
      <c r="Q126">
        <v>465.06</v>
      </c>
      <c r="R126">
        <v>-0.15</v>
      </c>
      <c r="S126">
        <v>4185.54</v>
      </c>
      <c r="T126">
        <v>3443.74</v>
      </c>
      <c r="U126">
        <v>741.8</v>
      </c>
      <c r="V126" t="s">
        <v>32</v>
      </c>
      <c r="W126" t="s">
        <v>33</v>
      </c>
      <c r="X126" t="str">
        <f>_xlfn.TEXTJOIN("|", TRUE, A126:W126)</f>
        <v>ORD-2024-10125|45494|45497|3|OK|CUST-4450|Isha Nair|Corporate|South|Karnataka|Bengaluru|Technology|Copiers|Pro Copiers 769|Standard Class|9|465.06|-0.15|4185.54|3443.74|741.8|Paid|Completed</v>
      </c>
      <c r="Y126">
        <f>COUNTIF($X$2:$X$1000, X126)</f>
        <v>1</v>
      </c>
      <c r="Z126">
        <f>COUNTIF($A$2:$A$1000, A126)</f>
        <v>1</v>
      </c>
      <c r="AA126" t="str">
        <f>IF(Y126&gt;1, "Exact Duplicate",
  IF(Z126&gt;1, "Conflicting Duplicate - Review",
    "Unique"))</f>
        <v>Unique</v>
      </c>
      <c r="AB126" s="2" t="str">
        <f>IF(ISBLANK(R126), 0, IF(ISTEXT(R126), VALUE(SUBSTITUTE(R126, "%", ""))/100, IF(OR(R126&lt;0, R126&gt;1), "Invalid", R126)))</f>
        <v>Invalid</v>
      </c>
      <c r="AC126" s="4" t="str">
        <f>IF(AB126="Invalid", "Error", P126 * Q126 * (1 - AB126))</f>
        <v>Error</v>
      </c>
      <c r="AD126" s="4" t="str">
        <f>IF(AC126="Error", "Error", AC126 - T126)</f>
        <v>Error</v>
      </c>
      <c r="AE126" s="2" t="str">
        <f>IF(AC126="Error", "Error", IF(AC126=0, 0, AD126 / AC126))</f>
        <v>Error</v>
      </c>
      <c r="AF126" s="7">
        <f>C126-B126</f>
        <v>3</v>
      </c>
      <c r="AG126" s="2" t="str">
        <f>TEXT(B126, "mmmm")</f>
        <v>July</v>
      </c>
      <c r="AH126" s="4">
        <f>YEAR(B126)</f>
        <v>2024</v>
      </c>
      <c r="AI126" s="2" t="str">
        <f t="shared" si="15"/>
        <v>Invalid: Discount</v>
      </c>
      <c r="AJ126">
        <f>COUNTIFS($A$2:$A$1000,A126,$B$2:$B$1000,B126,$C$2:$C$1000,C126,$D$2:$D$1000,D126,$E$2:$E$1000,E126,$F$2:$F$1000,F126)</f>
        <v>1</v>
      </c>
      <c r="AK126">
        <f>COUNTIF($A$2:$A$1000, A126)</f>
        <v>1</v>
      </c>
    </row>
    <row r="127" spans="1:37">
      <c r="A127" t="s">
        <v>485</v>
      </c>
      <c r="B127" s="5">
        <v>45855</v>
      </c>
      <c r="C127" s="5">
        <v>45856</v>
      </c>
      <c r="D127" s="6">
        <f>IF(AND(C127&lt;&gt;"",B127&lt;&gt;""), C127-B127, "Missing Date")</f>
        <v>1</v>
      </c>
      <c r="E127" s="6" t="str">
        <f>IF(OR(B127="",C127=""), "Missing Date",
    IF(C127&lt;B127, "Invalid: Ship before Order",
      "OK"))</f>
        <v>OK</v>
      </c>
      <c r="F127" t="s">
        <v>486</v>
      </c>
      <c r="G127" t="s">
        <v>79</v>
      </c>
      <c r="H127" t="s">
        <v>37</v>
      </c>
      <c r="I127" t="s">
        <v>63</v>
      </c>
      <c r="J127" t="s">
        <v>26</v>
      </c>
      <c r="K127" t="s">
        <v>109</v>
      </c>
      <c r="L127" t="s">
        <v>41</v>
      </c>
      <c r="M127" t="s">
        <v>42</v>
      </c>
      <c r="N127" t="s">
        <v>487</v>
      </c>
      <c r="O127" t="s">
        <v>44</v>
      </c>
      <c r="P127">
        <v>6</v>
      </c>
      <c r="Q127">
        <v>3235.27</v>
      </c>
      <c r="R127">
        <v>0.25</v>
      </c>
      <c r="S127">
        <v>14558.72</v>
      </c>
      <c r="T127">
        <v>9591.48</v>
      </c>
      <c r="U127">
        <v>4967.24</v>
      </c>
      <c r="V127" t="s">
        <v>102</v>
      </c>
      <c r="W127" t="s">
        <v>103</v>
      </c>
      <c r="X127" t="str">
        <f>_xlfn.TEXTJOIN("|", TRUE, A127:W127)</f>
        <v>ORD-2025-10126|45855|45856|1|OK|CUST-7924|Neha Gupta|Small Business|West|Rajasthan|Udaipur|Furniture|Tables|Basic Tables 753|Same Day|6|3235.27|0.25|14558.72|9591.48|4967.24|Refunded|Returned</v>
      </c>
      <c r="Y127">
        <f>COUNTIF($X$2:$X$1000, X127)</f>
        <v>1</v>
      </c>
      <c r="Z127">
        <f>COUNTIF($A$2:$A$1000, A127)</f>
        <v>1</v>
      </c>
      <c r="AA127" t="str">
        <f>IF(Y127&gt;1, "Exact Duplicate",
  IF(Z127&gt;1, "Conflicting Duplicate - Review",
    "Unique"))</f>
        <v>Unique</v>
      </c>
      <c r="AB127" s="2">
        <f>IF(ISBLANK(R127), 0, IF(ISTEXT(R127), VALUE(SUBSTITUTE(R127, "%", ""))/100, IF(OR(R127&lt;0, R127&gt;1), "Invalid", R127)))</f>
        <v>0.25</v>
      </c>
      <c r="AC127" s="4">
        <f>IF(AB127="Invalid", "Error", P127 * Q127 * (1 - AB127))</f>
        <v>14558.715</v>
      </c>
      <c r="AD127" s="4">
        <f>IF(AC127="Error", "Error", AC127 - T127)</f>
        <v>4967.2350000000006</v>
      </c>
      <c r="AE127" s="2">
        <f>IF(AC127="Error", "Error", IF(AC127=0, 0, AD127 / AC127))</f>
        <v>0.34118636157105903</v>
      </c>
      <c r="AF127" s="7">
        <f>C127-B127</f>
        <v>1</v>
      </c>
      <c r="AG127" s="2" t="str">
        <f>TEXT(B127, "mmmm")</f>
        <v>July</v>
      </c>
      <c r="AH127" s="4">
        <f>YEAR(B127)</f>
        <v>2025</v>
      </c>
      <c r="AI127" s="2" t="str">
        <f t="shared" si="15"/>
        <v>Clean</v>
      </c>
      <c r="AJ127">
        <f>COUNTIFS($A$2:$A$1000,A127,$B$2:$B$1000,B127,$C$2:$C$1000,C127,$D$2:$D$1000,D127,$E$2:$E$1000,E127,$F$2:$F$1000,F127)</f>
        <v>1</v>
      </c>
      <c r="AK127">
        <f>COUNTIF($A$2:$A$1000, A127)</f>
        <v>1</v>
      </c>
    </row>
    <row r="128" spans="1:37">
      <c r="A128" t="s">
        <v>488</v>
      </c>
      <c r="B128" s="5">
        <v>45924</v>
      </c>
      <c r="C128" s="5">
        <v>45926</v>
      </c>
      <c r="D128" s="6">
        <f>IF(AND(C128&lt;&gt;"",B128&lt;&gt;""), C128-B128, "Missing Date")</f>
        <v>2</v>
      </c>
      <c r="E128" s="6" t="str">
        <f>IF(OR(B128="",C128=""), "Missing Date",
    IF(C128&lt;B128, "Invalid: Ship before Order",
      "OK"))</f>
        <v>OK</v>
      </c>
      <c r="F128" t="s">
        <v>489</v>
      </c>
      <c r="G128" t="s">
        <v>114</v>
      </c>
      <c r="H128" t="s">
        <v>90</v>
      </c>
      <c r="I128" t="s">
        <v>25</v>
      </c>
      <c r="J128" t="s">
        <v>350</v>
      </c>
      <c r="K128" t="s">
        <v>351</v>
      </c>
      <c r="L128" t="s">
        <v>74</v>
      </c>
      <c r="M128" t="s">
        <v>80</v>
      </c>
      <c r="N128" t="s">
        <v>490</v>
      </c>
      <c r="O128" t="s">
        <v>59</v>
      </c>
      <c r="P128">
        <v>3</v>
      </c>
      <c r="Q128">
        <v>1593.86</v>
      </c>
      <c r="R128">
        <v>0.1</v>
      </c>
      <c r="S128">
        <v>4303.42</v>
      </c>
      <c r="T128">
        <v>2568.5700000000002</v>
      </c>
      <c r="U128">
        <v>1734.85</v>
      </c>
      <c r="V128" t="s">
        <v>32</v>
      </c>
      <c r="W128" t="s">
        <v>33</v>
      </c>
      <c r="X128" t="str">
        <f>_xlfn.TEXTJOIN("|", TRUE, A128:W128)</f>
        <v>ORD-2025-10127|45924|45926|2|OK|CUST-1715|Priya Menon|Corporate|North|Delhi|New Delhi|Technology|Copiers|Prime Copiers 651|Standard Class|3|1593.86|0.1|4303.42|2568.57|1734.85|Paid|Completed</v>
      </c>
      <c r="Y128">
        <f>COUNTIF($X$2:$X$1000, X128)</f>
        <v>1</v>
      </c>
      <c r="Z128">
        <f>COUNTIF($A$2:$A$1000, A128)</f>
        <v>1</v>
      </c>
      <c r="AA128" t="str">
        <f>IF(Y128&gt;1, "Exact Duplicate",
  IF(Z128&gt;1, "Conflicting Duplicate - Review",
    "Unique"))</f>
        <v>Unique</v>
      </c>
      <c r="AB128" s="2">
        <f>IF(ISBLANK(R128), 0, IF(ISTEXT(R128), VALUE(SUBSTITUTE(R128, "%", ""))/100, IF(OR(R128&lt;0, R128&gt;1), "Invalid", R128)))</f>
        <v>0.1</v>
      </c>
      <c r="AC128" s="4">
        <f>IF(AB128="Invalid", "Error", P128 * Q128 * (1 - AB128))</f>
        <v>4303.4220000000005</v>
      </c>
      <c r="AD128" s="4">
        <f>IF(AC128="Error", "Error", AC128 - T128)</f>
        <v>1734.8520000000003</v>
      </c>
      <c r="AE128" s="2">
        <f>IF(AC128="Error", "Error", IF(AC128=0, 0, AD128 / AC128))</f>
        <v>0.40313313451481175</v>
      </c>
      <c r="AF128" s="7">
        <f>C128-B128</f>
        <v>2</v>
      </c>
      <c r="AG128" s="2" t="str">
        <f>TEXT(B128, "mmmm")</f>
        <v>September</v>
      </c>
      <c r="AH128" s="4">
        <f>YEAR(B128)</f>
        <v>2025</v>
      </c>
      <c r="AI128" s="2" t="str">
        <f t="shared" si="15"/>
        <v>Clean</v>
      </c>
      <c r="AJ128">
        <f>COUNTIFS($A$2:$A$1000,A128,$B$2:$B$1000,B128,$C$2:$C$1000,C128,$D$2:$D$1000,D128,$E$2:$E$1000,E128,$F$2:$F$1000,F128)</f>
        <v>1</v>
      </c>
      <c r="AK128">
        <f>COUNTIF($A$2:$A$1000, A128)</f>
        <v>1</v>
      </c>
    </row>
    <row r="129" spans="1:37">
      <c r="A129" t="s">
        <v>491</v>
      </c>
      <c r="B129" s="5">
        <v>45687</v>
      </c>
      <c r="C129" s="5">
        <v>45683</v>
      </c>
      <c r="D129" s="6">
        <f>IF(AND(C129&lt;&gt;"",B129&lt;&gt;""), C129-B129, "Missing Date")</f>
        <v>-4</v>
      </c>
      <c r="E129" s="6" t="str">
        <f>IF(OR(B129="",C129=""), "Missing Date",
    IF(C129&lt;B129, "Invalid: Ship before Order",
      "OK"))</f>
        <v>Invalid: Ship before Order</v>
      </c>
      <c r="F129" t="s">
        <v>492</v>
      </c>
      <c r="G129" t="s">
        <v>114</v>
      </c>
      <c r="H129" t="s">
        <v>90</v>
      </c>
      <c r="I129" t="s">
        <v>63</v>
      </c>
      <c r="J129" t="s">
        <v>72</v>
      </c>
      <c r="K129" t="s">
        <v>73</v>
      </c>
      <c r="L129" t="s">
        <v>28</v>
      </c>
      <c r="M129" t="s">
        <v>124</v>
      </c>
      <c r="N129" t="s">
        <v>493</v>
      </c>
      <c r="O129" t="s">
        <v>31</v>
      </c>
      <c r="P129">
        <v>2</v>
      </c>
      <c r="Q129">
        <v>3039.3</v>
      </c>
      <c r="R129">
        <v>0.05</v>
      </c>
      <c r="S129">
        <v>5774.67</v>
      </c>
      <c r="T129">
        <v>3518.36</v>
      </c>
      <c r="U129">
        <v>2256.31</v>
      </c>
      <c r="V129" t="s">
        <v>32</v>
      </c>
      <c r="W129" t="s">
        <v>33</v>
      </c>
      <c r="X129" t="str">
        <f>_xlfn.TEXTJOIN("|", TRUE, A129:W129)</f>
        <v>ORD-2025-10128|45687|45683|-4|Invalid: Ship before Order|CUST-6802|Priya Menon|Corporate|West|Madhya Pradesh|Indore|Office Supplies|Storage|Basic Storage 321|Second Class|2|3039.3|0.05|5774.67|3518.36|2256.31|Paid|Completed</v>
      </c>
      <c r="Y129">
        <f>COUNTIF($X$2:$X$1000, X129)</f>
        <v>1</v>
      </c>
      <c r="Z129">
        <f>COUNTIF($A$2:$A$1000, A129)</f>
        <v>2</v>
      </c>
      <c r="AA129" t="str">
        <f>IF(Y129&gt;1, "Exact Duplicate",
  IF(Z129&gt;1, "Conflicting Duplicate - Review",
    "Unique"))</f>
        <v>Conflicting Duplicate - Review</v>
      </c>
      <c r="AB129" s="2">
        <f>IF(ISBLANK(R129), 0, IF(ISTEXT(R129), VALUE(SUBSTITUTE(R129, "%", ""))/100, IF(OR(R129&lt;0, R129&gt;1), "Invalid", R129)))</f>
        <v>0.05</v>
      </c>
      <c r="AC129" s="4">
        <f>IF(AB129="Invalid", "Error", P129 * Q129 * (1 - AB129))</f>
        <v>5774.67</v>
      </c>
      <c r="AD129" s="4">
        <f>IF(AC129="Error", "Error", AC129 - T129)</f>
        <v>2256.31</v>
      </c>
      <c r="AE129" s="2">
        <f>IF(AC129="Error", "Error", IF(AC129=0, 0, AD129 / AC129))</f>
        <v>0.39072535746631409</v>
      </c>
      <c r="AF129" s="7">
        <f>C129-B129</f>
        <v>-4</v>
      </c>
      <c r="AG129" s="2" t="str">
        <f>TEXT(B129, "mmmm")</f>
        <v>January</v>
      </c>
      <c r="AH129" s="4">
        <f>YEAR(B129)</f>
        <v>2025</v>
      </c>
      <c r="AI129" s="2" t="str">
        <f t="shared" si="15"/>
        <v>Invalid Shipping Record</v>
      </c>
      <c r="AJ129">
        <f>COUNTIFS($A$2:$A$1000,A129,$B$2:$B$1000,B129,$C$2:$C$1000,C129,$D$2:$D$1000,D129,$E$2:$E$1000,E129,$F$2:$F$1000,F129)</f>
        <v>2</v>
      </c>
      <c r="AK129">
        <f>COUNTIF($A$2:$A$1000, A129)</f>
        <v>2</v>
      </c>
    </row>
    <row r="130" spans="1:37">
      <c r="A130" t="s">
        <v>494</v>
      </c>
      <c r="B130" s="5">
        <v>45639</v>
      </c>
      <c r="C130" s="5">
        <v>45642</v>
      </c>
      <c r="D130" s="6">
        <f>IF(AND(C130&lt;&gt;"",B130&lt;&gt;""), C130-B130, "Missing Date")</f>
        <v>3</v>
      </c>
      <c r="E130" s="6" t="str">
        <f>IF(OR(B130="",C130=""), "Missing Date",
    IF(C130&lt;B130, "Invalid: Ship before Order",
      "OK"))</f>
        <v>OK</v>
      </c>
      <c r="F130" t="s">
        <v>495</v>
      </c>
      <c r="G130" t="s">
        <v>79</v>
      </c>
      <c r="H130" t="s">
        <v>37</v>
      </c>
      <c r="I130" t="s">
        <v>38</v>
      </c>
      <c r="J130" t="s">
        <v>39</v>
      </c>
      <c r="K130" t="s">
        <v>40</v>
      </c>
      <c r="L130" t="s">
        <v>41</v>
      </c>
      <c r="M130" t="s">
        <v>57</v>
      </c>
      <c r="N130" t="s">
        <v>496</v>
      </c>
      <c r="O130" t="s">
        <v>59</v>
      </c>
      <c r="P130">
        <v>5</v>
      </c>
      <c r="Q130">
        <v>923.45</v>
      </c>
      <c r="R130">
        <v>0.05</v>
      </c>
      <c r="S130">
        <v>4386.3900000000003</v>
      </c>
      <c r="T130">
        <v>3366.88</v>
      </c>
      <c r="U130">
        <v>1019.51</v>
      </c>
      <c r="V130" t="s">
        <v>32</v>
      </c>
      <c r="W130" t="s">
        <v>103</v>
      </c>
      <c r="X130" t="str">
        <f>_xlfn.TEXTJOIN("|", TRUE, A130:W130)</f>
        <v>ORD-2024-10129|45639|45642|3|OK|CUST-9328|Neha Gupta|Small Business|East|Odisha|Bhubaneswar|Furniture|Furnishings|Prime Furnishings 710|Standard Class|5|923.45|0.05|4386.39|3366.88|1019.51|Paid|Returned</v>
      </c>
      <c r="Y130">
        <f>COUNTIF($X$2:$X$1000, X130)</f>
        <v>1</v>
      </c>
      <c r="Z130">
        <f>COUNTIF($A$2:$A$1000, A130)</f>
        <v>1</v>
      </c>
      <c r="AA130" t="str">
        <f>IF(Y130&gt;1, "Exact Duplicate",
  IF(Z130&gt;1, "Conflicting Duplicate - Review",
    "Unique"))</f>
        <v>Unique</v>
      </c>
      <c r="AB130" s="2">
        <f>IF(ISBLANK(R130), 0, IF(ISTEXT(R130), VALUE(SUBSTITUTE(R130, "%", ""))/100, IF(OR(R130&lt;0, R130&gt;1), "Invalid", R130)))</f>
        <v>0.05</v>
      </c>
      <c r="AC130" s="4">
        <f>IF(AB130="Invalid", "Error", P130 * Q130 * (1 - AB130))</f>
        <v>4386.3874999999998</v>
      </c>
      <c r="AD130" s="4">
        <f>IF(AC130="Error", "Error", AC130 - T130)</f>
        <v>1019.5074999999997</v>
      </c>
      <c r="AE130" s="2">
        <f>IF(AC130="Error", "Error", IF(AC130=0, 0, AD130 / AC130))</f>
        <v>0.2324253158208206</v>
      </c>
      <c r="AF130" s="7">
        <f>C130-B130</f>
        <v>3</v>
      </c>
      <c r="AG130" s="2" t="str">
        <f>TEXT(B130, "mmmm")</f>
        <v>December</v>
      </c>
      <c r="AH130" s="4">
        <f>YEAR(B130)</f>
        <v>2024</v>
      </c>
      <c r="AI130" s="2" t="str">
        <f t="shared" si="15"/>
        <v>Clean</v>
      </c>
      <c r="AJ130">
        <f>COUNTIFS($A$2:$A$1000,A130,$B$2:$B$1000,B130,$C$2:$C$1000,C130,$D$2:$D$1000,D130,$E$2:$E$1000,E130,$F$2:$F$1000,F130)</f>
        <v>1</v>
      </c>
      <c r="AK130">
        <f>COUNTIF($A$2:$A$1000, A130)</f>
        <v>1</v>
      </c>
    </row>
    <row r="131" spans="1:37">
      <c r="A131" t="s">
        <v>497</v>
      </c>
      <c r="B131" s="5">
        <v>45492</v>
      </c>
      <c r="C131" s="5">
        <v>45498</v>
      </c>
      <c r="D131" s="6">
        <f>IF(AND(C131&lt;&gt;"",B131&lt;&gt;""), C131-B131, "Missing Date")</f>
        <v>6</v>
      </c>
      <c r="E131" s="6" t="str">
        <f>IF(OR(B131="",C131=""), "Missing Date",
    IF(C131&lt;B131, "Invalid: Ship before Order",
      "OK"))</f>
        <v>OK</v>
      </c>
      <c r="F131" t="s">
        <v>498</v>
      </c>
      <c r="G131" t="s">
        <v>47</v>
      </c>
      <c r="H131" t="s">
        <v>37</v>
      </c>
      <c r="I131" t="s">
        <v>63</v>
      </c>
      <c r="J131" t="s">
        <v>190</v>
      </c>
      <c r="K131" t="s">
        <v>191</v>
      </c>
      <c r="L131" t="s">
        <v>28</v>
      </c>
      <c r="M131" t="s">
        <v>153</v>
      </c>
      <c r="N131" t="s">
        <v>499</v>
      </c>
      <c r="O131" t="s">
        <v>59</v>
      </c>
      <c r="P131">
        <v>7</v>
      </c>
      <c r="Q131">
        <v>2741.29</v>
      </c>
      <c r="R131">
        <v>0.05</v>
      </c>
      <c r="S131">
        <v>18229.580000000002</v>
      </c>
      <c r="T131">
        <v>15139.15</v>
      </c>
      <c r="U131">
        <v>3090.43</v>
      </c>
      <c r="V131" t="s">
        <v>32</v>
      </c>
      <c r="W131" t="s">
        <v>33</v>
      </c>
      <c r="X131" t="str">
        <f>_xlfn.TEXTJOIN("|", TRUE, A131:W131)</f>
        <v>ORD-2024-10130|45492|45498|6|OK|CUST-2588|Isha Nair|Small Business|West|Goa|Panaji|Office Supplies|Binders|Elite Binders 723|Standard Class|7|2741.29|0.05|18229.58|15139.15|3090.43|Paid|Completed</v>
      </c>
      <c r="Y131">
        <f>COUNTIF($X$2:$X$1000, X131)</f>
        <v>1</v>
      </c>
      <c r="Z131">
        <f>COUNTIF($A$2:$A$1000, A131)</f>
        <v>1</v>
      </c>
      <c r="AA131" t="str">
        <f>IF(Y131&gt;1, "Exact Duplicate",
  IF(Z131&gt;1, "Conflicting Duplicate - Review",
    "Unique"))</f>
        <v>Unique</v>
      </c>
      <c r="AB131" s="2">
        <f>IF(ISBLANK(R131), 0, IF(ISTEXT(R131), VALUE(SUBSTITUTE(R131, "%", ""))/100, IF(OR(R131&lt;0, R131&gt;1), "Invalid", R131)))</f>
        <v>0.05</v>
      </c>
      <c r="AC131" s="4">
        <f>IF(AB131="Invalid", "Error", P131 * Q131 * (1 - AB131))</f>
        <v>18229.5785</v>
      </c>
      <c r="AD131" s="4">
        <f>IF(AC131="Error", "Error", AC131 - T131)</f>
        <v>3090.4285</v>
      </c>
      <c r="AE131" s="2">
        <f>IF(AC131="Error", "Error", IF(AC131=0, 0, AD131 / AC131))</f>
        <v>0.16952824773211295</v>
      </c>
      <c r="AF131" s="7">
        <f>C131-B131</f>
        <v>6</v>
      </c>
      <c r="AG131" s="2" t="str">
        <f>TEXT(B131, "mmmm")</f>
        <v>July</v>
      </c>
      <c r="AH131" s="4">
        <f>YEAR(B131)</f>
        <v>2024</v>
      </c>
      <c r="AI131" s="2" t="str">
        <f t="shared" ref="AI131:AI194" si="16">IF(OR(R131&lt;0,R131&gt;1),"Invalid: Discount",
IF(AND(I131="Unknown",J131&lt;&gt;""),"Warning: Missing Region",
IF(W131="Cancelled","Excluded from Sales",
IF(V131="Failed","Excluded from Sales",
IF(O131="Unknown","Warning: Missing Shipping Mode",
IF(W131="Refunded","Refund – Separate Summary",
IF(C131&lt;B131,"Invalid Shipping Record",
"Clean")))))))</f>
        <v>Clean</v>
      </c>
      <c r="AJ131">
        <f>COUNTIFS($A$2:$A$1000,A131,$B$2:$B$1000,B131,$C$2:$C$1000,C131,$D$2:$D$1000,D131,$E$2:$E$1000,E131,$F$2:$F$1000,F131)</f>
        <v>1</v>
      </c>
      <c r="AK131">
        <f>COUNTIF($A$2:$A$1000, A131)</f>
        <v>1</v>
      </c>
    </row>
    <row r="132" spans="1:37">
      <c r="A132" t="s">
        <v>500</v>
      </c>
      <c r="B132" s="5">
        <v>45318</v>
      </c>
      <c r="C132" s="5">
        <v>45324</v>
      </c>
      <c r="D132" s="6">
        <f>IF(AND(C132&lt;&gt;"",B132&lt;&gt;""), C132-B132, "Missing Date")</f>
        <v>6</v>
      </c>
      <c r="E132" s="6" t="str">
        <f>IF(OR(B132="",C132=""), "Missing Date",
    IF(C132&lt;B132, "Invalid: Ship before Order",
      "OK"))</f>
        <v>OK</v>
      </c>
      <c r="F132" t="s">
        <v>501</v>
      </c>
      <c r="G132" t="s">
        <v>53</v>
      </c>
      <c r="H132" t="s">
        <v>24</v>
      </c>
      <c r="I132" t="s">
        <v>63</v>
      </c>
      <c r="J132" t="s">
        <v>180</v>
      </c>
      <c r="K132" t="s">
        <v>181</v>
      </c>
      <c r="L132" t="s">
        <v>28</v>
      </c>
      <c r="M132" t="s">
        <v>91</v>
      </c>
      <c r="N132" t="s">
        <v>502</v>
      </c>
      <c r="O132" t="s">
        <v>44</v>
      </c>
      <c r="P132">
        <v>5</v>
      </c>
      <c r="Q132">
        <v>218.42</v>
      </c>
      <c r="R132">
        <v>0.2</v>
      </c>
      <c r="S132">
        <v>873.68</v>
      </c>
      <c r="T132">
        <v>661.72</v>
      </c>
      <c r="U132">
        <v>211.96</v>
      </c>
      <c r="V132" t="s">
        <v>111</v>
      </c>
      <c r="W132" t="s">
        <v>68</v>
      </c>
      <c r="X132" t="str">
        <f>_xlfn.TEXTJOIN("|", TRUE, A132:W132)</f>
        <v>ORD-2024-10131|45318|45324|6|OK|CUST-5435|Arjun Bose|Consumer|West|Gujarat|Ahmedabad|Office Supplies|Labels|Smart Labels 878|Same Day|5|218.42|0.2|873.68|661.72|211.96|Pending|Cancelled</v>
      </c>
      <c r="Y132">
        <f>COUNTIF($X$2:$X$1000, X132)</f>
        <v>1</v>
      </c>
      <c r="Z132">
        <f>COUNTIF($A$2:$A$1000, A132)</f>
        <v>1</v>
      </c>
      <c r="AA132" t="str">
        <f>IF(Y132&gt;1, "Exact Duplicate",
  IF(Z132&gt;1, "Conflicting Duplicate - Review",
    "Unique"))</f>
        <v>Unique</v>
      </c>
      <c r="AB132" s="2">
        <f>IF(ISBLANK(R132), 0, IF(ISTEXT(R132), VALUE(SUBSTITUTE(R132, "%", ""))/100, IF(OR(R132&lt;0, R132&gt;1), "Invalid", R132)))</f>
        <v>0.2</v>
      </c>
      <c r="AC132" s="4">
        <f>IF(AB132="Invalid", "Error", P132 * Q132 * (1 - AB132))</f>
        <v>873.68</v>
      </c>
      <c r="AD132" s="4">
        <f>IF(AC132="Error", "Error", AC132 - T132)</f>
        <v>211.95999999999992</v>
      </c>
      <c r="AE132" s="2">
        <f>IF(AC132="Error", "Error", IF(AC132=0, 0, AD132 / AC132))</f>
        <v>0.24260598846259493</v>
      </c>
      <c r="AF132" s="7">
        <f>C132-B132</f>
        <v>6</v>
      </c>
      <c r="AG132" s="2" t="str">
        <f>TEXT(B132, "mmmm")</f>
        <v>January</v>
      </c>
      <c r="AH132" s="4">
        <f>YEAR(B132)</f>
        <v>2024</v>
      </c>
      <c r="AI132" s="2" t="str">
        <f t="shared" si="16"/>
        <v>Excluded from Sales</v>
      </c>
      <c r="AJ132">
        <f>COUNTIFS($A$2:$A$1000,A132,$B$2:$B$1000,B132,$C$2:$C$1000,C132,$D$2:$D$1000,D132,$E$2:$E$1000,E132,$F$2:$F$1000,F132)</f>
        <v>1</v>
      </c>
      <c r="AK132">
        <f>COUNTIF($A$2:$A$1000, A132)</f>
        <v>1</v>
      </c>
    </row>
    <row r="133" spans="1:37">
      <c r="A133" t="s">
        <v>503</v>
      </c>
      <c r="B133" s="5">
        <v>45929</v>
      </c>
      <c r="C133" s="5">
        <v>45934</v>
      </c>
      <c r="D133" s="6">
        <f>IF(AND(C133&lt;&gt;"",B133&lt;&gt;""), C133-B133, "Missing Date")</f>
        <v>5</v>
      </c>
      <c r="E133" s="6" t="str">
        <f>IF(OR(B133="",C133=""), "Missing Date",
    IF(C133&lt;B133, "Invalid: Ship before Order",
      "OK"))</f>
        <v>OK</v>
      </c>
      <c r="F133" t="s">
        <v>504</v>
      </c>
      <c r="G133" t="s">
        <v>62</v>
      </c>
      <c r="H133" t="s">
        <v>95</v>
      </c>
      <c r="I133" t="s">
        <v>38</v>
      </c>
      <c r="J133" t="s">
        <v>228</v>
      </c>
      <c r="K133" t="s">
        <v>229</v>
      </c>
      <c r="L133" t="s">
        <v>28</v>
      </c>
      <c r="M133" t="s">
        <v>29</v>
      </c>
      <c r="N133" t="s">
        <v>505</v>
      </c>
      <c r="O133" t="s">
        <v>44</v>
      </c>
      <c r="P133">
        <v>9</v>
      </c>
      <c r="Q133">
        <v>373.91</v>
      </c>
      <c r="R133">
        <v>0.2</v>
      </c>
      <c r="S133">
        <v>2692.15</v>
      </c>
      <c r="T133">
        <v>2044.49</v>
      </c>
      <c r="U133">
        <v>647.66</v>
      </c>
      <c r="V133" t="s">
        <v>32</v>
      </c>
      <c r="W133" t="s">
        <v>33</v>
      </c>
      <c r="X133" t="str">
        <f>_xlfn.TEXTJOIN("|", TRUE, A133:W133)</f>
        <v>ORD-2025-10132|45929|45934|5|OK|CUST-7637|Ananya Rao|Home Office|East|Jharkhand|Ranchi|Office Supplies|Paper|Pro Paper 934|Same Day|9|373.91|0.2|2692.15|2044.49|647.66|Paid|Completed</v>
      </c>
      <c r="Y133">
        <f>COUNTIF($X$2:$X$1000, X133)</f>
        <v>1</v>
      </c>
      <c r="Z133">
        <f>COUNTIF($A$2:$A$1000, A133)</f>
        <v>1</v>
      </c>
      <c r="AA133" t="str">
        <f>IF(Y133&gt;1, "Exact Duplicate",
  IF(Z133&gt;1, "Conflicting Duplicate - Review",
    "Unique"))</f>
        <v>Unique</v>
      </c>
      <c r="AB133" s="2">
        <f>IF(ISBLANK(R133), 0, IF(ISTEXT(R133), VALUE(SUBSTITUTE(R133, "%", ""))/100, IF(OR(R133&lt;0, R133&gt;1), "Invalid", R133)))</f>
        <v>0.2</v>
      </c>
      <c r="AC133" s="4">
        <f>IF(AB133="Invalid", "Error", P133 * Q133 * (1 - AB133))</f>
        <v>2692.152</v>
      </c>
      <c r="AD133" s="4">
        <f>IF(AC133="Error", "Error", AC133 - T133)</f>
        <v>647.66200000000003</v>
      </c>
      <c r="AE133" s="2">
        <f>IF(AC133="Error", "Error", IF(AC133=0, 0, AD133 / AC133))</f>
        <v>0.24057408348414205</v>
      </c>
      <c r="AF133" s="7">
        <f>C133-B133</f>
        <v>5</v>
      </c>
      <c r="AG133" s="2" t="str">
        <f>TEXT(B133, "mmmm")</f>
        <v>September</v>
      </c>
      <c r="AH133" s="4">
        <f>YEAR(B133)</f>
        <v>2025</v>
      </c>
      <c r="AI133" s="2" t="str">
        <f t="shared" si="16"/>
        <v>Clean</v>
      </c>
      <c r="AJ133">
        <f>COUNTIFS($A$2:$A$1000,A133,$B$2:$B$1000,B133,$C$2:$C$1000,C133,$D$2:$D$1000,D133,$E$2:$E$1000,E133,$F$2:$F$1000,F133)</f>
        <v>1</v>
      </c>
      <c r="AK133">
        <f>COUNTIF($A$2:$A$1000, A133)</f>
        <v>1</v>
      </c>
    </row>
    <row r="134" spans="1:37">
      <c r="A134" t="s">
        <v>506</v>
      </c>
      <c r="B134" s="5">
        <v>45600</v>
      </c>
      <c r="C134" s="5">
        <v>45600</v>
      </c>
      <c r="D134" s="6">
        <f>IF(AND(C134&lt;&gt;"",B134&lt;&gt;""), C134-B134, "Missing Date")</f>
        <v>0</v>
      </c>
      <c r="E134" s="6" t="str">
        <f>IF(OR(B134="",C134=""), "Missing Date",
    IF(C134&lt;B134, "Invalid: Ship before Order",
      "OK"))</f>
        <v>OK</v>
      </c>
      <c r="F134" t="s">
        <v>507</v>
      </c>
      <c r="G134" t="s">
        <v>264</v>
      </c>
      <c r="H134" t="s">
        <v>90</v>
      </c>
      <c r="I134" t="s">
        <v>38</v>
      </c>
      <c r="J134" t="s">
        <v>166</v>
      </c>
      <c r="K134" t="s">
        <v>167</v>
      </c>
      <c r="L134" t="s">
        <v>74</v>
      </c>
      <c r="M134" t="s">
        <v>274</v>
      </c>
      <c r="N134" t="s">
        <v>508</v>
      </c>
      <c r="O134" t="s">
        <v>50</v>
      </c>
      <c r="P134">
        <v>2</v>
      </c>
      <c r="Q134">
        <v>533.08000000000004</v>
      </c>
      <c r="R134">
        <v>0</v>
      </c>
      <c r="S134">
        <v>1066.1600000000001</v>
      </c>
      <c r="T134">
        <v>656.3</v>
      </c>
      <c r="U134">
        <v>409.86</v>
      </c>
      <c r="V134" t="s">
        <v>155</v>
      </c>
      <c r="W134" t="s">
        <v>68</v>
      </c>
      <c r="X134" t="str">
        <f>_xlfn.TEXTJOIN("|", TRUE, A134:W134)</f>
        <v>ORD-2024-10133|45600|45600|0|OK|CUST-3602|Kabir Singh|Corporate|East|Assam|Guwahati|Technology|Machines|Classic Machines 886|First Class|2|533.08|0|1066.16|656.3|409.86|Failed|Cancelled</v>
      </c>
      <c r="Y134">
        <f>COUNTIF($X$2:$X$1000, X134)</f>
        <v>1</v>
      </c>
      <c r="Z134">
        <f>COUNTIF($A$2:$A$1000, A134)</f>
        <v>1</v>
      </c>
      <c r="AA134" t="str">
        <f>IF(Y134&gt;1, "Exact Duplicate",
  IF(Z134&gt;1, "Conflicting Duplicate - Review",
    "Unique"))</f>
        <v>Unique</v>
      </c>
      <c r="AB134" s="2">
        <f>IF(ISBLANK(R134), 0, IF(ISTEXT(R134), VALUE(SUBSTITUTE(R134, "%", ""))/100, IF(OR(R134&lt;0, R134&gt;1), "Invalid", R134)))</f>
        <v>0</v>
      </c>
      <c r="AC134" s="4">
        <f>IF(AB134="Invalid", "Error", P134 * Q134 * (1 - AB134))</f>
        <v>1066.1600000000001</v>
      </c>
      <c r="AD134" s="4">
        <f>IF(AC134="Error", "Error", AC134 - T134)</f>
        <v>409.86000000000013</v>
      </c>
      <c r="AE134" s="2">
        <f>IF(AC134="Error", "Error", IF(AC134=0, 0, AD134 / AC134))</f>
        <v>0.38442635251744589</v>
      </c>
      <c r="AF134" s="7">
        <f>C134-B134</f>
        <v>0</v>
      </c>
      <c r="AG134" s="2" t="str">
        <f>TEXT(B134, "mmmm")</f>
        <v>November</v>
      </c>
      <c r="AH134" s="4">
        <f>YEAR(B134)</f>
        <v>2024</v>
      </c>
      <c r="AI134" s="2" t="str">
        <f t="shared" si="16"/>
        <v>Excluded from Sales</v>
      </c>
      <c r="AJ134">
        <f>COUNTIFS($A$2:$A$1000,A134,$B$2:$B$1000,B134,$C$2:$C$1000,C134,$D$2:$D$1000,D134,$E$2:$E$1000,E134,$F$2:$F$1000,F134)</f>
        <v>1</v>
      </c>
      <c r="AK134">
        <f>COUNTIF($A$2:$A$1000, A134)</f>
        <v>1</v>
      </c>
    </row>
    <row r="135" spans="1:37">
      <c r="A135" t="s">
        <v>509</v>
      </c>
      <c r="B135" s="5">
        <v>45639</v>
      </c>
      <c r="C135" s="5">
        <v>45644</v>
      </c>
      <c r="D135" s="6">
        <f>IF(AND(C135&lt;&gt;"",B135&lt;&gt;""), C135-B135, "Missing Date")</f>
        <v>5</v>
      </c>
      <c r="E135" s="6" t="str">
        <f>IF(OR(B135="",C135=""), "Missing Date",
    IF(C135&lt;B135, "Invalid: Ship before Order",
      "OK"))</f>
        <v>OK</v>
      </c>
      <c r="F135" t="s">
        <v>510</v>
      </c>
      <c r="G135" t="s">
        <v>23</v>
      </c>
      <c r="H135" t="s">
        <v>24</v>
      </c>
      <c r="I135" t="s">
        <v>63</v>
      </c>
      <c r="J135" t="s">
        <v>190</v>
      </c>
      <c r="K135" t="s">
        <v>191</v>
      </c>
      <c r="L135" t="s">
        <v>74</v>
      </c>
      <c r="M135" t="s">
        <v>171</v>
      </c>
      <c r="N135" t="s">
        <v>511</v>
      </c>
      <c r="O135" t="s">
        <v>31</v>
      </c>
      <c r="P135">
        <v>8</v>
      </c>
      <c r="Q135">
        <v>3372.15</v>
      </c>
      <c r="R135">
        <v>0.15</v>
      </c>
      <c r="S135">
        <v>22930.62</v>
      </c>
      <c r="T135">
        <v>16875.55</v>
      </c>
      <c r="U135">
        <v>6055.07</v>
      </c>
      <c r="V135" t="s">
        <v>32</v>
      </c>
      <c r="W135" t="s">
        <v>33</v>
      </c>
      <c r="X135" t="str">
        <f>_xlfn.TEXTJOIN("|", TRUE, A135:W135)</f>
        <v>ORD-2024-10134|45639|45644|5|OK|CUST-9441|Karan Malhotra|Consumer|West|Goa|Panaji|Technology|Phones|Prime Phones 419|Second Class|8|3372.15|0.15|22930.62|16875.55|6055.07|Paid|Completed</v>
      </c>
      <c r="Y135">
        <f>COUNTIF($X$2:$X$1000, X135)</f>
        <v>1</v>
      </c>
      <c r="Z135">
        <f>COUNTIF($A$2:$A$1000, A135)</f>
        <v>2</v>
      </c>
      <c r="AA135" t="str">
        <f>IF(Y135&gt;1, "Exact Duplicate",
  IF(Z135&gt;1, "Conflicting Duplicate - Review",
    "Unique"))</f>
        <v>Conflicting Duplicate - Review</v>
      </c>
      <c r="AB135" s="2">
        <f>IF(ISBLANK(R135), 0, IF(ISTEXT(R135), VALUE(SUBSTITUTE(R135, "%", ""))/100, IF(OR(R135&lt;0, R135&gt;1), "Invalid", R135)))</f>
        <v>0.15</v>
      </c>
      <c r="AC135" s="4">
        <f>IF(AB135="Invalid", "Error", P135 * Q135 * (1 - AB135))</f>
        <v>22930.62</v>
      </c>
      <c r="AD135" s="4">
        <f>IF(AC135="Error", "Error", AC135 - T135)</f>
        <v>6055.07</v>
      </c>
      <c r="AE135" s="2">
        <f>IF(AC135="Error", "Error", IF(AC135=0, 0, AD135 / AC135))</f>
        <v>0.26406045715292475</v>
      </c>
      <c r="AF135" s="7">
        <f>C135-B135</f>
        <v>5</v>
      </c>
      <c r="AG135" s="2" t="str">
        <f>TEXT(B135, "mmmm")</f>
        <v>December</v>
      </c>
      <c r="AH135" s="4">
        <f>YEAR(B135)</f>
        <v>2024</v>
      </c>
      <c r="AI135" s="2" t="str">
        <f t="shared" si="16"/>
        <v>Clean</v>
      </c>
      <c r="AJ135">
        <f>COUNTIFS($A$2:$A$1000,A135,$B$2:$B$1000,B135,$C$2:$C$1000,C135,$D$2:$D$1000,D135,$E$2:$E$1000,E135,$F$2:$F$1000,F135)</f>
        <v>2</v>
      </c>
      <c r="AK135">
        <f>COUNTIF($A$2:$A$1000, A135)</f>
        <v>2</v>
      </c>
    </row>
    <row r="136" spans="1:37">
      <c r="A136" t="s">
        <v>512</v>
      </c>
      <c r="B136" s="5">
        <v>45852</v>
      </c>
      <c r="C136" s="5">
        <v>45852</v>
      </c>
      <c r="D136" s="6">
        <f>IF(AND(C136&lt;&gt;"",B136&lt;&gt;""), C136-B136, "Missing Date")</f>
        <v>0</v>
      </c>
      <c r="E136" s="6" t="str">
        <f>IF(OR(B136="",C136=""), "Missing Date",
    IF(C136&lt;B136, "Invalid: Ship before Order",
      "OK"))</f>
        <v>OK</v>
      </c>
      <c r="F136" t="s">
        <v>513</v>
      </c>
      <c r="G136" t="s">
        <v>71</v>
      </c>
      <c r="H136" t="s">
        <v>95</v>
      </c>
      <c r="I136" t="s">
        <v>38</v>
      </c>
      <c r="J136" t="s">
        <v>99</v>
      </c>
      <c r="K136" t="s">
        <v>100</v>
      </c>
      <c r="L136" t="s">
        <v>41</v>
      </c>
      <c r="M136" t="s">
        <v>158</v>
      </c>
      <c r="N136" t="s">
        <v>514</v>
      </c>
      <c r="O136" t="s">
        <v>2762</v>
      </c>
      <c r="P136">
        <v>5</v>
      </c>
      <c r="Q136">
        <v>383.1</v>
      </c>
      <c r="R136">
        <v>0.25</v>
      </c>
      <c r="S136">
        <v>1436.62</v>
      </c>
      <c r="T136">
        <v>912.52</v>
      </c>
      <c r="U136">
        <v>524.1</v>
      </c>
      <c r="V136" t="s">
        <v>111</v>
      </c>
      <c r="W136" t="s">
        <v>68</v>
      </c>
      <c r="X136" t="str">
        <f>_xlfn.TEXTJOIN("|", TRUE, A136:W136)</f>
        <v>ORD-2025-10135|45852|45852|0|OK|CUST-7361|Vikram Iyer|Home Office|East|West Bengal|Kolkata|Furniture|Bookcases|Elite Bookcases 266|Unknown|5|383.1|0.25|1436.62|912.52|524.1|Pending|Cancelled</v>
      </c>
      <c r="Y136">
        <f>COUNTIF($X$2:$X$1000, X136)</f>
        <v>1</v>
      </c>
      <c r="Z136">
        <f>COUNTIF($A$2:$A$1000, A136)</f>
        <v>1</v>
      </c>
      <c r="AA136" t="str">
        <f>IF(Y136&gt;1, "Exact Duplicate",
  IF(Z136&gt;1, "Conflicting Duplicate - Review",
    "Unique"))</f>
        <v>Unique</v>
      </c>
      <c r="AB136" s="2">
        <f>IF(ISBLANK(R136), 0, IF(ISTEXT(R136), VALUE(SUBSTITUTE(R136, "%", ""))/100, IF(OR(R136&lt;0, R136&gt;1), "Invalid", R136)))</f>
        <v>0.25</v>
      </c>
      <c r="AC136" s="4">
        <f>IF(AB136="Invalid", "Error", P136 * Q136 * (1 - AB136))</f>
        <v>1436.625</v>
      </c>
      <c r="AD136" s="4">
        <f>IF(AC136="Error", "Error", AC136 - T136)</f>
        <v>524.10500000000002</v>
      </c>
      <c r="AE136" s="2">
        <f>IF(AC136="Error", "Error", IF(AC136=0, 0, AD136 / AC136))</f>
        <v>0.36481684503610895</v>
      </c>
      <c r="AF136" s="7">
        <f>C136-B136</f>
        <v>0</v>
      </c>
      <c r="AG136" s="2" t="str">
        <f>TEXT(B136, "mmmm")</f>
        <v>July</v>
      </c>
      <c r="AH136" s="4">
        <f>YEAR(B136)</f>
        <v>2025</v>
      </c>
      <c r="AI136" s="2" t="str">
        <f t="shared" si="16"/>
        <v>Excluded from Sales</v>
      </c>
      <c r="AJ136">
        <f>COUNTIFS($A$2:$A$1000,A136,$B$2:$B$1000,B136,$C$2:$C$1000,C136,$D$2:$D$1000,D136,$E$2:$E$1000,E136,$F$2:$F$1000,F136)</f>
        <v>1</v>
      </c>
      <c r="AK136">
        <f>COUNTIF($A$2:$A$1000, A136)</f>
        <v>1</v>
      </c>
    </row>
    <row r="137" spans="1:37">
      <c r="A137" t="s">
        <v>515</v>
      </c>
      <c r="B137" s="5">
        <v>45893</v>
      </c>
      <c r="C137" s="5">
        <v>45893</v>
      </c>
      <c r="D137" s="6">
        <f>IF(AND(C137&lt;&gt;"",B137&lt;&gt;""), C137-B137, "Missing Date")</f>
        <v>0</v>
      </c>
      <c r="E137" s="6" t="str">
        <f>IF(OR(B137="",C137=""), "Missing Date",
    IF(C137&lt;B137, "Invalid: Ship before Order",
      "OK"))</f>
        <v>OK</v>
      </c>
      <c r="F137" t="s">
        <v>516</v>
      </c>
      <c r="G137" t="s">
        <v>162</v>
      </c>
      <c r="H137" t="s">
        <v>37</v>
      </c>
      <c r="I137" t="s">
        <v>54</v>
      </c>
      <c r="J137" t="s">
        <v>185</v>
      </c>
      <c r="K137" t="s">
        <v>186</v>
      </c>
      <c r="L137" t="s">
        <v>41</v>
      </c>
      <c r="M137" t="s">
        <v>158</v>
      </c>
      <c r="N137" t="s">
        <v>517</v>
      </c>
      <c r="O137" t="s">
        <v>59</v>
      </c>
      <c r="P137">
        <v>1</v>
      </c>
      <c r="Q137">
        <v>3424.78</v>
      </c>
      <c r="R137">
        <v>0</v>
      </c>
      <c r="S137">
        <v>3424.78</v>
      </c>
      <c r="T137">
        <v>1951.45</v>
      </c>
      <c r="U137">
        <v>1473.33</v>
      </c>
      <c r="V137" t="s">
        <v>32</v>
      </c>
      <c r="W137" t="s">
        <v>33</v>
      </c>
      <c r="X137" t="str">
        <f>_xlfn.TEXTJOIN("|", TRUE, A137:W137)</f>
        <v>ORD-2025-10136|45893|45893|0|OK|CUST-1148|Diya Patel|Small Business|South|Kerala|Kochi|Furniture|Bookcases|Prime Bookcases 954|Standard Class|1|3424.78|0|3424.78|1951.45|1473.33|Paid|Completed</v>
      </c>
      <c r="Y137">
        <f>COUNTIF($X$2:$X$1000, X137)</f>
        <v>1</v>
      </c>
      <c r="Z137">
        <f>COUNTIF($A$2:$A$1000, A137)</f>
        <v>1</v>
      </c>
      <c r="AA137" t="str">
        <f>IF(Y137&gt;1, "Exact Duplicate",
  IF(Z137&gt;1, "Conflicting Duplicate - Review",
    "Unique"))</f>
        <v>Unique</v>
      </c>
      <c r="AB137" s="2">
        <f>IF(ISBLANK(R137), 0, IF(ISTEXT(R137), VALUE(SUBSTITUTE(R137, "%", ""))/100, IF(OR(R137&lt;0, R137&gt;1), "Invalid", R137)))</f>
        <v>0</v>
      </c>
      <c r="AC137" s="4">
        <f>IF(AB137="Invalid", "Error", P137 * Q137 * (1 - AB137))</f>
        <v>3424.78</v>
      </c>
      <c r="AD137" s="4">
        <f>IF(AC137="Error", "Error", AC137 - T137)</f>
        <v>1473.3300000000002</v>
      </c>
      <c r="AE137" s="2">
        <f>IF(AC137="Error", "Error", IF(AC137=0, 0, AD137 / AC137))</f>
        <v>0.43019697615613267</v>
      </c>
      <c r="AF137" s="7">
        <f>C137-B137</f>
        <v>0</v>
      </c>
      <c r="AG137" s="2" t="str">
        <f>TEXT(B137, "mmmm")</f>
        <v>August</v>
      </c>
      <c r="AH137" s="4">
        <f>YEAR(B137)</f>
        <v>2025</v>
      </c>
      <c r="AI137" s="2" t="str">
        <f t="shared" si="16"/>
        <v>Clean</v>
      </c>
      <c r="AJ137">
        <f>COUNTIFS($A$2:$A$1000,A137,$B$2:$B$1000,B137,$C$2:$C$1000,C137,$D$2:$D$1000,D137,$E$2:$E$1000,E137,$F$2:$F$1000,F137)</f>
        <v>1</v>
      </c>
      <c r="AK137">
        <f>COUNTIF($A$2:$A$1000, A137)</f>
        <v>1</v>
      </c>
    </row>
    <row r="138" spans="1:37">
      <c r="A138" t="s">
        <v>518</v>
      </c>
      <c r="B138" s="5">
        <v>45697</v>
      </c>
      <c r="C138" s="5">
        <v>45703</v>
      </c>
      <c r="D138" s="6">
        <f>IF(AND(C138&lt;&gt;"",B138&lt;&gt;""), C138-B138, "Missing Date")</f>
        <v>6</v>
      </c>
      <c r="E138" s="6" t="str">
        <f>IF(OR(B138="",C138=""), "Missing Date",
    IF(C138&lt;B138, "Invalid: Ship before Order",
      "OK"))</f>
        <v>OK</v>
      </c>
      <c r="F138" t="s">
        <v>519</v>
      </c>
      <c r="G138" t="s">
        <v>36</v>
      </c>
      <c r="H138" t="s">
        <v>95</v>
      </c>
      <c r="I138" t="s">
        <v>38</v>
      </c>
      <c r="J138" t="s">
        <v>228</v>
      </c>
      <c r="K138" t="s">
        <v>229</v>
      </c>
      <c r="L138" t="s">
        <v>28</v>
      </c>
      <c r="M138" t="s">
        <v>153</v>
      </c>
      <c r="N138" t="s">
        <v>520</v>
      </c>
      <c r="O138" t="s">
        <v>59</v>
      </c>
      <c r="P138">
        <v>9</v>
      </c>
      <c r="Q138">
        <v>4330.33</v>
      </c>
      <c r="R138">
        <v>0.2</v>
      </c>
      <c r="S138">
        <v>31178.38</v>
      </c>
      <c r="T138">
        <v>21421.09</v>
      </c>
      <c r="U138">
        <v>9757.2900000000009</v>
      </c>
      <c r="V138" t="s">
        <v>32</v>
      </c>
      <c r="W138" t="s">
        <v>33</v>
      </c>
      <c r="X138" t="str">
        <f>_xlfn.TEXTJOIN("|", TRUE, A138:W138)</f>
        <v>ORD-2025-10137|45697|45703|6|OK|CUST-3350|Mira Das|Home Office|East|Jharkhand|Ranchi|Office Supplies|Binders|Max Binders 362|Standard Class|9|4330.33|0.2|31178.38|21421.09|9757.29|Paid|Completed</v>
      </c>
      <c r="Y138">
        <f>COUNTIF($X$2:$X$1000, X138)</f>
        <v>1</v>
      </c>
      <c r="Z138">
        <f>COUNTIF($A$2:$A$1000, A138)</f>
        <v>1</v>
      </c>
      <c r="AA138" t="str">
        <f>IF(Y138&gt;1, "Exact Duplicate",
  IF(Z138&gt;1, "Conflicting Duplicate - Review",
    "Unique"))</f>
        <v>Unique</v>
      </c>
      <c r="AB138" s="2">
        <f>IF(ISBLANK(R138), 0, IF(ISTEXT(R138), VALUE(SUBSTITUTE(R138, "%", ""))/100, IF(OR(R138&lt;0, R138&gt;1), "Invalid", R138)))</f>
        <v>0.2</v>
      </c>
      <c r="AC138" s="4">
        <f>IF(AB138="Invalid", "Error", P138 * Q138 * (1 - AB138))</f>
        <v>31178.376000000004</v>
      </c>
      <c r="AD138" s="4">
        <f>IF(AC138="Error", "Error", AC138 - T138)</f>
        <v>9757.2860000000037</v>
      </c>
      <c r="AE138" s="2">
        <f>IF(AC138="Error", "Error", IF(AC138=0, 0, AD138 / AC138))</f>
        <v>0.31295042435821552</v>
      </c>
      <c r="AF138" s="7">
        <f>C138-B138</f>
        <v>6</v>
      </c>
      <c r="AG138" s="2" t="str">
        <f>TEXT(B138, "mmmm")</f>
        <v>February</v>
      </c>
      <c r="AH138" s="4">
        <f>YEAR(B138)</f>
        <v>2025</v>
      </c>
      <c r="AI138" s="2" t="str">
        <f t="shared" si="16"/>
        <v>Clean</v>
      </c>
      <c r="AJ138">
        <f>COUNTIFS($A$2:$A$1000,A138,$B$2:$B$1000,B138,$C$2:$C$1000,C138,$D$2:$D$1000,D138,$E$2:$E$1000,E138,$F$2:$F$1000,F138)</f>
        <v>1</v>
      </c>
      <c r="AK138">
        <f>COUNTIF($A$2:$A$1000, A138)</f>
        <v>1</v>
      </c>
    </row>
    <row r="139" spans="1:37">
      <c r="A139" t="s">
        <v>521</v>
      </c>
      <c r="B139" s="5">
        <v>45901</v>
      </c>
      <c r="C139" s="5">
        <v>45666</v>
      </c>
      <c r="D139" s="6">
        <f>IF(AND(C139&lt;&gt;"",B139&lt;&gt;""), C139-B139, "Missing Date")</f>
        <v>-235</v>
      </c>
      <c r="E139" s="6" t="str">
        <f>IF(OR(B139="",C139=""), "Missing Date",
    IF(C139&lt;B139, "Invalid: Ship before Order",
      "OK"))</f>
        <v>Invalid: Ship before Order</v>
      </c>
      <c r="F139" t="s">
        <v>522</v>
      </c>
      <c r="G139" t="s">
        <v>132</v>
      </c>
      <c r="H139" t="s">
        <v>37</v>
      </c>
      <c r="I139" t="s">
        <v>25</v>
      </c>
      <c r="J139" t="s">
        <v>26</v>
      </c>
      <c r="K139" t="s">
        <v>27</v>
      </c>
      <c r="L139" t="s">
        <v>41</v>
      </c>
      <c r="M139" t="s">
        <v>66</v>
      </c>
      <c r="N139" t="s">
        <v>523</v>
      </c>
      <c r="O139" t="s">
        <v>44</v>
      </c>
      <c r="P139">
        <v>8</v>
      </c>
      <c r="Q139">
        <v>2667.07</v>
      </c>
      <c r="R139">
        <v>0.1</v>
      </c>
      <c r="S139">
        <v>19202.900000000001</v>
      </c>
      <c r="T139">
        <v>15526.62</v>
      </c>
      <c r="U139">
        <v>3676.28</v>
      </c>
      <c r="V139" t="s">
        <v>32</v>
      </c>
      <c r="W139" t="s">
        <v>33</v>
      </c>
      <c r="X139" t="str">
        <f>_xlfn.TEXTJOIN("|", TRUE, A139:W139)</f>
        <v>ORD-2025-10138|45901|45666|-235|Invalid: Ship before Order|CUST-7932|Sneha Kapoor|Small Business|North|Rajasthan|Jaipur|Furniture|Chairs|Prime Chairs 261|Same Day|8|2667.07|0.1|19202.9|15526.62|3676.28|Paid|Completed</v>
      </c>
      <c r="Y139">
        <f>COUNTIF($X$2:$X$1000, X139)</f>
        <v>1</v>
      </c>
      <c r="Z139">
        <f>COUNTIF($A$2:$A$1000, A139)</f>
        <v>1</v>
      </c>
      <c r="AA139" t="str">
        <f>IF(Y139&gt;1, "Exact Duplicate",
  IF(Z139&gt;1, "Conflicting Duplicate - Review",
    "Unique"))</f>
        <v>Unique</v>
      </c>
      <c r="AB139" s="2">
        <f>IF(ISBLANK(R139), 0, IF(ISTEXT(R139), VALUE(SUBSTITUTE(R139, "%", ""))/100, IF(OR(R139&lt;0, R139&gt;1), "Invalid", R139)))</f>
        <v>0.1</v>
      </c>
      <c r="AC139" s="4">
        <f>IF(AB139="Invalid", "Error", P139 * Q139 * (1 - AB139))</f>
        <v>19202.904000000002</v>
      </c>
      <c r="AD139" s="4">
        <f>IF(AC139="Error", "Error", AC139 - T139)</f>
        <v>3676.2840000000015</v>
      </c>
      <c r="AE139" s="2">
        <f>IF(AC139="Error", "Error", IF(AC139=0, 0, AD139 / AC139))</f>
        <v>0.19144416906942829</v>
      </c>
      <c r="AF139" s="7">
        <f>C139-B139</f>
        <v>-235</v>
      </c>
      <c r="AG139" s="2" t="str">
        <f>TEXT(B139, "mmmm")</f>
        <v>September</v>
      </c>
      <c r="AH139" s="4">
        <f>YEAR(B139)</f>
        <v>2025</v>
      </c>
      <c r="AI139" s="2" t="str">
        <f t="shared" si="16"/>
        <v>Invalid Shipping Record</v>
      </c>
      <c r="AJ139">
        <f>COUNTIFS($A$2:$A$1000,A139,$B$2:$B$1000,B139,$C$2:$C$1000,C139,$D$2:$D$1000,D139,$E$2:$E$1000,E139,$F$2:$F$1000,F139)</f>
        <v>1</v>
      </c>
      <c r="AK139">
        <f>COUNTIF($A$2:$A$1000, A139)</f>
        <v>1</v>
      </c>
    </row>
    <row r="140" spans="1:37">
      <c r="A140" t="s">
        <v>524</v>
      </c>
      <c r="B140" s="5">
        <v>45311</v>
      </c>
      <c r="C140" s="5">
        <v>45317</v>
      </c>
      <c r="D140" s="6">
        <f>IF(AND(C140&lt;&gt;"",B140&lt;&gt;""), C140-B140, "Missing Date")</f>
        <v>6</v>
      </c>
      <c r="E140" s="6" t="str">
        <f>IF(OR(B140="",C140=""), "Missing Date",
    IF(C140&lt;B140, "Invalid: Ship before Order",
      "OK"))</f>
        <v>OK</v>
      </c>
      <c r="F140" t="s">
        <v>525</v>
      </c>
      <c r="G140" t="s">
        <v>162</v>
      </c>
      <c r="H140" t="s">
        <v>95</v>
      </c>
      <c r="I140" t="s">
        <v>38</v>
      </c>
      <c r="J140" t="s">
        <v>228</v>
      </c>
      <c r="K140" t="s">
        <v>229</v>
      </c>
      <c r="L140" t="s">
        <v>74</v>
      </c>
      <c r="M140" t="s">
        <v>274</v>
      </c>
      <c r="N140" t="s">
        <v>526</v>
      </c>
      <c r="O140" t="s">
        <v>59</v>
      </c>
      <c r="P140">
        <v>8</v>
      </c>
      <c r="Q140">
        <v>4003.05</v>
      </c>
      <c r="R140">
        <v>0.25</v>
      </c>
      <c r="S140">
        <v>24018.3</v>
      </c>
      <c r="T140">
        <v>14070.78</v>
      </c>
      <c r="U140">
        <v>9947.52</v>
      </c>
      <c r="V140" t="s">
        <v>32</v>
      </c>
      <c r="W140" t="s">
        <v>33</v>
      </c>
      <c r="X140" t="str">
        <f>_xlfn.TEXTJOIN("|", TRUE, A140:W140)</f>
        <v>ORD-2024-10139|45311|45317|6|OK|CUST-7173|Diya Patel|Home Office|East|Jharkhand|Ranchi|Technology|Machines|Basic Machines 185|Standard Class|8|4003.05|0.25|24018.3|14070.78|9947.52|Paid|Completed</v>
      </c>
      <c r="Y140">
        <f>COUNTIF($X$2:$X$1000, X140)</f>
        <v>1</v>
      </c>
      <c r="Z140">
        <f>COUNTIF($A$2:$A$1000, A140)</f>
        <v>1</v>
      </c>
      <c r="AA140" t="str">
        <f>IF(Y140&gt;1, "Exact Duplicate",
  IF(Z140&gt;1, "Conflicting Duplicate - Review",
    "Unique"))</f>
        <v>Unique</v>
      </c>
      <c r="AB140" s="2">
        <f>IF(ISBLANK(R140), 0, IF(ISTEXT(R140), VALUE(SUBSTITUTE(R140, "%", ""))/100, IF(OR(R140&lt;0, R140&gt;1), "Invalid", R140)))</f>
        <v>0.25</v>
      </c>
      <c r="AC140" s="4">
        <f>IF(AB140="Invalid", "Error", P140 * Q140 * (1 - AB140))</f>
        <v>24018.300000000003</v>
      </c>
      <c r="AD140" s="4">
        <f>IF(AC140="Error", "Error", AC140 - T140)</f>
        <v>9947.5200000000023</v>
      </c>
      <c r="AE140" s="2">
        <f>IF(AC140="Error", "Error", IF(AC140=0, 0, AD140 / AC140))</f>
        <v>0.41416419979765434</v>
      </c>
      <c r="AF140" s="7">
        <f>C140-B140</f>
        <v>6</v>
      </c>
      <c r="AG140" s="2" t="str">
        <f>TEXT(B140, "mmmm")</f>
        <v>January</v>
      </c>
      <c r="AH140" s="4">
        <f>YEAR(B140)</f>
        <v>2024</v>
      </c>
      <c r="AI140" s="2" t="str">
        <f t="shared" si="16"/>
        <v>Clean</v>
      </c>
      <c r="AJ140">
        <f>COUNTIFS($A$2:$A$1000,A140,$B$2:$B$1000,B140,$C$2:$C$1000,C140,$D$2:$D$1000,D140,$E$2:$E$1000,E140,$F$2:$F$1000,F140)</f>
        <v>1</v>
      </c>
      <c r="AK140">
        <f>COUNTIF($A$2:$A$1000, A140)</f>
        <v>1</v>
      </c>
    </row>
    <row r="141" spans="1:37">
      <c r="A141" t="s">
        <v>527</v>
      </c>
      <c r="B141" s="5">
        <v>45691</v>
      </c>
      <c r="C141" s="5">
        <v>45723</v>
      </c>
      <c r="D141" s="6">
        <f>IF(AND(C141&lt;&gt;"",B141&lt;&gt;""), C141-B141, "Missing Date")</f>
        <v>32</v>
      </c>
      <c r="E141" s="6" t="str">
        <f>IF(OR(B141="",C141=""), "Missing Date",
    IF(C141&lt;B141, "Invalid: Ship before Order",
      "OK"))</f>
        <v>OK</v>
      </c>
      <c r="F141" t="s">
        <v>528</v>
      </c>
      <c r="G141" t="s">
        <v>79</v>
      </c>
      <c r="H141" t="s">
        <v>95</v>
      </c>
      <c r="I141" t="s">
        <v>54</v>
      </c>
      <c r="J141" t="s">
        <v>175</v>
      </c>
      <c r="K141" t="s">
        <v>176</v>
      </c>
      <c r="L141" t="s">
        <v>28</v>
      </c>
      <c r="M141" t="s">
        <v>91</v>
      </c>
      <c r="N141" t="s">
        <v>529</v>
      </c>
      <c r="O141" t="s">
        <v>59</v>
      </c>
      <c r="P141">
        <v>8</v>
      </c>
      <c r="Q141">
        <v>1287.6300000000001</v>
      </c>
      <c r="R141">
        <v>0</v>
      </c>
      <c r="S141">
        <v>10301.040000000001</v>
      </c>
      <c r="T141">
        <v>6564.06</v>
      </c>
      <c r="U141">
        <v>3736.98</v>
      </c>
      <c r="V141" t="s">
        <v>32</v>
      </c>
      <c r="W141" t="s">
        <v>33</v>
      </c>
      <c r="X141" t="str">
        <f>_xlfn.TEXTJOIN("|", TRUE, A141:W141)</f>
        <v>ORD-2025-10140|45691|45723|32|OK|CUST-4225|Neha Gupta|Home Office|South|Karnataka|Bengaluru|Office Supplies|Labels|Basic Labels 509|Standard Class|8|1287.63|0|10301.04|6564.06|3736.98|Paid|Completed</v>
      </c>
      <c r="Y141">
        <f>COUNTIF($X$2:$X$1000, X141)</f>
        <v>1</v>
      </c>
      <c r="Z141">
        <f>COUNTIF($A$2:$A$1000, A141)</f>
        <v>1</v>
      </c>
      <c r="AA141" t="str">
        <f>IF(Y141&gt;1, "Exact Duplicate",
  IF(Z141&gt;1, "Conflicting Duplicate - Review",
    "Unique"))</f>
        <v>Unique</v>
      </c>
      <c r="AB141" s="2">
        <f>IF(ISBLANK(R141), 0, IF(ISTEXT(R141), VALUE(SUBSTITUTE(R141, "%", ""))/100, IF(OR(R141&lt;0, R141&gt;1), "Invalid", R141)))</f>
        <v>0</v>
      </c>
      <c r="AC141" s="4">
        <f>IF(AB141="Invalid", "Error", P141 * Q141 * (1 - AB141))</f>
        <v>10301.040000000001</v>
      </c>
      <c r="AD141" s="4">
        <f>IF(AC141="Error", "Error", AC141 - T141)</f>
        <v>3736.9800000000005</v>
      </c>
      <c r="AE141" s="2">
        <f>IF(AC141="Error", "Error", IF(AC141=0, 0, AD141 / AC141))</f>
        <v>0.3627769623261341</v>
      </c>
      <c r="AF141" s="7">
        <f>C141-B141</f>
        <v>32</v>
      </c>
      <c r="AG141" s="2" t="str">
        <f>TEXT(B141, "mmmm")</f>
        <v>February</v>
      </c>
      <c r="AH141" s="4">
        <f>YEAR(B141)</f>
        <v>2025</v>
      </c>
      <c r="AI141" s="2" t="str">
        <f t="shared" si="16"/>
        <v>Clean</v>
      </c>
      <c r="AJ141">
        <f>COUNTIFS($A$2:$A$1000,A141,$B$2:$B$1000,B141,$C$2:$C$1000,C141,$D$2:$D$1000,D141,$E$2:$E$1000,E141,$F$2:$F$1000,F141)</f>
        <v>1</v>
      </c>
      <c r="AK141">
        <f>COUNTIF($A$2:$A$1000, A141)</f>
        <v>1</v>
      </c>
    </row>
    <row r="142" spans="1:37">
      <c r="A142" t="s">
        <v>530</v>
      </c>
      <c r="B142" s="5">
        <v>45443</v>
      </c>
      <c r="C142" s="5">
        <v>45444</v>
      </c>
      <c r="D142" s="6">
        <f>IF(AND(C142&lt;&gt;"",B142&lt;&gt;""), C142-B142, "Missing Date")</f>
        <v>1</v>
      </c>
      <c r="E142" s="6" t="str">
        <f>IF(OR(B142="",C142=""), "Missing Date",
    IF(C142&lt;B142, "Invalid: Ship before Order",
      "OK"))</f>
        <v>OK</v>
      </c>
      <c r="F142" t="s">
        <v>531</v>
      </c>
      <c r="G142" t="s">
        <v>36</v>
      </c>
      <c r="H142" t="s">
        <v>90</v>
      </c>
      <c r="I142" t="s">
        <v>54</v>
      </c>
      <c r="J142" t="s">
        <v>175</v>
      </c>
      <c r="K142" t="s">
        <v>176</v>
      </c>
      <c r="L142" t="s">
        <v>41</v>
      </c>
      <c r="M142" t="s">
        <v>158</v>
      </c>
      <c r="N142" t="s">
        <v>532</v>
      </c>
      <c r="O142" t="s">
        <v>44</v>
      </c>
      <c r="P142">
        <v>3</v>
      </c>
      <c r="Q142">
        <v>2914.55</v>
      </c>
      <c r="R142">
        <v>0</v>
      </c>
      <c r="S142">
        <v>8743.65</v>
      </c>
      <c r="T142">
        <v>6603.76</v>
      </c>
      <c r="U142">
        <v>2139.89</v>
      </c>
      <c r="V142" t="s">
        <v>32</v>
      </c>
      <c r="W142" t="s">
        <v>33</v>
      </c>
      <c r="X142" t="str">
        <f>_xlfn.TEXTJOIN("|", TRUE, A142:W142)</f>
        <v>ORD-2024-10141|45443|45444|1|OK|CUST-2149|Mira Das|Corporate|South|Karnataka|Bengaluru|Furniture|Bookcases|Elite Bookcases 696|Same Day|3|2914.55|0|8743.65|6603.76|2139.89|Paid|Completed</v>
      </c>
      <c r="Y142">
        <f>COUNTIF($X$2:$X$1000, X142)</f>
        <v>1</v>
      </c>
      <c r="Z142">
        <f>COUNTIF($A$2:$A$1000, A142)</f>
        <v>1</v>
      </c>
      <c r="AA142" t="str">
        <f>IF(Y142&gt;1, "Exact Duplicate",
  IF(Z142&gt;1, "Conflicting Duplicate - Review",
    "Unique"))</f>
        <v>Unique</v>
      </c>
      <c r="AB142" s="2">
        <f>IF(ISBLANK(R142), 0, IF(ISTEXT(R142), VALUE(SUBSTITUTE(R142, "%", ""))/100, IF(OR(R142&lt;0, R142&gt;1), "Invalid", R142)))</f>
        <v>0</v>
      </c>
      <c r="AC142" s="4">
        <f>IF(AB142="Invalid", "Error", P142 * Q142 * (1 - AB142))</f>
        <v>8743.6500000000015</v>
      </c>
      <c r="AD142" s="4">
        <f>IF(AC142="Error", "Error", AC142 - T142)</f>
        <v>2139.8900000000012</v>
      </c>
      <c r="AE142" s="2">
        <f>IF(AC142="Error", "Error", IF(AC142=0, 0, AD142 / AC142))</f>
        <v>0.24473646589239059</v>
      </c>
      <c r="AF142" s="7">
        <f>C142-B142</f>
        <v>1</v>
      </c>
      <c r="AG142" s="2" t="str">
        <f>TEXT(B142, "mmmm")</f>
        <v>May</v>
      </c>
      <c r="AH142" s="4">
        <f>YEAR(B142)</f>
        <v>2024</v>
      </c>
      <c r="AI142" s="2" t="str">
        <f t="shared" si="16"/>
        <v>Clean</v>
      </c>
      <c r="AJ142">
        <f>COUNTIFS($A$2:$A$1000,A142,$B$2:$B$1000,B142,$C$2:$C$1000,C142,$D$2:$D$1000,D142,$E$2:$E$1000,E142,$F$2:$F$1000,F142)</f>
        <v>1</v>
      </c>
      <c r="AK142">
        <f>COUNTIF($A$2:$A$1000, A142)</f>
        <v>1</v>
      </c>
    </row>
    <row r="143" spans="1:37">
      <c r="A143" t="s">
        <v>533</v>
      </c>
      <c r="B143" s="5">
        <v>45374</v>
      </c>
      <c r="C143" s="5">
        <v>45380</v>
      </c>
      <c r="D143" s="6">
        <f>IF(AND(C143&lt;&gt;"",B143&lt;&gt;""), C143-B143, "Missing Date")</f>
        <v>6</v>
      </c>
      <c r="E143" s="6" t="str">
        <f>IF(OR(B143="",C143=""), "Missing Date",
    IF(C143&lt;B143, "Invalid: Ship before Order",
      "OK"))</f>
        <v>OK</v>
      </c>
      <c r="F143" t="s">
        <v>534</v>
      </c>
      <c r="G143" t="s">
        <v>114</v>
      </c>
      <c r="H143" t="s">
        <v>90</v>
      </c>
      <c r="I143" t="s">
        <v>25</v>
      </c>
      <c r="J143" t="s">
        <v>350</v>
      </c>
      <c r="K143" t="s">
        <v>351</v>
      </c>
      <c r="L143" t="s">
        <v>41</v>
      </c>
      <c r="M143" t="s">
        <v>158</v>
      </c>
      <c r="N143" t="s">
        <v>535</v>
      </c>
      <c r="O143" t="s">
        <v>44</v>
      </c>
      <c r="P143">
        <v>7</v>
      </c>
      <c r="Q143">
        <v>634.29</v>
      </c>
      <c r="R143">
        <v>0.1</v>
      </c>
      <c r="S143">
        <v>3996.03</v>
      </c>
      <c r="T143">
        <v>2859.51</v>
      </c>
      <c r="U143">
        <v>1136.52</v>
      </c>
      <c r="V143" t="s">
        <v>32</v>
      </c>
      <c r="W143" t="s">
        <v>103</v>
      </c>
      <c r="X143" t="str">
        <f>_xlfn.TEXTJOIN("|", TRUE, A143:W143)</f>
        <v>ORD-2024-10142|45374|45380|6|OK|CUST-3314|Priya Menon|Corporate|North|Delhi|New Delhi|Furniture|Bookcases|Elite Bookcases 772|Same Day|7|634.29|0.1|3996.03|2859.51|1136.52|Paid|Returned</v>
      </c>
      <c r="Y143">
        <f>COUNTIF($X$2:$X$1000, X143)</f>
        <v>1</v>
      </c>
      <c r="Z143">
        <f>COUNTIF($A$2:$A$1000, A143)</f>
        <v>1</v>
      </c>
      <c r="AA143" t="str">
        <f>IF(Y143&gt;1, "Exact Duplicate",
  IF(Z143&gt;1, "Conflicting Duplicate - Review",
    "Unique"))</f>
        <v>Unique</v>
      </c>
      <c r="AB143" s="2">
        <f>IF(ISBLANK(R143), 0, IF(ISTEXT(R143), VALUE(SUBSTITUTE(R143, "%", ""))/100, IF(OR(R143&lt;0, R143&gt;1), "Invalid", R143)))</f>
        <v>0.1</v>
      </c>
      <c r="AC143" s="4">
        <f>IF(AB143="Invalid", "Error", P143 * Q143 * (1 - AB143))</f>
        <v>3996.027</v>
      </c>
      <c r="AD143" s="4">
        <f>IF(AC143="Error", "Error", AC143 - T143)</f>
        <v>1136.5169999999998</v>
      </c>
      <c r="AE143" s="2">
        <f>IF(AC143="Error", "Error", IF(AC143=0, 0, AD143 / AC143))</f>
        <v>0.28441174196270441</v>
      </c>
      <c r="AF143" s="7">
        <f>C143-B143</f>
        <v>6</v>
      </c>
      <c r="AG143" s="2" t="str">
        <f>TEXT(B143, "mmmm")</f>
        <v>March</v>
      </c>
      <c r="AH143" s="4">
        <f>YEAR(B143)</f>
        <v>2024</v>
      </c>
      <c r="AI143" s="2" t="str">
        <f t="shared" si="16"/>
        <v>Clean</v>
      </c>
      <c r="AJ143">
        <f>COUNTIFS($A$2:$A$1000,A143,$B$2:$B$1000,B143,$C$2:$C$1000,C143,$D$2:$D$1000,D143,$E$2:$E$1000,E143,$F$2:$F$1000,F143)</f>
        <v>1</v>
      </c>
      <c r="AK143">
        <f>COUNTIF($A$2:$A$1000, A143)</f>
        <v>1</v>
      </c>
    </row>
    <row r="144" spans="1:37">
      <c r="A144" t="s">
        <v>536</v>
      </c>
      <c r="B144" s="5">
        <v>45381</v>
      </c>
      <c r="C144" s="5">
        <v>45377</v>
      </c>
      <c r="D144" s="6">
        <f>IF(AND(C144&lt;&gt;"",B144&lt;&gt;""), C144-B144, "Missing Date")</f>
        <v>-4</v>
      </c>
      <c r="E144" s="6" t="str">
        <f>IF(OR(B144="",C144=""), "Missing Date",
    IF(C144&lt;B144, "Invalid: Ship before Order",
      "OK"))</f>
        <v>Invalid: Ship before Order</v>
      </c>
      <c r="F144" t="s">
        <v>537</v>
      </c>
      <c r="G144" t="s">
        <v>89</v>
      </c>
      <c r="H144" t="s">
        <v>95</v>
      </c>
      <c r="I144" t="s">
        <v>25</v>
      </c>
      <c r="J144" t="s">
        <v>26</v>
      </c>
      <c r="K144" t="s">
        <v>27</v>
      </c>
      <c r="L144" t="s">
        <v>74</v>
      </c>
      <c r="M144" t="s">
        <v>171</v>
      </c>
      <c r="N144" t="s">
        <v>538</v>
      </c>
      <c r="O144" t="s">
        <v>31</v>
      </c>
      <c r="P144">
        <v>5</v>
      </c>
      <c r="Q144">
        <v>907.54</v>
      </c>
      <c r="R144">
        <v>0.15</v>
      </c>
      <c r="S144">
        <v>3857.04</v>
      </c>
      <c r="T144">
        <v>2769.26</v>
      </c>
      <c r="U144">
        <v>1087.78</v>
      </c>
      <c r="V144" t="s">
        <v>32</v>
      </c>
      <c r="W144" t="s">
        <v>33</v>
      </c>
      <c r="X144" t="str">
        <f>_xlfn.TEXTJOIN("|", TRUE, A144:W144)</f>
        <v>ORD-2024-10143|45381|45377|-4|Invalid: Ship before Order|CUST-8944|Aditi Sen|Home Office|North|Rajasthan|Jaipur|Technology|Phones|Classic Phones 142|Second Class|5|907.54|0.15|3857.04|2769.26|1087.78|Paid|Completed</v>
      </c>
      <c r="Y144">
        <f>COUNTIF($X$2:$X$1000, X144)</f>
        <v>1</v>
      </c>
      <c r="Z144">
        <f>COUNTIF($A$2:$A$1000, A144)</f>
        <v>2</v>
      </c>
      <c r="AA144" t="str">
        <f>IF(Y144&gt;1, "Exact Duplicate",
  IF(Z144&gt;1, "Conflicting Duplicate - Review",
    "Unique"))</f>
        <v>Conflicting Duplicate - Review</v>
      </c>
      <c r="AB144" s="2">
        <f>IF(ISBLANK(R144), 0, IF(ISTEXT(R144), VALUE(SUBSTITUTE(R144, "%", ""))/100, IF(OR(R144&lt;0, R144&gt;1), "Invalid", R144)))</f>
        <v>0.15</v>
      </c>
      <c r="AC144" s="4">
        <f>IF(AB144="Invalid", "Error", P144 * Q144 * (1 - AB144))</f>
        <v>3857.0449999999996</v>
      </c>
      <c r="AD144" s="4">
        <f>IF(AC144="Error", "Error", AC144 - T144)</f>
        <v>1087.7849999999994</v>
      </c>
      <c r="AE144" s="2">
        <f>IF(AC144="Error", "Error", IF(AC144=0, 0, AD144 / AC144))</f>
        <v>0.28202548842442843</v>
      </c>
      <c r="AF144" s="7">
        <f>C144-B144</f>
        <v>-4</v>
      </c>
      <c r="AG144" s="2" t="str">
        <f>TEXT(B144, "mmmm")</f>
        <v>March</v>
      </c>
      <c r="AH144" s="4">
        <f>YEAR(B144)</f>
        <v>2024</v>
      </c>
      <c r="AI144" s="2" t="str">
        <f t="shared" si="16"/>
        <v>Invalid Shipping Record</v>
      </c>
      <c r="AJ144">
        <f>COUNTIFS($A$2:$A$1000,A144,$B$2:$B$1000,B144,$C$2:$C$1000,C144,$D$2:$D$1000,D144,$E$2:$E$1000,E144,$F$2:$F$1000,F144)</f>
        <v>2</v>
      </c>
      <c r="AK144">
        <f>COUNTIF($A$2:$A$1000, A144)</f>
        <v>2</v>
      </c>
    </row>
    <row r="145" spans="1:37">
      <c r="A145" t="s">
        <v>539</v>
      </c>
      <c r="B145" s="5">
        <v>45375</v>
      </c>
      <c r="C145" s="5">
        <v>45377</v>
      </c>
      <c r="D145" s="6">
        <f>IF(AND(C145&lt;&gt;"",B145&lt;&gt;""), C145-B145, "Missing Date")</f>
        <v>2</v>
      </c>
      <c r="E145" s="6" t="str">
        <f>IF(OR(B145="",C145=""), "Missing Date",
    IF(C145&lt;B145, "Invalid: Ship before Order",
      "OK"))</f>
        <v>OK</v>
      </c>
      <c r="F145" t="s">
        <v>540</v>
      </c>
      <c r="G145" t="s">
        <v>114</v>
      </c>
      <c r="H145" t="s">
        <v>24</v>
      </c>
      <c r="I145" t="s">
        <v>63</v>
      </c>
      <c r="J145" t="s">
        <v>180</v>
      </c>
      <c r="K145" t="s">
        <v>181</v>
      </c>
      <c r="L145" t="s">
        <v>28</v>
      </c>
      <c r="M145" t="s">
        <v>29</v>
      </c>
      <c r="N145" t="s">
        <v>541</v>
      </c>
      <c r="O145" t="s">
        <v>31</v>
      </c>
      <c r="P145">
        <v>1</v>
      </c>
      <c r="Q145">
        <v>3409.5</v>
      </c>
      <c r="R145">
        <v>0.1</v>
      </c>
      <c r="S145">
        <v>3068.55</v>
      </c>
      <c r="T145">
        <v>1916.16</v>
      </c>
      <c r="U145">
        <v>1152.3900000000001</v>
      </c>
      <c r="V145" t="s">
        <v>32</v>
      </c>
      <c r="W145" t="s">
        <v>103</v>
      </c>
      <c r="X145" t="str">
        <f>_xlfn.TEXTJOIN("|", TRUE, A145:W145)</f>
        <v>ORD-2024-10144|45375|45377|2|OK|CUST-3144|Priya Menon|Consumer|West|Gujarat|Ahmedabad|Office Supplies|Paper|Pro Paper 575|Second Class|1|3409.5|0.1|3068.55|1916.16|1152.39|Paid|Returned</v>
      </c>
      <c r="Y145">
        <f>COUNTIF($X$2:$X$1000, X145)</f>
        <v>1</v>
      </c>
      <c r="Z145">
        <f>COUNTIF($A$2:$A$1000, A145)</f>
        <v>1</v>
      </c>
      <c r="AA145" t="str">
        <f>IF(Y145&gt;1, "Exact Duplicate",
  IF(Z145&gt;1, "Conflicting Duplicate - Review",
    "Unique"))</f>
        <v>Unique</v>
      </c>
      <c r="AB145" s="2">
        <f>IF(ISBLANK(R145), 0, IF(ISTEXT(R145), VALUE(SUBSTITUTE(R145, "%", ""))/100, IF(OR(R145&lt;0, R145&gt;1), "Invalid", R145)))</f>
        <v>0.1</v>
      </c>
      <c r="AC145" s="4">
        <f>IF(AB145="Invalid", "Error", P145 * Q145 * (1 - AB145))</f>
        <v>3068.55</v>
      </c>
      <c r="AD145" s="4">
        <f>IF(AC145="Error", "Error", AC145 - T145)</f>
        <v>1152.3900000000001</v>
      </c>
      <c r="AE145" s="2">
        <f>IF(AC145="Error", "Error", IF(AC145=0, 0, AD145 / AC145))</f>
        <v>0.3755487119323459</v>
      </c>
      <c r="AF145" s="7">
        <f>C145-B145</f>
        <v>2</v>
      </c>
      <c r="AG145" s="2" t="str">
        <f>TEXT(B145, "mmmm")</f>
        <v>March</v>
      </c>
      <c r="AH145" s="4">
        <f>YEAR(B145)</f>
        <v>2024</v>
      </c>
      <c r="AI145" s="2" t="str">
        <f t="shared" si="16"/>
        <v>Clean</v>
      </c>
      <c r="AJ145">
        <f>COUNTIFS($A$2:$A$1000,A145,$B$2:$B$1000,B145,$C$2:$C$1000,C145,$D$2:$D$1000,D145,$E$2:$E$1000,E145,$F$2:$F$1000,F145)</f>
        <v>1</v>
      </c>
      <c r="AK145">
        <f>COUNTIF($A$2:$A$1000, A145)</f>
        <v>1</v>
      </c>
    </row>
    <row r="146" spans="1:37">
      <c r="A146" t="s">
        <v>542</v>
      </c>
      <c r="B146" s="5">
        <v>45450</v>
      </c>
      <c r="C146" s="5">
        <v>45458</v>
      </c>
      <c r="D146" s="6">
        <f>IF(AND(C146&lt;&gt;"",B146&lt;&gt;""), C146-B146, "Missing Date")</f>
        <v>8</v>
      </c>
      <c r="E146" s="6" t="str">
        <f>IF(OR(B146="",C146=""), "Missing Date",
    IF(C146&lt;B146, "Invalid: Ship before Order",
      "OK"))</f>
        <v>OK</v>
      </c>
      <c r="F146" t="s">
        <v>543</v>
      </c>
      <c r="G146" t="s">
        <v>264</v>
      </c>
      <c r="H146" t="s">
        <v>37</v>
      </c>
      <c r="I146" t="s">
        <v>54</v>
      </c>
      <c r="J146" t="s">
        <v>55</v>
      </c>
      <c r="K146" t="s">
        <v>56</v>
      </c>
      <c r="L146" t="s">
        <v>74</v>
      </c>
      <c r="M146" t="s">
        <v>75</v>
      </c>
      <c r="N146" t="s">
        <v>544</v>
      </c>
      <c r="O146" t="s">
        <v>50</v>
      </c>
      <c r="P146">
        <v>7</v>
      </c>
      <c r="Q146">
        <v>2147.9899999999998</v>
      </c>
      <c r="R146">
        <v>0.25</v>
      </c>
      <c r="S146">
        <v>11276.95</v>
      </c>
      <c r="T146">
        <v>6908.76</v>
      </c>
      <c r="U146">
        <v>4368.1899999999996</v>
      </c>
      <c r="V146" t="s">
        <v>102</v>
      </c>
      <c r="W146" t="s">
        <v>103</v>
      </c>
      <c r="X146" t="str">
        <f>_xlfn.TEXTJOIN("|", TRUE, A146:W146)</f>
        <v>ORD-2024-10145|45450|45458|8|OK|CUST-6747|Kabir Singh|Small Business|South|Telangana|Hyderabad|Technology|Accessories|Elite Accessories 905|First Class|7|2147.99|0.25|11276.95|6908.76|4368.19|Refunded|Returned</v>
      </c>
      <c r="Y146">
        <f>COUNTIF($X$2:$X$1000, X146)</f>
        <v>1</v>
      </c>
      <c r="Z146">
        <f>COUNTIF($A$2:$A$1000, A146)</f>
        <v>1</v>
      </c>
      <c r="AA146" t="str">
        <f>IF(Y146&gt;1, "Exact Duplicate",
  IF(Z146&gt;1, "Conflicting Duplicate - Review",
    "Unique"))</f>
        <v>Unique</v>
      </c>
      <c r="AB146" s="2">
        <f>IF(ISBLANK(R146), 0, IF(ISTEXT(R146), VALUE(SUBSTITUTE(R146, "%", ""))/100, IF(OR(R146&lt;0, R146&gt;1), "Invalid", R146)))</f>
        <v>0.25</v>
      </c>
      <c r="AC146" s="4">
        <f>IF(AB146="Invalid", "Error", P146 * Q146 * (1 - AB146))</f>
        <v>11276.947499999998</v>
      </c>
      <c r="AD146" s="4">
        <f>IF(AC146="Error", "Error", AC146 - T146)</f>
        <v>4368.1874999999982</v>
      </c>
      <c r="AE146" s="2">
        <f>IF(AC146="Error", "Error", IF(AC146=0, 0, AD146 / AC146))</f>
        <v>0.38735548782150481</v>
      </c>
      <c r="AF146" s="7">
        <f>C146-B146</f>
        <v>8</v>
      </c>
      <c r="AG146" s="2" t="str">
        <f>TEXT(B146, "mmmm")</f>
        <v>June</v>
      </c>
      <c r="AH146" s="4">
        <f>YEAR(B146)</f>
        <v>2024</v>
      </c>
      <c r="AI146" s="2" t="str">
        <f t="shared" si="16"/>
        <v>Clean</v>
      </c>
      <c r="AJ146">
        <f>COUNTIFS($A$2:$A$1000,A146,$B$2:$B$1000,B146,$C$2:$C$1000,C146,$D$2:$D$1000,D146,$E$2:$E$1000,E146,$F$2:$F$1000,F146)</f>
        <v>1</v>
      </c>
      <c r="AK146">
        <f>COUNTIF($A$2:$A$1000, A146)</f>
        <v>1</v>
      </c>
    </row>
    <row r="147" spans="1:37">
      <c r="A147" t="s">
        <v>545</v>
      </c>
      <c r="B147" s="5">
        <v>45758</v>
      </c>
      <c r="C147" s="5">
        <v>45760</v>
      </c>
      <c r="D147" s="6">
        <f>IF(AND(C147&lt;&gt;"",B147&lt;&gt;""), C147-B147, "Missing Date")</f>
        <v>2</v>
      </c>
      <c r="E147" s="6" t="str">
        <f>IF(OR(B147="",C147=""), "Missing Date",
    IF(C147&lt;B147, "Invalid: Ship before Order",
      "OK"))</f>
        <v>OK</v>
      </c>
      <c r="F147" t="s">
        <v>546</v>
      </c>
      <c r="G147" t="s">
        <v>36</v>
      </c>
      <c r="H147" t="s">
        <v>37</v>
      </c>
      <c r="I147" t="s">
        <v>63</v>
      </c>
      <c r="J147" t="s">
        <v>190</v>
      </c>
      <c r="K147" t="s">
        <v>191</v>
      </c>
      <c r="L147" t="s">
        <v>28</v>
      </c>
      <c r="M147" t="s">
        <v>29</v>
      </c>
      <c r="N147" t="s">
        <v>547</v>
      </c>
      <c r="O147" t="s">
        <v>59</v>
      </c>
      <c r="P147">
        <v>4</v>
      </c>
      <c r="Q147">
        <v>4182.1499999999996</v>
      </c>
      <c r="R147">
        <v>0.1</v>
      </c>
      <c r="S147">
        <v>15055.74</v>
      </c>
      <c r="T147">
        <v>9808.83</v>
      </c>
      <c r="U147">
        <v>5246.91</v>
      </c>
      <c r="V147" t="s">
        <v>32</v>
      </c>
      <c r="W147" t="s">
        <v>33</v>
      </c>
      <c r="X147" t="str">
        <f>_xlfn.TEXTJOIN("|", TRUE, A147:W147)</f>
        <v>ORD-2025-10146|45758|45760|2|OK|CUST-6161|Mira Das|Small Business|West|Goa|Panaji|Office Supplies|Paper|Smart Paper 899|Standard Class|4|4182.15|0.1|15055.74|9808.83|5246.91|Paid|Completed</v>
      </c>
      <c r="Y147">
        <f>COUNTIF($X$2:$X$1000, X147)</f>
        <v>1</v>
      </c>
      <c r="Z147">
        <f>COUNTIF($A$2:$A$1000, A147)</f>
        <v>1</v>
      </c>
      <c r="AA147" t="str">
        <f>IF(Y147&gt;1, "Exact Duplicate",
  IF(Z147&gt;1, "Conflicting Duplicate - Review",
    "Unique"))</f>
        <v>Unique</v>
      </c>
      <c r="AB147" s="2">
        <f>IF(ISBLANK(R147), 0, IF(ISTEXT(R147), VALUE(SUBSTITUTE(R147, "%", ""))/100, IF(OR(R147&lt;0, R147&gt;1), "Invalid", R147)))</f>
        <v>0.1</v>
      </c>
      <c r="AC147" s="4">
        <f>IF(AB147="Invalid", "Error", P147 * Q147 * (1 - AB147))</f>
        <v>15055.74</v>
      </c>
      <c r="AD147" s="4">
        <f>IF(AC147="Error", "Error", AC147 - T147)</f>
        <v>5246.91</v>
      </c>
      <c r="AE147" s="2">
        <f>IF(AC147="Error", "Error", IF(AC147=0, 0, AD147 / AC147))</f>
        <v>0.34849897779850075</v>
      </c>
      <c r="AF147" s="7">
        <f>C147-B147</f>
        <v>2</v>
      </c>
      <c r="AG147" s="2" t="str">
        <f>TEXT(B147, "mmmm")</f>
        <v>April</v>
      </c>
      <c r="AH147" s="4">
        <f>YEAR(B147)</f>
        <v>2025</v>
      </c>
      <c r="AI147" s="2" t="str">
        <f t="shared" si="16"/>
        <v>Clean</v>
      </c>
      <c r="AJ147">
        <f>COUNTIFS($A$2:$A$1000,A147,$B$2:$B$1000,B147,$C$2:$C$1000,C147,$D$2:$D$1000,D147,$E$2:$E$1000,E147,$F$2:$F$1000,F147)</f>
        <v>1</v>
      </c>
      <c r="AK147">
        <f>COUNTIF($A$2:$A$1000, A147)</f>
        <v>1</v>
      </c>
    </row>
    <row r="148" spans="1:37">
      <c r="A148" t="s">
        <v>548</v>
      </c>
      <c r="B148" s="5">
        <v>45868</v>
      </c>
      <c r="C148" s="5">
        <v>45665</v>
      </c>
      <c r="D148" s="6">
        <f>IF(AND(C148&lt;&gt;"",B148&lt;&gt;""), C148-B148, "Missing Date")</f>
        <v>-203</v>
      </c>
      <c r="E148" s="6" t="str">
        <f>IF(OR(B148="",C148=""), "Missing Date",
    IF(C148&lt;B148, "Invalid: Ship before Order",
      "OK"))</f>
        <v>Invalid: Ship before Order</v>
      </c>
      <c r="F148" t="s">
        <v>549</v>
      </c>
      <c r="G148" t="s">
        <v>132</v>
      </c>
      <c r="H148" t="s">
        <v>37</v>
      </c>
      <c r="I148" t="s">
        <v>54</v>
      </c>
      <c r="J148" t="s">
        <v>247</v>
      </c>
      <c r="K148" t="s">
        <v>248</v>
      </c>
      <c r="L148" t="s">
        <v>28</v>
      </c>
      <c r="M148" t="s">
        <v>124</v>
      </c>
      <c r="N148" t="s">
        <v>550</v>
      </c>
      <c r="O148" t="s">
        <v>44</v>
      </c>
      <c r="P148">
        <v>9</v>
      </c>
      <c r="Q148">
        <v>3165.43</v>
      </c>
      <c r="R148">
        <v>0.1</v>
      </c>
      <c r="S148">
        <v>25639.98</v>
      </c>
      <c r="T148">
        <v>21635.08</v>
      </c>
      <c r="U148">
        <v>4004.9</v>
      </c>
      <c r="V148" t="s">
        <v>32</v>
      </c>
      <c r="W148" t="s">
        <v>33</v>
      </c>
      <c r="X148" t="str">
        <f>_xlfn.TEXTJOIN("|", TRUE, A148:W148)</f>
        <v>ORD-2025-10147|45868|45665|-203|Invalid: Ship before Order|CUST-1460|Sneha Kapoor|Small Business|South|Tamil Nadu|Chennai|Office Supplies|Storage|Classic Storage 423|Same Day|9|3165.43|0.1|25639.98|21635.08|4004.9|Paid|Completed</v>
      </c>
      <c r="Y148">
        <f>COUNTIF($X$2:$X$1000, X148)</f>
        <v>1</v>
      </c>
      <c r="Z148">
        <f>COUNTIF($A$2:$A$1000, A148)</f>
        <v>1</v>
      </c>
      <c r="AA148" t="str">
        <f>IF(Y148&gt;1, "Exact Duplicate",
  IF(Z148&gt;1, "Conflicting Duplicate - Review",
    "Unique"))</f>
        <v>Unique</v>
      </c>
      <c r="AB148" s="2">
        <f>IF(ISBLANK(R148), 0, IF(ISTEXT(R148), VALUE(SUBSTITUTE(R148, "%", ""))/100, IF(OR(R148&lt;0, R148&gt;1), "Invalid", R148)))</f>
        <v>0.1</v>
      </c>
      <c r="AC148" s="4">
        <f>IF(AB148="Invalid", "Error", P148 * Q148 * (1 - AB148))</f>
        <v>25639.983</v>
      </c>
      <c r="AD148" s="4">
        <f>IF(AC148="Error", "Error", AC148 - T148)</f>
        <v>4004.9029999999984</v>
      </c>
      <c r="AE148" s="2">
        <f>IF(AC148="Error", "Error", IF(AC148=0, 0, AD148 / AC148))</f>
        <v>0.1561975684617263</v>
      </c>
      <c r="AF148" s="7">
        <f>C148-B148</f>
        <v>-203</v>
      </c>
      <c r="AG148" s="2" t="str">
        <f>TEXT(B148, "mmmm")</f>
        <v>July</v>
      </c>
      <c r="AH148" s="4">
        <f>YEAR(B148)</f>
        <v>2025</v>
      </c>
      <c r="AI148" s="2" t="str">
        <f t="shared" si="16"/>
        <v>Invalid Shipping Record</v>
      </c>
      <c r="AJ148">
        <f>COUNTIFS($A$2:$A$1000,A148,$B$2:$B$1000,B148,$C$2:$C$1000,C148,$D$2:$D$1000,D148,$E$2:$E$1000,E148,$F$2:$F$1000,F148)</f>
        <v>1</v>
      </c>
      <c r="AK148">
        <f>COUNTIF($A$2:$A$1000, A148)</f>
        <v>1</v>
      </c>
    </row>
    <row r="149" spans="1:37">
      <c r="A149" t="s">
        <v>551</v>
      </c>
      <c r="B149" s="5">
        <v>45649</v>
      </c>
      <c r="C149" s="5">
        <v>45656</v>
      </c>
      <c r="D149" s="6">
        <f>IF(AND(C149&lt;&gt;"",B149&lt;&gt;""), C149-B149, "Missing Date")</f>
        <v>7</v>
      </c>
      <c r="E149" s="6" t="str">
        <f>IF(OR(B149="",C149=""), "Missing Date",
    IF(C149&lt;B149, "Invalid: Ship before Order",
      "OK"))</f>
        <v>OK</v>
      </c>
      <c r="F149" t="s">
        <v>552</v>
      </c>
      <c r="G149" t="s">
        <v>114</v>
      </c>
      <c r="H149" t="s">
        <v>95</v>
      </c>
      <c r="I149" t="s">
        <v>63</v>
      </c>
      <c r="J149" t="s">
        <v>190</v>
      </c>
      <c r="K149" t="s">
        <v>191</v>
      </c>
      <c r="L149" t="s">
        <v>41</v>
      </c>
      <c r="M149" t="s">
        <v>57</v>
      </c>
      <c r="N149" t="s">
        <v>553</v>
      </c>
      <c r="O149" t="s">
        <v>50</v>
      </c>
      <c r="P149">
        <v>8</v>
      </c>
      <c r="Q149">
        <v>386.1</v>
      </c>
      <c r="R149">
        <v>0.1</v>
      </c>
      <c r="S149">
        <v>2779.92</v>
      </c>
      <c r="T149">
        <v>1744.05</v>
      </c>
      <c r="U149">
        <v>1035.8699999999999</v>
      </c>
      <c r="V149" t="s">
        <v>32</v>
      </c>
      <c r="W149" t="s">
        <v>33</v>
      </c>
      <c r="X149" t="str">
        <f>_xlfn.TEXTJOIN("|", TRUE, A149:W149)</f>
        <v>ORD-2024-10148|45649|45656|7|OK|CUST-2692|Priya Menon|Home Office|West|Goa|Panaji|Furniture|Furnishings|Classic Furnishings 743|First Class|8|386.1|0.1|2779.92|1744.05|1035.87|Paid|Completed</v>
      </c>
      <c r="Y149">
        <f>COUNTIF($X$2:$X$1000, X149)</f>
        <v>1</v>
      </c>
      <c r="Z149">
        <f>COUNTIF($A$2:$A$1000, A149)</f>
        <v>1</v>
      </c>
      <c r="AA149" t="str">
        <f>IF(Y149&gt;1, "Exact Duplicate",
  IF(Z149&gt;1, "Conflicting Duplicate - Review",
    "Unique"))</f>
        <v>Unique</v>
      </c>
      <c r="AB149" s="2">
        <f>IF(ISBLANK(R149), 0, IF(ISTEXT(R149), VALUE(SUBSTITUTE(R149, "%", ""))/100, IF(OR(R149&lt;0, R149&gt;1), "Invalid", R149)))</f>
        <v>0.1</v>
      </c>
      <c r="AC149" s="4">
        <f>IF(AB149="Invalid", "Error", P149 * Q149 * (1 - AB149))</f>
        <v>2779.92</v>
      </c>
      <c r="AD149" s="4">
        <f>IF(AC149="Error", "Error", AC149 - T149)</f>
        <v>1035.8700000000001</v>
      </c>
      <c r="AE149" s="2">
        <f>IF(AC149="Error", "Error", IF(AC149=0, 0, AD149 / AC149))</f>
        <v>0.37262583095916435</v>
      </c>
      <c r="AF149" s="7">
        <f>C149-B149</f>
        <v>7</v>
      </c>
      <c r="AG149" s="2" t="str">
        <f>TEXT(B149, "mmmm")</f>
        <v>December</v>
      </c>
      <c r="AH149" s="4">
        <f>YEAR(B149)</f>
        <v>2024</v>
      </c>
      <c r="AI149" s="2" t="str">
        <f t="shared" si="16"/>
        <v>Clean</v>
      </c>
      <c r="AJ149">
        <f>COUNTIFS($A$2:$A$1000,A149,$B$2:$B$1000,B149,$C$2:$C$1000,C149,$D$2:$D$1000,D149,$E$2:$E$1000,E149,$F$2:$F$1000,F149)</f>
        <v>1</v>
      </c>
      <c r="AK149">
        <f>COUNTIF($A$2:$A$1000, A149)</f>
        <v>1</v>
      </c>
    </row>
    <row r="150" spans="1:37">
      <c r="A150" t="s">
        <v>554</v>
      </c>
      <c r="B150" s="5">
        <v>45697</v>
      </c>
      <c r="C150" s="5">
        <v>45701</v>
      </c>
      <c r="D150" s="6">
        <f>IF(AND(C150&lt;&gt;"",B150&lt;&gt;""), C150-B150, "Missing Date")</f>
        <v>4</v>
      </c>
      <c r="E150" s="6" t="str">
        <f>IF(OR(B150="",C150=""), "Missing Date",
    IF(C150&lt;B150, "Invalid: Ship before Order",
      "OK"))</f>
        <v>OK</v>
      </c>
      <c r="F150" t="s">
        <v>555</v>
      </c>
      <c r="G150" t="s">
        <v>36</v>
      </c>
      <c r="H150" t="s">
        <v>95</v>
      </c>
      <c r="I150" t="s">
        <v>63</v>
      </c>
      <c r="J150" t="s">
        <v>72</v>
      </c>
      <c r="K150" t="s">
        <v>73</v>
      </c>
      <c r="L150" t="s">
        <v>74</v>
      </c>
      <c r="M150" t="s">
        <v>171</v>
      </c>
      <c r="N150" t="s">
        <v>556</v>
      </c>
      <c r="O150" t="s">
        <v>2762</v>
      </c>
      <c r="P150">
        <v>8</v>
      </c>
      <c r="Q150">
        <v>1696.07</v>
      </c>
      <c r="R150">
        <v>0.25</v>
      </c>
      <c r="S150">
        <v>10176.42</v>
      </c>
      <c r="T150">
        <v>7604.47</v>
      </c>
      <c r="U150">
        <v>2571.9499999999998</v>
      </c>
      <c r="V150" t="s">
        <v>32</v>
      </c>
      <c r="W150" t="s">
        <v>33</v>
      </c>
      <c r="X150" t="str">
        <f>_xlfn.TEXTJOIN("|", TRUE, A150:W150)</f>
        <v>ORD-2025-10149|45697|45701|4|OK|CUST-2822|Mira Das|Home Office|West|Madhya Pradesh|Indore|Technology|Phones|Smart Phones 336|Unknown|8|1696.07|0.25|10176.42|7604.47|2571.95|Paid|Completed</v>
      </c>
      <c r="Y150">
        <f>COUNTIF($X$2:$X$1000, X150)</f>
        <v>1</v>
      </c>
      <c r="Z150">
        <f>COUNTIF($A$2:$A$1000, A150)</f>
        <v>1</v>
      </c>
      <c r="AA150" t="str">
        <f>IF(Y150&gt;1, "Exact Duplicate",
  IF(Z150&gt;1, "Conflicting Duplicate - Review",
    "Unique"))</f>
        <v>Unique</v>
      </c>
      <c r="AB150" s="2">
        <f>IF(ISBLANK(R150), 0, IF(ISTEXT(R150), VALUE(SUBSTITUTE(R150, "%", ""))/100, IF(OR(R150&lt;0, R150&gt;1), "Invalid", R150)))</f>
        <v>0.25</v>
      </c>
      <c r="AC150" s="4">
        <f>IF(AB150="Invalid", "Error", P150 * Q150 * (1 - AB150))</f>
        <v>10176.42</v>
      </c>
      <c r="AD150" s="4">
        <f>IF(AC150="Error", "Error", AC150 - T150)</f>
        <v>2571.9499999999998</v>
      </c>
      <c r="AE150" s="2">
        <f>IF(AC150="Error", "Error", IF(AC150=0, 0, AD150 / AC150))</f>
        <v>0.252736227474888</v>
      </c>
      <c r="AF150" s="7">
        <f>C150-B150</f>
        <v>4</v>
      </c>
      <c r="AG150" s="2" t="str">
        <f>TEXT(B150, "mmmm")</f>
        <v>February</v>
      </c>
      <c r="AH150" s="4">
        <f>YEAR(B150)</f>
        <v>2025</v>
      </c>
      <c r="AI150" s="2" t="str">
        <f t="shared" si="16"/>
        <v>Warning: Missing Shipping Mode</v>
      </c>
      <c r="AJ150">
        <f>COUNTIFS($A$2:$A$1000,A150,$B$2:$B$1000,B150,$C$2:$C$1000,C150,$D$2:$D$1000,D150,$E$2:$E$1000,E150,$F$2:$F$1000,F150)</f>
        <v>1</v>
      </c>
      <c r="AK150">
        <f>COUNTIF($A$2:$A$1000, A150)</f>
        <v>1</v>
      </c>
    </row>
    <row r="151" spans="1:37">
      <c r="A151" t="s">
        <v>557</v>
      </c>
      <c r="B151" s="5">
        <v>45321</v>
      </c>
      <c r="C151" s="5">
        <v>45321</v>
      </c>
      <c r="D151" s="6">
        <f>IF(AND(C151&lt;&gt;"",B151&lt;&gt;""), C151-B151, "Missing Date")</f>
        <v>0</v>
      </c>
      <c r="E151" s="6" t="str">
        <f>IF(OR(B151="",C151=""), "Missing Date",
    IF(C151&lt;B151, "Invalid: Ship before Order",
      "OK"))</f>
        <v>OK</v>
      </c>
      <c r="F151" t="s">
        <v>558</v>
      </c>
      <c r="G151" t="s">
        <v>128</v>
      </c>
      <c r="H151" t="s">
        <v>37</v>
      </c>
      <c r="I151" t="s">
        <v>63</v>
      </c>
      <c r="J151" t="s">
        <v>26</v>
      </c>
      <c r="K151" t="s">
        <v>109</v>
      </c>
      <c r="L151" t="s">
        <v>74</v>
      </c>
      <c r="M151" t="s">
        <v>80</v>
      </c>
      <c r="N151" t="s">
        <v>559</v>
      </c>
      <c r="O151" t="s">
        <v>44</v>
      </c>
      <c r="P151">
        <v>7</v>
      </c>
      <c r="Q151">
        <v>2527.61</v>
      </c>
      <c r="R151">
        <v>0.25</v>
      </c>
      <c r="S151">
        <v>13269.95</v>
      </c>
      <c r="T151">
        <v>8977.1</v>
      </c>
      <c r="U151">
        <v>4292.8500000000004</v>
      </c>
      <c r="V151" t="s">
        <v>32</v>
      </c>
      <c r="W151" t="s">
        <v>33</v>
      </c>
      <c r="X151" t="str">
        <f>_xlfn.TEXTJOIN("|", TRUE, A151:W151)</f>
        <v>ORD-2024-10150|45321|45321|0|OK|CUST-5876|Aarav Sharma|Small Business|West|Rajasthan|Udaipur|Technology|Copiers|Eco Copiers 381|Same Day|7|2527.61|0.25|13269.95|8977.1|4292.85|Paid|Completed</v>
      </c>
      <c r="Y151">
        <f>COUNTIF($X$2:$X$1000, X151)</f>
        <v>1</v>
      </c>
      <c r="Z151">
        <f>COUNTIF($A$2:$A$1000, A151)</f>
        <v>1</v>
      </c>
      <c r="AA151" t="str">
        <f>IF(Y151&gt;1, "Exact Duplicate",
  IF(Z151&gt;1, "Conflicting Duplicate - Review",
    "Unique"))</f>
        <v>Unique</v>
      </c>
      <c r="AB151" s="2">
        <f>IF(ISBLANK(R151), 0, IF(ISTEXT(R151), VALUE(SUBSTITUTE(R151, "%", ""))/100, IF(OR(R151&lt;0, R151&gt;1), "Invalid", R151)))</f>
        <v>0.25</v>
      </c>
      <c r="AC151" s="4">
        <f>IF(AB151="Invalid", "Error", P151 * Q151 * (1 - AB151))</f>
        <v>13269.952499999999</v>
      </c>
      <c r="AD151" s="4">
        <f>IF(AC151="Error", "Error", AC151 - T151)</f>
        <v>4292.8524999999991</v>
      </c>
      <c r="AE151" s="2">
        <f>IF(AC151="Error", "Error", IF(AC151=0, 0, AD151 / AC151))</f>
        <v>0.32350172315989822</v>
      </c>
      <c r="AF151" s="7">
        <f>C151-B151</f>
        <v>0</v>
      </c>
      <c r="AG151" s="2" t="str">
        <f>TEXT(B151, "mmmm")</f>
        <v>January</v>
      </c>
      <c r="AH151" s="4">
        <f>YEAR(B151)</f>
        <v>2024</v>
      </c>
      <c r="AI151" s="2" t="str">
        <f t="shared" si="16"/>
        <v>Clean</v>
      </c>
      <c r="AJ151">
        <f>COUNTIFS($A$2:$A$1000,A151,$B$2:$B$1000,B151,$C$2:$C$1000,C151,$D$2:$D$1000,D151,$E$2:$E$1000,E151,$F$2:$F$1000,F151)</f>
        <v>1</v>
      </c>
      <c r="AK151">
        <f>COUNTIF($A$2:$A$1000, A151)</f>
        <v>1</v>
      </c>
    </row>
    <row r="152" spans="1:37">
      <c r="A152" t="s">
        <v>560</v>
      </c>
      <c r="B152" s="5">
        <v>45355</v>
      </c>
      <c r="C152" s="5">
        <v>45363</v>
      </c>
      <c r="D152" s="6">
        <f>IF(AND(C152&lt;&gt;"",B152&lt;&gt;""), C152-B152, "Missing Date")</f>
        <v>8</v>
      </c>
      <c r="E152" s="6" t="str">
        <f>IF(OR(B152="",C152=""), "Missing Date",
    IF(C152&lt;B152, "Invalid: Ship before Order",
      "OK"))</f>
        <v>OK</v>
      </c>
      <c r="F152" t="s">
        <v>561</v>
      </c>
      <c r="G152" t="s">
        <v>53</v>
      </c>
      <c r="H152" t="s">
        <v>24</v>
      </c>
      <c r="I152" t="s">
        <v>2762</v>
      </c>
      <c r="J152" t="s">
        <v>180</v>
      </c>
      <c r="K152" t="s">
        <v>181</v>
      </c>
      <c r="L152" t="s">
        <v>41</v>
      </c>
      <c r="M152" t="s">
        <v>158</v>
      </c>
      <c r="N152" t="s">
        <v>562</v>
      </c>
      <c r="O152" t="s">
        <v>50</v>
      </c>
      <c r="P152">
        <v>1</v>
      </c>
      <c r="Q152">
        <v>1554.12</v>
      </c>
      <c r="R152">
        <v>0.1</v>
      </c>
      <c r="S152">
        <v>1398.71</v>
      </c>
      <c r="T152">
        <v>1056.92</v>
      </c>
      <c r="U152">
        <v>341.79</v>
      </c>
      <c r="V152" t="s">
        <v>32</v>
      </c>
      <c r="W152" t="s">
        <v>33</v>
      </c>
      <c r="X152" t="str">
        <f>_xlfn.TEXTJOIN("|", TRUE, A152:W152)</f>
        <v>ORD-2024-10151|45355|45363|8|OK|CUST-4661|Arjun Bose|Consumer|Unknown|Gujarat|Ahmedabad|Furniture|Bookcases|Max Bookcases 595|First Class|1|1554.12|0.1|1398.71|1056.92|341.79|Paid|Completed</v>
      </c>
      <c r="Y152">
        <f>COUNTIF($X$2:$X$1000, X152)</f>
        <v>1</v>
      </c>
      <c r="Z152">
        <f>COUNTIF($A$2:$A$1000, A152)</f>
        <v>1</v>
      </c>
      <c r="AA152" t="str">
        <f>IF(Y152&gt;1, "Exact Duplicate",
  IF(Z152&gt;1, "Conflicting Duplicate - Review",
    "Unique"))</f>
        <v>Unique</v>
      </c>
      <c r="AB152" s="2">
        <f>IF(ISBLANK(R152), 0, IF(ISTEXT(R152), VALUE(SUBSTITUTE(R152, "%", ""))/100, IF(OR(R152&lt;0, R152&gt;1), "Invalid", R152)))</f>
        <v>0.1</v>
      </c>
      <c r="AC152" s="4">
        <f>IF(AB152="Invalid", "Error", P152 * Q152 * (1 - AB152))</f>
        <v>1398.7079999999999</v>
      </c>
      <c r="AD152" s="4">
        <f>IF(AC152="Error", "Error", AC152 - T152)</f>
        <v>341.78799999999978</v>
      </c>
      <c r="AE152" s="2">
        <f>IF(AC152="Error", "Error", IF(AC152=0, 0, AD152 / AC152))</f>
        <v>0.24435979489643286</v>
      </c>
      <c r="AF152" s="7">
        <f>C152-B152</f>
        <v>8</v>
      </c>
      <c r="AG152" s="2" t="str">
        <f>TEXT(B152, "mmmm")</f>
        <v>March</v>
      </c>
      <c r="AH152" s="4">
        <f>YEAR(B152)</f>
        <v>2024</v>
      </c>
      <c r="AI152" s="2" t="str">
        <f t="shared" si="16"/>
        <v>Warning: Missing Region</v>
      </c>
      <c r="AJ152">
        <f>COUNTIFS($A$2:$A$1000,A152,$B$2:$B$1000,B152,$C$2:$C$1000,C152,$D$2:$D$1000,D152,$E$2:$E$1000,E152,$F$2:$F$1000,F152)</f>
        <v>1</v>
      </c>
      <c r="AK152">
        <f>COUNTIF($A$2:$A$1000, A152)</f>
        <v>1</v>
      </c>
    </row>
    <row r="153" spans="1:37">
      <c r="A153" t="s">
        <v>563</v>
      </c>
      <c r="B153" s="5">
        <v>45470</v>
      </c>
      <c r="C153" s="5">
        <v>45470</v>
      </c>
      <c r="D153" s="6">
        <f>IF(AND(C153&lt;&gt;"",B153&lt;&gt;""), C153-B153, "Missing Date")</f>
        <v>0</v>
      </c>
      <c r="E153" s="6" t="str">
        <f>IF(OR(B153="",C153=""), "Missing Date",
    IF(C153&lt;B153, "Invalid: Ship before Order",
      "OK"))</f>
        <v>OK</v>
      </c>
      <c r="F153" t="s">
        <v>564</v>
      </c>
      <c r="G153" t="s">
        <v>79</v>
      </c>
      <c r="H153" t="s">
        <v>95</v>
      </c>
      <c r="I153" t="s">
        <v>2762</v>
      </c>
      <c r="J153" t="s">
        <v>72</v>
      </c>
      <c r="K153" t="s">
        <v>73</v>
      </c>
      <c r="L153" t="s">
        <v>74</v>
      </c>
      <c r="M153" t="s">
        <v>80</v>
      </c>
      <c r="N153" t="s">
        <v>565</v>
      </c>
      <c r="O153" t="s">
        <v>59</v>
      </c>
      <c r="P153">
        <v>2</v>
      </c>
      <c r="Q153">
        <v>3859.11</v>
      </c>
      <c r="R153">
        <v>0</v>
      </c>
      <c r="S153">
        <v>7718.22</v>
      </c>
      <c r="T153">
        <v>5355.93</v>
      </c>
      <c r="U153">
        <v>2362.29</v>
      </c>
      <c r="V153" t="s">
        <v>111</v>
      </c>
      <c r="W153" t="s">
        <v>103</v>
      </c>
      <c r="X153" t="str">
        <f>_xlfn.TEXTJOIN("|", TRUE, A153:W153)</f>
        <v>ORD-2024-10152|45470|45470|0|OK|CUST-6011|Neha Gupta|Home Office|Unknown|Madhya Pradesh|Indore|Technology|Copiers|Max Copiers 992|Standard Class|2|3859.11|0|7718.22|5355.93|2362.29|Pending|Returned</v>
      </c>
      <c r="Y153">
        <f>COUNTIF($X$2:$X$1000, X153)</f>
        <v>1</v>
      </c>
      <c r="Z153">
        <f>COUNTIF($A$2:$A$1000, A153)</f>
        <v>1</v>
      </c>
      <c r="AA153" t="str">
        <f>IF(Y153&gt;1, "Exact Duplicate",
  IF(Z153&gt;1, "Conflicting Duplicate - Review",
    "Unique"))</f>
        <v>Unique</v>
      </c>
      <c r="AB153" s="2">
        <f>IF(ISBLANK(R153), 0, IF(ISTEXT(R153), VALUE(SUBSTITUTE(R153, "%", ""))/100, IF(OR(R153&lt;0, R153&gt;1), "Invalid", R153)))</f>
        <v>0</v>
      </c>
      <c r="AC153" s="4">
        <f>IF(AB153="Invalid", "Error", P153 * Q153 * (1 - AB153))</f>
        <v>7718.22</v>
      </c>
      <c r="AD153" s="4">
        <f>IF(AC153="Error", "Error", AC153 - T153)</f>
        <v>2362.29</v>
      </c>
      <c r="AE153" s="2">
        <f>IF(AC153="Error", "Error", IF(AC153=0, 0, AD153 / AC153))</f>
        <v>0.30606668376905555</v>
      </c>
      <c r="AF153" s="7">
        <f>C153-B153</f>
        <v>0</v>
      </c>
      <c r="AG153" s="2" t="str">
        <f>TEXT(B153, "mmmm")</f>
        <v>June</v>
      </c>
      <c r="AH153" s="4">
        <f>YEAR(B153)</f>
        <v>2024</v>
      </c>
      <c r="AI153" s="2" t="str">
        <f t="shared" si="16"/>
        <v>Warning: Missing Region</v>
      </c>
      <c r="AJ153">
        <f>COUNTIFS($A$2:$A$1000,A153,$B$2:$B$1000,B153,$C$2:$C$1000,C153,$D$2:$D$1000,D153,$E$2:$E$1000,E153,$F$2:$F$1000,F153)</f>
        <v>1</v>
      </c>
      <c r="AK153">
        <f>COUNTIF($A$2:$A$1000, A153)</f>
        <v>1</v>
      </c>
    </row>
    <row r="154" spans="1:37">
      <c r="A154" t="s">
        <v>566</v>
      </c>
      <c r="B154" s="5">
        <v>45457</v>
      </c>
      <c r="C154" s="5">
        <v>45460</v>
      </c>
      <c r="D154" s="6">
        <f>IF(AND(C154&lt;&gt;"",B154&lt;&gt;""), C154-B154, "Missing Date")</f>
        <v>3</v>
      </c>
      <c r="E154" s="6" t="str">
        <f>IF(OR(B154="",C154=""), "Missing Date",
    IF(C154&lt;B154, "Invalid: Ship before Order",
      "OK"))</f>
        <v>OK</v>
      </c>
      <c r="F154" t="s">
        <v>567</v>
      </c>
      <c r="G154" t="s">
        <v>264</v>
      </c>
      <c r="H154" t="s">
        <v>37</v>
      </c>
      <c r="I154" t="s">
        <v>54</v>
      </c>
      <c r="J154" t="s">
        <v>185</v>
      </c>
      <c r="K154" t="s">
        <v>186</v>
      </c>
      <c r="L154" t="s">
        <v>41</v>
      </c>
      <c r="M154" t="s">
        <v>42</v>
      </c>
      <c r="N154" t="s">
        <v>568</v>
      </c>
      <c r="O154" t="s">
        <v>31</v>
      </c>
      <c r="P154">
        <v>6</v>
      </c>
      <c r="Q154">
        <v>1088.04</v>
      </c>
      <c r="R154">
        <v>0.1</v>
      </c>
      <c r="S154">
        <v>5875.42</v>
      </c>
      <c r="T154">
        <v>4380.55</v>
      </c>
      <c r="U154">
        <v>1494.87</v>
      </c>
      <c r="V154" t="s">
        <v>111</v>
      </c>
      <c r="W154" t="s">
        <v>103</v>
      </c>
      <c r="X154" t="str">
        <f>_xlfn.TEXTJOIN("|", TRUE, A154:W154)</f>
        <v>ORD-2024-10153|45457|45460|3|OK|CUST-6160|Kabir Singh|Small Business|South|Kerala|Kochi|Furniture|Tables|Pro Tables 407|Second Class|6|1088.04|0.1|5875.42|4380.55|1494.87|Pending|Returned</v>
      </c>
      <c r="Y154">
        <f>COUNTIF($X$2:$X$1000, X154)</f>
        <v>1</v>
      </c>
      <c r="Z154">
        <f>COUNTIF($A$2:$A$1000, A154)</f>
        <v>1</v>
      </c>
      <c r="AA154" t="str">
        <f>IF(Y154&gt;1, "Exact Duplicate",
  IF(Z154&gt;1, "Conflicting Duplicate - Review",
    "Unique"))</f>
        <v>Unique</v>
      </c>
      <c r="AB154" s="2">
        <f>IF(ISBLANK(R154), 0, IF(ISTEXT(R154), VALUE(SUBSTITUTE(R154, "%", ""))/100, IF(OR(R154&lt;0, R154&gt;1), "Invalid", R154)))</f>
        <v>0.1</v>
      </c>
      <c r="AC154" s="4">
        <f>IF(AB154="Invalid", "Error", P154 * Q154 * (1 - AB154))</f>
        <v>5875.4160000000002</v>
      </c>
      <c r="AD154" s="4">
        <f>IF(AC154="Error", "Error", AC154 - T154)</f>
        <v>1494.866</v>
      </c>
      <c r="AE154" s="2">
        <f>IF(AC154="Error", "Error", IF(AC154=0, 0, AD154 / AC154))</f>
        <v>0.25442726098032886</v>
      </c>
      <c r="AF154" s="7">
        <f>C154-B154</f>
        <v>3</v>
      </c>
      <c r="AG154" s="2" t="str">
        <f>TEXT(B154, "mmmm")</f>
        <v>June</v>
      </c>
      <c r="AH154" s="4">
        <f>YEAR(B154)</f>
        <v>2024</v>
      </c>
      <c r="AI154" s="2" t="str">
        <f t="shared" si="16"/>
        <v>Clean</v>
      </c>
      <c r="AJ154">
        <f>COUNTIFS($A$2:$A$1000,A154,$B$2:$B$1000,B154,$C$2:$C$1000,C154,$D$2:$D$1000,D154,$E$2:$E$1000,E154,$F$2:$F$1000,F154)</f>
        <v>1</v>
      </c>
      <c r="AK154">
        <f>COUNTIF($A$2:$A$1000, A154)</f>
        <v>1</v>
      </c>
    </row>
    <row r="155" spans="1:37">
      <c r="A155" t="s">
        <v>569</v>
      </c>
      <c r="B155" s="5">
        <v>45923</v>
      </c>
      <c r="C155" s="5">
        <v>45925</v>
      </c>
      <c r="D155" s="6">
        <f>IF(AND(C155&lt;&gt;"",B155&lt;&gt;""), C155-B155, "Missing Date")</f>
        <v>2</v>
      </c>
      <c r="E155" s="6" t="str">
        <f>IF(OR(B155="",C155=""), "Missing Date",
    IF(C155&lt;B155, "Invalid: Ship before Order",
      "OK"))</f>
        <v>OK</v>
      </c>
      <c r="F155" t="s">
        <v>570</v>
      </c>
      <c r="G155" t="s">
        <v>89</v>
      </c>
      <c r="H155" t="s">
        <v>24</v>
      </c>
      <c r="I155" t="s">
        <v>38</v>
      </c>
      <c r="J155" t="s">
        <v>39</v>
      </c>
      <c r="K155" t="s">
        <v>40</v>
      </c>
      <c r="L155" t="s">
        <v>28</v>
      </c>
      <c r="M155" t="s">
        <v>91</v>
      </c>
      <c r="N155" t="s">
        <v>571</v>
      </c>
      <c r="O155" t="s">
        <v>59</v>
      </c>
      <c r="P155">
        <v>7</v>
      </c>
      <c r="Q155">
        <v>3280.31</v>
      </c>
      <c r="R155">
        <v>0</v>
      </c>
      <c r="S155">
        <v>22962.17</v>
      </c>
      <c r="T155">
        <v>15716.5</v>
      </c>
      <c r="U155">
        <v>7245.67</v>
      </c>
      <c r="V155" t="s">
        <v>102</v>
      </c>
      <c r="W155" t="s">
        <v>103</v>
      </c>
      <c r="X155" t="str">
        <f>_xlfn.TEXTJOIN("|", TRUE, A155:W155)</f>
        <v>ORD-2025-10154|45923|45925|2|OK|CUST-6971|Aditi Sen|Consumer|East|Odisha|Bhubaneswar|Office Supplies|Labels|Prime Labels 559|Standard Class|7|3280.31|0|22962.17|15716.5|7245.67|Refunded|Returned</v>
      </c>
      <c r="Y155">
        <f>COUNTIF($X$2:$X$1000, X155)</f>
        <v>1</v>
      </c>
      <c r="Z155">
        <f>COUNTIF($A$2:$A$1000, A155)</f>
        <v>1</v>
      </c>
      <c r="AA155" t="str">
        <f>IF(Y155&gt;1, "Exact Duplicate",
  IF(Z155&gt;1, "Conflicting Duplicate - Review",
    "Unique"))</f>
        <v>Unique</v>
      </c>
      <c r="AB155" s="2">
        <f>IF(ISBLANK(R155), 0, IF(ISTEXT(R155), VALUE(SUBSTITUTE(R155, "%", ""))/100, IF(OR(R155&lt;0, R155&gt;1), "Invalid", R155)))</f>
        <v>0</v>
      </c>
      <c r="AC155" s="4">
        <f>IF(AB155="Invalid", "Error", P155 * Q155 * (1 - AB155))</f>
        <v>22962.17</v>
      </c>
      <c r="AD155" s="4">
        <f>IF(AC155="Error", "Error", AC155 - T155)</f>
        <v>7245.6699999999983</v>
      </c>
      <c r="AE155" s="2">
        <f>IF(AC155="Error", "Error", IF(AC155=0, 0, AD155 / AC155))</f>
        <v>0.31554813852523517</v>
      </c>
      <c r="AF155" s="7">
        <f>C155-B155</f>
        <v>2</v>
      </c>
      <c r="AG155" s="2" t="str">
        <f>TEXT(B155, "mmmm")</f>
        <v>September</v>
      </c>
      <c r="AH155" s="4">
        <f>YEAR(B155)</f>
        <v>2025</v>
      </c>
      <c r="AI155" s="2" t="str">
        <f t="shared" si="16"/>
        <v>Clean</v>
      </c>
      <c r="AJ155">
        <f>COUNTIFS($A$2:$A$1000,A155,$B$2:$B$1000,B155,$C$2:$C$1000,C155,$D$2:$D$1000,D155,$E$2:$E$1000,E155,$F$2:$F$1000,F155)</f>
        <v>1</v>
      </c>
      <c r="AK155">
        <f>COUNTIF($A$2:$A$1000, A155)</f>
        <v>1</v>
      </c>
    </row>
    <row r="156" spans="1:37">
      <c r="A156" t="s">
        <v>572</v>
      </c>
      <c r="B156" s="5">
        <v>45334</v>
      </c>
      <c r="C156" s="5">
        <v>45598</v>
      </c>
      <c r="D156" s="6">
        <f>IF(AND(C156&lt;&gt;"",B156&lt;&gt;""), C156-B156, "Missing Date")</f>
        <v>264</v>
      </c>
      <c r="E156" s="6" t="str">
        <f>IF(OR(B156="",C156=""), "Missing Date",
    IF(C156&lt;B156, "Invalid: Ship before Order",
      "OK"))</f>
        <v>OK</v>
      </c>
      <c r="F156" t="s">
        <v>455</v>
      </c>
      <c r="G156" t="s">
        <v>114</v>
      </c>
      <c r="H156" t="s">
        <v>24</v>
      </c>
      <c r="I156" t="s">
        <v>54</v>
      </c>
      <c r="J156" t="s">
        <v>247</v>
      </c>
      <c r="K156" t="s">
        <v>248</v>
      </c>
      <c r="L156" t="s">
        <v>41</v>
      </c>
      <c r="M156" t="s">
        <v>158</v>
      </c>
      <c r="N156" t="s">
        <v>573</v>
      </c>
      <c r="O156" t="s">
        <v>44</v>
      </c>
      <c r="P156">
        <v>1</v>
      </c>
      <c r="Q156">
        <v>2599.12</v>
      </c>
      <c r="R156">
        <v>0.15</v>
      </c>
      <c r="S156">
        <v>2209.25</v>
      </c>
      <c r="T156">
        <v>1523.78</v>
      </c>
      <c r="U156">
        <v>685.47</v>
      </c>
      <c r="V156" t="s">
        <v>32</v>
      </c>
      <c r="W156" t="s">
        <v>33</v>
      </c>
      <c r="X156" t="str">
        <f>_xlfn.TEXTJOIN("|", TRUE, A156:W156)</f>
        <v>ORD-2024-10155|45334|45598|264|OK|CUST-7764|Priya Menon|Consumer|South|Tamil Nadu|Chennai|Furniture|Bookcases|Classic Bookcases 847|Same Day|1|2599.12|0.15|2209.25|1523.78|685.47|Paid|Completed</v>
      </c>
      <c r="Y156">
        <f>COUNTIF($X$2:$X$1000, X156)</f>
        <v>1</v>
      </c>
      <c r="Z156">
        <f>COUNTIF($A$2:$A$1000, A156)</f>
        <v>1</v>
      </c>
      <c r="AA156" t="str">
        <f>IF(Y156&gt;1, "Exact Duplicate",
  IF(Z156&gt;1, "Conflicting Duplicate - Review",
    "Unique"))</f>
        <v>Unique</v>
      </c>
      <c r="AB156" s="2">
        <f>IF(ISBLANK(R156), 0, IF(ISTEXT(R156), VALUE(SUBSTITUTE(R156, "%", ""))/100, IF(OR(R156&lt;0, R156&gt;1), "Invalid", R156)))</f>
        <v>0.15</v>
      </c>
      <c r="AC156" s="4">
        <f>IF(AB156="Invalid", "Error", P156 * Q156 * (1 - AB156))</f>
        <v>2209.252</v>
      </c>
      <c r="AD156" s="4">
        <f>IF(AC156="Error", "Error", AC156 - T156)</f>
        <v>685.47199999999998</v>
      </c>
      <c r="AE156" s="2">
        <f>IF(AC156="Error", "Error", IF(AC156=0, 0, AD156 / AC156))</f>
        <v>0.31027334138432372</v>
      </c>
      <c r="AF156" s="7">
        <f>C156-B156</f>
        <v>264</v>
      </c>
      <c r="AG156" s="2" t="str">
        <f>TEXT(B156, "mmmm")</f>
        <v>February</v>
      </c>
      <c r="AH156" s="4">
        <f>YEAR(B156)</f>
        <v>2024</v>
      </c>
      <c r="AI156" s="2" t="str">
        <f t="shared" si="16"/>
        <v>Clean</v>
      </c>
      <c r="AJ156">
        <f>COUNTIFS($A$2:$A$1000,A156,$B$2:$B$1000,B156,$C$2:$C$1000,C156,$D$2:$D$1000,D156,$E$2:$E$1000,E156,$F$2:$F$1000,F156)</f>
        <v>1</v>
      </c>
      <c r="AK156">
        <f>COUNTIF($A$2:$A$1000, A156)</f>
        <v>1</v>
      </c>
    </row>
    <row r="157" spans="1:37">
      <c r="A157" t="s">
        <v>574</v>
      </c>
      <c r="B157" s="5">
        <v>45683</v>
      </c>
      <c r="C157" s="5">
        <v>45691</v>
      </c>
      <c r="D157" s="6">
        <f>IF(AND(C157&lt;&gt;"",B157&lt;&gt;""), C157-B157, "Missing Date")</f>
        <v>8</v>
      </c>
      <c r="E157" s="6" t="str">
        <f>IF(OR(B157="",C157=""), "Missing Date",
    IF(C157&lt;B157, "Invalid: Ship before Order",
      "OK"))</f>
        <v>OK</v>
      </c>
      <c r="F157" t="s">
        <v>575</v>
      </c>
      <c r="G157" t="s">
        <v>23</v>
      </c>
      <c r="H157" t="s">
        <v>90</v>
      </c>
      <c r="I157" t="s">
        <v>63</v>
      </c>
      <c r="J157" t="s">
        <v>26</v>
      </c>
      <c r="K157" t="s">
        <v>109</v>
      </c>
      <c r="L157" t="s">
        <v>41</v>
      </c>
      <c r="M157" t="s">
        <v>57</v>
      </c>
      <c r="N157" t="s">
        <v>576</v>
      </c>
      <c r="O157" t="s">
        <v>44</v>
      </c>
      <c r="P157">
        <v>3</v>
      </c>
      <c r="Q157">
        <v>2859.32</v>
      </c>
      <c r="R157">
        <v>0.1</v>
      </c>
      <c r="S157">
        <v>7720.16</v>
      </c>
      <c r="T157">
        <v>5881</v>
      </c>
      <c r="U157">
        <v>1839.16</v>
      </c>
      <c r="V157" t="s">
        <v>102</v>
      </c>
      <c r="W157" t="s">
        <v>103</v>
      </c>
      <c r="X157" t="str">
        <f>_xlfn.TEXTJOIN("|", TRUE, A157:W157)</f>
        <v>ORD-2025-10156|45683|45691|8|OK|CUST-8327|Karan Malhotra|Corporate|West|Rajasthan|Udaipur|Furniture|Furnishings|Classic Furnishings 655|Same Day|3|2859.32|0.1|7720.16|5881|1839.16|Refunded|Returned</v>
      </c>
      <c r="Y157">
        <f>COUNTIF($X$2:$X$1000, X157)</f>
        <v>1</v>
      </c>
      <c r="Z157">
        <f>COUNTIF($A$2:$A$1000, A157)</f>
        <v>1</v>
      </c>
      <c r="AA157" t="str">
        <f>IF(Y157&gt;1, "Exact Duplicate",
  IF(Z157&gt;1, "Conflicting Duplicate - Review",
    "Unique"))</f>
        <v>Unique</v>
      </c>
      <c r="AB157" s="2">
        <f>IF(ISBLANK(R157), 0, IF(ISTEXT(R157), VALUE(SUBSTITUTE(R157, "%", ""))/100, IF(OR(R157&lt;0, R157&gt;1), "Invalid", R157)))</f>
        <v>0.1</v>
      </c>
      <c r="AC157" s="4">
        <f>IF(AB157="Invalid", "Error", P157 * Q157 * (1 - AB157))</f>
        <v>7720.1640000000007</v>
      </c>
      <c r="AD157" s="4">
        <f>IF(AC157="Error", "Error", AC157 - T157)</f>
        <v>1839.1640000000007</v>
      </c>
      <c r="AE157" s="2">
        <f>IF(AC157="Error", "Error", IF(AC157=0, 0, AD157 / AC157))</f>
        <v>0.23822861794127695</v>
      </c>
      <c r="AF157" s="7">
        <f>C157-B157</f>
        <v>8</v>
      </c>
      <c r="AG157" s="2" t="str">
        <f>TEXT(B157, "mmmm")</f>
        <v>January</v>
      </c>
      <c r="AH157" s="4">
        <f>YEAR(B157)</f>
        <v>2025</v>
      </c>
      <c r="AI157" s="2" t="str">
        <f t="shared" si="16"/>
        <v>Clean</v>
      </c>
      <c r="AJ157">
        <f>COUNTIFS($A$2:$A$1000,A157,$B$2:$B$1000,B157,$C$2:$C$1000,C157,$D$2:$D$1000,D157,$E$2:$E$1000,E157,$F$2:$F$1000,F157)</f>
        <v>1</v>
      </c>
      <c r="AK157">
        <f>COUNTIF($A$2:$A$1000, A157)</f>
        <v>1</v>
      </c>
    </row>
    <row r="158" spans="1:37">
      <c r="A158" t="s">
        <v>577</v>
      </c>
      <c r="B158" s="5">
        <v>45743</v>
      </c>
      <c r="C158" s="5">
        <v>45743</v>
      </c>
      <c r="D158" s="6">
        <f>IF(AND(C158&lt;&gt;"",B158&lt;&gt;""), C158-B158, "Missing Date")</f>
        <v>0</v>
      </c>
      <c r="E158" s="6" t="str">
        <f>IF(OR(B158="",C158=""), "Missing Date",
    IF(C158&lt;B158, "Invalid: Ship before Order",
      "OK"))</f>
        <v>OK</v>
      </c>
      <c r="F158" t="s">
        <v>578</v>
      </c>
      <c r="G158" t="s">
        <v>71</v>
      </c>
      <c r="H158" t="s">
        <v>37</v>
      </c>
      <c r="I158" t="s">
        <v>38</v>
      </c>
      <c r="J158" t="s">
        <v>145</v>
      </c>
      <c r="K158" t="s">
        <v>146</v>
      </c>
      <c r="L158" t="s">
        <v>74</v>
      </c>
      <c r="M158" t="s">
        <v>274</v>
      </c>
      <c r="N158" t="s">
        <v>579</v>
      </c>
      <c r="O158" t="s">
        <v>31</v>
      </c>
      <c r="P158">
        <v>7</v>
      </c>
      <c r="Q158">
        <v>2305.37</v>
      </c>
      <c r="R158">
        <v>0.25</v>
      </c>
      <c r="S158">
        <v>12103.19</v>
      </c>
      <c r="T158">
        <v>6717.87</v>
      </c>
      <c r="U158">
        <v>5385.32</v>
      </c>
      <c r="V158" t="s">
        <v>32</v>
      </c>
      <c r="W158" t="s">
        <v>33</v>
      </c>
      <c r="X158" t="str">
        <f>_xlfn.TEXTJOIN("|", TRUE, A158:W158)</f>
        <v>ORD-2025-10157|45743|45743|0|OK|CUST-4058|Vikram Iyer|Small Business|East|Bihar|Patna|Technology|Machines|Eco Machines 657|Second Class|7|2305.37|0.25|12103.19|6717.87|5385.32|Paid|Completed</v>
      </c>
      <c r="Y158">
        <f>COUNTIF($X$2:$X$1000, X158)</f>
        <v>1</v>
      </c>
      <c r="Z158">
        <f>COUNTIF($A$2:$A$1000, A158)</f>
        <v>1</v>
      </c>
      <c r="AA158" t="str">
        <f>IF(Y158&gt;1, "Exact Duplicate",
  IF(Z158&gt;1, "Conflicting Duplicate - Review",
    "Unique"))</f>
        <v>Unique</v>
      </c>
      <c r="AB158" s="2">
        <f>IF(ISBLANK(R158), 0, IF(ISTEXT(R158), VALUE(SUBSTITUTE(R158, "%", ""))/100, IF(OR(R158&lt;0, R158&gt;1), "Invalid", R158)))</f>
        <v>0.25</v>
      </c>
      <c r="AC158" s="4">
        <f>IF(AB158="Invalid", "Error", P158 * Q158 * (1 - AB158))</f>
        <v>12103.192500000001</v>
      </c>
      <c r="AD158" s="4">
        <f>IF(AC158="Error", "Error", AC158 - T158)</f>
        <v>5385.3225000000011</v>
      </c>
      <c r="AE158" s="2">
        <f>IF(AC158="Error", "Error", IF(AC158=0, 0, AD158 / AC158))</f>
        <v>0.44495057812225997</v>
      </c>
      <c r="AF158" s="7">
        <f>C158-B158</f>
        <v>0</v>
      </c>
      <c r="AG158" s="2" t="str">
        <f>TEXT(B158, "mmmm")</f>
        <v>March</v>
      </c>
      <c r="AH158" s="4">
        <f>YEAR(B158)</f>
        <v>2025</v>
      </c>
      <c r="AI158" s="2" t="str">
        <f t="shared" si="16"/>
        <v>Clean</v>
      </c>
      <c r="AJ158">
        <f>COUNTIFS($A$2:$A$1000,A158,$B$2:$B$1000,B158,$C$2:$C$1000,C158,$D$2:$D$1000,D158,$E$2:$E$1000,E158,$F$2:$F$1000,F158)</f>
        <v>1</v>
      </c>
      <c r="AK158">
        <f>COUNTIF($A$2:$A$1000, A158)</f>
        <v>1</v>
      </c>
    </row>
    <row r="159" spans="1:37">
      <c r="A159" t="s">
        <v>580</v>
      </c>
      <c r="B159" s="5">
        <v>45587</v>
      </c>
      <c r="C159" s="5">
        <v>45589</v>
      </c>
      <c r="D159" s="6">
        <f>IF(AND(C159&lt;&gt;"",B159&lt;&gt;""), C159-B159, "Missing Date")</f>
        <v>2</v>
      </c>
      <c r="E159" s="6" t="str">
        <f>IF(OR(B159="",C159=""), "Missing Date",
    IF(C159&lt;B159, "Invalid: Ship before Order",
      "OK"))</f>
        <v>OK</v>
      </c>
      <c r="F159" t="s">
        <v>581</v>
      </c>
      <c r="G159" t="s">
        <v>141</v>
      </c>
      <c r="H159" t="s">
        <v>37</v>
      </c>
      <c r="I159" t="s">
        <v>54</v>
      </c>
      <c r="J159" t="s">
        <v>84</v>
      </c>
      <c r="K159" t="s">
        <v>85</v>
      </c>
      <c r="L159" t="s">
        <v>41</v>
      </c>
      <c r="M159" t="s">
        <v>158</v>
      </c>
      <c r="N159" t="s">
        <v>582</v>
      </c>
      <c r="O159" t="s">
        <v>59</v>
      </c>
      <c r="P159">
        <v>3</v>
      </c>
      <c r="Q159">
        <v>915.84</v>
      </c>
      <c r="R159">
        <v>0.15</v>
      </c>
      <c r="S159">
        <v>2335.39</v>
      </c>
      <c r="T159">
        <v>1466.15</v>
      </c>
      <c r="U159">
        <v>869.24</v>
      </c>
      <c r="V159" t="s">
        <v>32</v>
      </c>
      <c r="W159" t="s">
        <v>33</v>
      </c>
      <c r="X159" t="str">
        <f>_xlfn.TEXTJOIN("|", TRUE, A159:W159)</f>
        <v>ORD-2024-10158|45587|45589|2|OK|CUST-1142|Rohan Mehta|Small Business|South|Andhra Pradesh|Vijayawada|Furniture|Bookcases|Pro Bookcases 430|Standard Class|3|915.84|0.15|2335.39|1466.15|869.24|Paid|Completed</v>
      </c>
      <c r="Y159">
        <f>COUNTIF($X$2:$X$1000, X159)</f>
        <v>1</v>
      </c>
      <c r="Z159">
        <f>COUNTIF($A$2:$A$1000, A159)</f>
        <v>1</v>
      </c>
      <c r="AA159" t="str">
        <f>IF(Y159&gt;1, "Exact Duplicate",
  IF(Z159&gt;1, "Conflicting Duplicate - Review",
    "Unique"))</f>
        <v>Unique</v>
      </c>
      <c r="AB159" s="2">
        <f>IF(ISBLANK(R159), 0, IF(ISTEXT(R159), VALUE(SUBSTITUTE(R159, "%", ""))/100, IF(OR(R159&lt;0, R159&gt;1), "Invalid", R159)))</f>
        <v>0.15</v>
      </c>
      <c r="AC159" s="4">
        <f>IF(AB159="Invalid", "Error", P159 * Q159 * (1 - AB159))</f>
        <v>2335.3919999999998</v>
      </c>
      <c r="AD159" s="4">
        <f>IF(AC159="Error", "Error", AC159 - T159)</f>
        <v>869.24199999999973</v>
      </c>
      <c r="AE159" s="2">
        <f>IF(AC159="Error", "Error", IF(AC159=0, 0, AD159 / AC159))</f>
        <v>0.3722038955344541</v>
      </c>
      <c r="AF159" s="7">
        <f>C159-B159</f>
        <v>2</v>
      </c>
      <c r="AG159" s="2" t="str">
        <f>TEXT(B159, "mmmm")</f>
        <v>October</v>
      </c>
      <c r="AH159" s="4">
        <f>YEAR(B159)</f>
        <v>2024</v>
      </c>
      <c r="AI159" s="2" t="str">
        <f t="shared" si="16"/>
        <v>Clean</v>
      </c>
      <c r="AJ159">
        <f>COUNTIFS($A$2:$A$1000,A159,$B$2:$B$1000,B159,$C$2:$C$1000,C159,$D$2:$D$1000,D159,$E$2:$E$1000,E159,$F$2:$F$1000,F159)</f>
        <v>1</v>
      </c>
      <c r="AK159">
        <f>COUNTIF($A$2:$A$1000, A159)</f>
        <v>1</v>
      </c>
    </row>
    <row r="160" spans="1:37">
      <c r="A160" t="s">
        <v>583</v>
      </c>
      <c r="B160" s="5">
        <v>45544</v>
      </c>
      <c r="C160" s="5">
        <v>45605</v>
      </c>
      <c r="D160" s="6">
        <f>IF(AND(C160&lt;&gt;"",B160&lt;&gt;""), C160-B160, "Missing Date")</f>
        <v>61</v>
      </c>
      <c r="E160" s="6" t="str">
        <f>IF(OR(B160="",C160=""), "Missing Date",
    IF(C160&lt;B160, "Invalid: Ship before Order",
      "OK"))</f>
        <v>OK</v>
      </c>
      <c r="F160" t="s">
        <v>584</v>
      </c>
      <c r="G160" t="s">
        <v>79</v>
      </c>
      <c r="H160" t="s">
        <v>95</v>
      </c>
      <c r="I160" t="s">
        <v>54</v>
      </c>
      <c r="J160" t="s">
        <v>55</v>
      </c>
      <c r="K160" t="s">
        <v>56</v>
      </c>
      <c r="L160" t="s">
        <v>41</v>
      </c>
      <c r="M160" t="s">
        <v>158</v>
      </c>
      <c r="N160" t="s">
        <v>585</v>
      </c>
      <c r="O160" t="s">
        <v>50</v>
      </c>
      <c r="P160">
        <v>1</v>
      </c>
      <c r="Q160">
        <v>4199.54</v>
      </c>
      <c r="R160">
        <v>0.05</v>
      </c>
      <c r="S160">
        <v>3989.56</v>
      </c>
      <c r="T160">
        <v>2381.38</v>
      </c>
      <c r="U160">
        <v>1608.18</v>
      </c>
      <c r="V160" t="s">
        <v>32</v>
      </c>
      <c r="W160" t="s">
        <v>33</v>
      </c>
      <c r="X160" t="str">
        <f>_xlfn.TEXTJOIN("|", TRUE, A160:W160)</f>
        <v>ORD-2024-10159|45544|45605|61|OK|CUST-2324|Neha Gupta|Home Office|South|Telangana|Hyderabad|Furniture|Bookcases|Max Bookcases 881|First Class|1|4199.54|0.05|3989.56|2381.38|1608.18|Paid|Completed</v>
      </c>
      <c r="Y160">
        <f>COUNTIF($X$2:$X$1000, X160)</f>
        <v>1</v>
      </c>
      <c r="Z160">
        <f>COUNTIF($A$2:$A$1000, A160)</f>
        <v>1</v>
      </c>
      <c r="AA160" t="str">
        <f>IF(Y160&gt;1, "Exact Duplicate",
  IF(Z160&gt;1, "Conflicting Duplicate - Review",
    "Unique"))</f>
        <v>Unique</v>
      </c>
      <c r="AB160" s="2">
        <f>IF(ISBLANK(R160), 0, IF(ISTEXT(R160), VALUE(SUBSTITUTE(R160, "%", ""))/100, IF(OR(R160&lt;0, R160&gt;1), "Invalid", R160)))</f>
        <v>0.05</v>
      </c>
      <c r="AC160" s="4">
        <f>IF(AB160="Invalid", "Error", P160 * Q160 * (1 - AB160))</f>
        <v>3989.5629999999996</v>
      </c>
      <c r="AD160" s="4">
        <f>IF(AC160="Error", "Error", AC160 - T160)</f>
        <v>1608.1829999999995</v>
      </c>
      <c r="AE160" s="2">
        <f>IF(AC160="Error", "Error", IF(AC160=0, 0, AD160 / AC160))</f>
        <v>0.40309753223598666</v>
      </c>
      <c r="AF160" s="7">
        <f>C160-B160</f>
        <v>61</v>
      </c>
      <c r="AG160" s="2" t="str">
        <f>TEXT(B160, "mmmm")</f>
        <v>September</v>
      </c>
      <c r="AH160" s="4">
        <f>YEAR(B160)</f>
        <v>2024</v>
      </c>
      <c r="AI160" s="2" t="str">
        <f t="shared" si="16"/>
        <v>Clean</v>
      </c>
      <c r="AJ160">
        <f>COUNTIFS($A$2:$A$1000,A160,$B$2:$B$1000,B160,$C$2:$C$1000,C160,$D$2:$D$1000,D160,$E$2:$E$1000,E160,$F$2:$F$1000,F160)</f>
        <v>1</v>
      </c>
      <c r="AK160">
        <f>COUNTIF($A$2:$A$1000, A160)</f>
        <v>1</v>
      </c>
    </row>
    <row r="161" spans="1:37">
      <c r="A161" t="s">
        <v>586</v>
      </c>
      <c r="B161" s="5">
        <v>45687</v>
      </c>
      <c r="C161" s="5">
        <v>45692</v>
      </c>
      <c r="D161" s="6">
        <f>IF(AND(C161&lt;&gt;"",B161&lt;&gt;""), C161-B161, "Missing Date")</f>
        <v>5</v>
      </c>
      <c r="E161" s="6" t="str">
        <f>IF(OR(B161="",C161=""), "Missing Date",
    IF(C161&lt;B161, "Invalid: Ship before Order",
      "OK"))</f>
        <v>OK</v>
      </c>
      <c r="F161" t="s">
        <v>587</v>
      </c>
      <c r="G161" t="s">
        <v>114</v>
      </c>
      <c r="H161" t="s">
        <v>90</v>
      </c>
      <c r="I161" t="s">
        <v>25</v>
      </c>
      <c r="J161" t="s">
        <v>236</v>
      </c>
      <c r="K161" t="s">
        <v>237</v>
      </c>
      <c r="L161" t="s">
        <v>41</v>
      </c>
      <c r="M161" t="s">
        <v>66</v>
      </c>
      <c r="N161" t="s">
        <v>588</v>
      </c>
      <c r="O161" t="s">
        <v>44</v>
      </c>
      <c r="P161">
        <v>9</v>
      </c>
      <c r="Q161">
        <v>4430.5</v>
      </c>
      <c r="R161">
        <v>0.15</v>
      </c>
      <c r="S161">
        <v>33893.32</v>
      </c>
      <c r="T161">
        <v>25750.35</v>
      </c>
      <c r="U161">
        <v>8142.97</v>
      </c>
      <c r="V161" t="s">
        <v>111</v>
      </c>
      <c r="W161" t="s">
        <v>68</v>
      </c>
      <c r="X161" t="str">
        <f>_xlfn.TEXTJOIN("|", TRUE, A161:W161)</f>
        <v>ORD-2025-10160|45687|45692|5|OK|CUST-7717|Priya Menon|Corporate|North|Haryana|Gurugram|Furniture|Chairs|Elite Chairs 998|Same Day|9|4430.5|0.15|33893.32|25750.35|8142.97|Pending|Cancelled</v>
      </c>
      <c r="Y161">
        <f>COUNTIF($X$2:$X$1000, X161)</f>
        <v>1</v>
      </c>
      <c r="Z161">
        <f>COUNTIF($A$2:$A$1000, A161)</f>
        <v>1</v>
      </c>
      <c r="AA161" t="str">
        <f>IF(Y161&gt;1, "Exact Duplicate",
  IF(Z161&gt;1, "Conflicting Duplicate - Review",
    "Unique"))</f>
        <v>Unique</v>
      </c>
      <c r="AB161" s="2">
        <f>IF(ISBLANK(R161), 0, IF(ISTEXT(R161), VALUE(SUBSTITUTE(R161, "%", ""))/100, IF(OR(R161&lt;0, R161&gt;1), "Invalid", R161)))</f>
        <v>0.15</v>
      </c>
      <c r="AC161" s="4">
        <f>IF(AB161="Invalid", "Error", P161 * Q161 * (1 - AB161))</f>
        <v>33893.324999999997</v>
      </c>
      <c r="AD161" s="4">
        <f>IF(AC161="Error", "Error", AC161 - T161)</f>
        <v>8142.9749999999985</v>
      </c>
      <c r="AE161" s="2">
        <f>IF(AC161="Error", "Error", IF(AC161=0, 0, AD161 / AC161))</f>
        <v>0.24025305867748292</v>
      </c>
      <c r="AF161" s="7">
        <f>C161-B161</f>
        <v>5</v>
      </c>
      <c r="AG161" s="2" t="str">
        <f>TEXT(B161, "mmmm")</f>
        <v>January</v>
      </c>
      <c r="AH161" s="4">
        <f>YEAR(B161)</f>
        <v>2025</v>
      </c>
      <c r="AI161" s="2" t="str">
        <f t="shared" si="16"/>
        <v>Excluded from Sales</v>
      </c>
      <c r="AJ161">
        <f>COUNTIFS($A$2:$A$1000,A161,$B$2:$B$1000,B161,$C$2:$C$1000,C161,$D$2:$D$1000,D161,$E$2:$E$1000,E161,$F$2:$F$1000,F161)</f>
        <v>1</v>
      </c>
      <c r="AK161">
        <f>COUNTIF($A$2:$A$1000, A161)</f>
        <v>1</v>
      </c>
    </row>
    <row r="162" spans="1:37">
      <c r="A162" t="s">
        <v>589</v>
      </c>
      <c r="B162" s="5">
        <v>45938</v>
      </c>
      <c r="C162" s="5">
        <v>45818</v>
      </c>
      <c r="D162" s="6">
        <f>IF(AND(C162&lt;&gt;"",B162&lt;&gt;""), C162-B162, "Missing Date")</f>
        <v>-120</v>
      </c>
      <c r="E162" s="6" t="str">
        <f>IF(OR(B162="",C162=""), "Missing Date",
    IF(C162&lt;B162, "Invalid: Ship before Order",
      "OK"))</f>
        <v>Invalid: Ship before Order</v>
      </c>
      <c r="F162" t="s">
        <v>590</v>
      </c>
      <c r="G162" t="s">
        <v>71</v>
      </c>
      <c r="H162" t="s">
        <v>37</v>
      </c>
      <c r="I162" t="s">
        <v>63</v>
      </c>
      <c r="J162" t="s">
        <v>64</v>
      </c>
      <c r="K162" t="s">
        <v>65</v>
      </c>
      <c r="L162" t="s">
        <v>28</v>
      </c>
      <c r="M162" t="s">
        <v>29</v>
      </c>
      <c r="N162" t="s">
        <v>591</v>
      </c>
      <c r="O162" t="s">
        <v>31</v>
      </c>
      <c r="P162">
        <v>4</v>
      </c>
      <c r="Q162">
        <v>1260.42</v>
      </c>
      <c r="R162">
        <v>0.05</v>
      </c>
      <c r="S162">
        <v>4789.6000000000004</v>
      </c>
      <c r="T162">
        <v>4037.64</v>
      </c>
      <c r="U162">
        <v>751.96</v>
      </c>
      <c r="V162" t="s">
        <v>111</v>
      </c>
      <c r="W162" t="s">
        <v>68</v>
      </c>
      <c r="X162" t="str">
        <f>_xlfn.TEXTJOIN("|", TRUE, A162:W162)</f>
        <v>ORD-2025-10161|45938|45818|-120|Invalid: Ship before Order|CUST-4932|Vikram Iyer|Small Business|West|Maharashtra|Mumbai|Office Supplies|Paper|Max Paper 113|Second Class|4|1260.42|0.05|4789.6|4037.64|751.96|Pending|Cancelled</v>
      </c>
      <c r="Y162">
        <f>COUNTIF($X$2:$X$1000, X162)</f>
        <v>1</v>
      </c>
      <c r="Z162">
        <f>COUNTIF($A$2:$A$1000, A162)</f>
        <v>1</v>
      </c>
      <c r="AA162" t="str">
        <f>IF(Y162&gt;1, "Exact Duplicate",
  IF(Z162&gt;1, "Conflicting Duplicate - Review",
    "Unique"))</f>
        <v>Unique</v>
      </c>
      <c r="AB162" s="2">
        <f>IF(ISBLANK(R162), 0, IF(ISTEXT(R162), VALUE(SUBSTITUTE(R162, "%", ""))/100, IF(OR(R162&lt;0, R162&gt;1), "Invalid", R162)))</f>
        <v>0.05</v>
      </c>
      <c r="AC162" s="4">
        <f>IF(AB162="Invalid", "Error", P162 * Q162 * (1 - AB162))</f>
        <v>4789.5960000000005</v>
      </c>
      <c r="AD162" s="4">
        <f>IF(AC162="Error", "Error", AC162 - T162)</f>
        <v>751.95600000000059</v>
      </c>
      <c r="AE162" s="2">
        <f>IF(AC162="Error", "Error", IF(AC162=0, 0, AD162 / AC162))</f>
        <v>0.1569977927157114</v>
      </c>
      <c r="AF162" s="7">
        <f>C162-B162</f>
        <v>-120</v>
      </c>
      <c r="AG162" s="2" t="str">
        <f>TEXT(B162, "mmmm")</f>
        <v>October</v>
      </c>
      <c r="AH162" s="4">
        <f>YEAR(B162)</f>
        <v>2025</v>
      </c>
      <c r="AI162" s="2" t="str">
        <f t="shared" si="16"/>
        <v>Excluded from Sales</v>
      </c>
      <c r="AJ162">
        <f>COUNTIFS($A$2:$A$1000,A162,$B$2:$B$1000,B162,$C$2:$C$1000,C162,$D$2:$D$1000,D162,$E$2:$E$1000,E162,$F$2:$F$1000,F162)</f>
        <v>1</v>
      </c>
      <c r="AK162">
        <f>COUNTIF($A$2:$A$1000, A162)</f>
        <v>1</v>
      </c>
    </row>
    <row r="163" spans="1:37">
      <c r="A163" t="s">
        <v>592</v>
      </c>
      <c r="B163" s="5">
        <v>45862</v>
      </c>
      <c r="C163" s="5">
        <v>45868</v>
      </c>
      <c r="D163" s="6">
        <f>IF(AND(C163&lt;&gt;"",B163&lt;&gt;""), C163-B163, "Missing Date")</f>
        <v>6</v>
      </c>
      <c r="E163" s="6" t="str">
        <f>IF(OR(B163="",C163=""), "Missing Date",
    IF(C163&lt;B163, "Invalid: Ship before Order",
      "OK"))</f>
        <v>OK</v>
      </c>
      <c r="F163" t="s">
        <v>593</v>
      </c>
      <c r="G163" t="s">
        <v>53</v>
      </c>
      <c r="H163" t="s">
        <v>24</v>
      </c>
      <c r="I163" t="s">
        <v>63</v>
      </c>
      <c r="J163" t="s">
        <v>26</v>
      </c>
      <c r="K163" t="s">
        <v>109</v>
      </c>
      <c r="L163" t="s">
        <v>28</v>
      </c>
      <c r="M163" t="s">
        <v>153</v>
      </c>
      <c r="N163" t="s">
        <v>594</v>
      </c>
      <c r="O163" t="s">
        <v>59</v>
      </c>
      <c r="P163">
        <v>1</v>
      </c>
      <c r="Q163">
        <v>1643.41</v>
      </c>
      <c r="R163">
        <v>0</v>
      </c>
      <c r="S163">
        <v>1643.41</v>
      </c>
      <c r="T163">
        <v>907.4</v>
      </c>
      <c r="U163">
        <v>736.01</v>
      </c>
      <c r="V163" t="s">
        <v>111</v>
      </c>
      <c r="W163" t="s">
        <v>68</v>
      </c>
      <c r="X163" t="str">
        <f>_xlfn.TEXTJOIN("|", TRUE, A163:W163)</f>
        <v>ORD-2025-10162|45862|45868|6|OK|CUST-2367|Arjun Bose|Consumer|West|Rajasthan|Udaipur|Office Supplies|Binders|Smart Binders 267|Standard Class|1|1643.41|0|1643.41|907.4|736.01|Pending|Cancelled</v>
      </c>
      <c r="Y163">
        <f>COUNTIF($X$2:$X$1000, X163)</f>
        <v>1</v>
      </c>
      <c r="Z163">
        <f>COUNTIF($A$2:$A$1000, A163)</f>
        <v>1</v>
      </c>
      <c r="AA163" t="str">
        <f>IF(Y163&gt;1, "Exact Duplicate",
  IF(Z163&gt;1, "Conflicting Duplicate - Review",
    "Unique"))</f>
        <v>Unique</v>
      </c>
      <c r="AB163" s="2">
        <f>IF(ISBLANK(R163), 0, IF(ISTEXT(R163), VALUE(SUBSTITUTE(R163, "%", ""))/100, IF(OR(R163&lt;0, R163&gt;1), "Invalid", R163)))</f>
        <v>0</v>
      </c>
      <c r="AC163" s="4">
        <f>IF(AB163="Invalid", "Error", P163 * Q163 * (1 - AB163))</f>
        <v>1643.41</v>
      </c>
      <c r="AD163" s="4">
        <f>IF(AC163="Error", "Error", AC163 - T163)</f>
        <v>736.0100000000001</v>
      </c>
      <c r="AE163" s="2">
        <f>IF(AC163="Error", "Error", IF(AC163=0, 0, AD163 / AC163))</f>
        <v>0.44785537388722235</v>
      </c>
      <c r="AF163" s="7">
        <f>C163-B163</f>
        <v>6</v>
      </c>
      <c r="AG163" s="2" t="str">
        <f>TEXT(B163, "mmmm")</f>
        <v>July</v>
      </c>
      <c r="AH163" s="4">
        <f>YEAR(B163)</f>
        <v>2025</v>
      </c>
      <c r="AI163" s="2" t="str">
        <f t="shared" si="16"/>
        <v>Excluded from Sales</v>
      </c>
      <c r="AJ163">
        <f>COUNTIFS($A$2:$A$1000,A163,$B$2:$B$1000,B163,$C$2:$C$1000,C163,$D$2:$D$1000,D163,$E$2:$E$1000,E163,$F$2:$F$1000,F163)</f>
        <v>1</v>
      </c>
      <c r="AK163">
        <f>COUNTIF($A$2:$A$1000, A163)</f>
        <v>1</v>
      </c>
    </row>
    <row r="164" spans="1:37">
      <c r="A164" t="s">
        <v>595</v>
      </c>
      <c r="B164" s="5">
        <v>45360</v>
      </c>
      <c r="C164" s="5">
        <v>45365</v>
      </c>
      <c r="D164" s="6">
        <f>IF(AND(C164&lt;&gt;"",B164&lt;&gt;""), C164-B164, "Missing Date")</f>
        <v>5</v>
      </c>
      <c r="E164" s="6" t="str">
        <f>IF(OR(B164="",C164=""), "Missing Date",
    IF(C164&lt;B164, "Invalid: Ship before Order",
      "OK"))</f>
        <v>OK</v>
      </c>
      <c r="F164" t="s">
        <v>596</v>
      </c>
      <c r="G164" t="s">
        <v>79</v>
      </c>
      <c r="H164" t="s">
        <v>37</v>
      </c>
      <c r="I164" t="s">
        <v>63</v>
      </c>
      <c r="J164" t="s">
        <v>190</v>
      </c>
      <c r="K164" t="s">
        <v>191</v>
      </c>
      <c r="L164" t="s">
        <v>41</v>
      </c>
      <c r="M164" t="s">
        <v>57</v>
      </c>
      <c r="N164" t="s">
        <v>597</v>
      </c>
      <c r="O164" t="s">
        <v>31</v>
      </c>
      <c r="P164">
        <v>8</v>
      </c>
      <c r="Q164">
        <v>4472.84</v>
      </c>
      <c r="R164">
        <v>0</v>
      </c>
      <c r="S164">
        <v>35997.620000000003</v>
      </c>
      <c r="T164">
        <v>26424.41</v>
      </c>
      <c r="U164">
        <v>9358.31</v>
      </c>
      <c r="V164" t="s">
        <v>111</v>
      </c>
      <c r="W164" t="s">
        <v>103</v>
      </c>
      <c r="X164" t="str">
        <f>_xlfn.TEXTJOIN("|", TRUE, A164:W164)</f>
        <v>ORD-2024-10163|45360|45365|5|OK|CUST-4830|Neha Gupta|Small Business|West|Goa|Panaji|Furniture|Furnishings|Pro Furnishings 108|Second Class|8|4472.84|0|35997.62|26424.41|9358.31|Pending|Returned</v>
      </c>
      <c r="Y164">
        <f>COUNTIF($X$2:$X$1000, X164)</f>
        <v>1</v>
      </c>
      <c r="Z164">
        <f>COUNTIF($A$2:$A$1000, A164)</f>
        <v>1</v>
      </c>
      <c r="AA164" t="str">
        <f>IF(Y164&gt;1, "Exact Duplicate",
  IF(Z164&gt;1, "Conflicting Duplicate - Review",
    "Unique"))</f>
        <v>Unique</v>
      </c>
      <c r="AB164" s="2">
        <f>IF(ISBLANK(R164), 0, IF(ISTEXT(R164), VALUE(SUBSTITUTE(R164, "%", ""))/100, IF(OR(R164&lt;0, R164&gt;1), "Invalid", R164)))</f>
        <v>0</v>
      </c>
      <c r="AC164" s="4">
        <f>IF(AB164="Invalid", "Error", P164 * Q164 * (1 - AB164))</f>
        <v>35782.720000000001</v>
      </c>
      <c r="AD164" s="4">
        <f>IF(AC164="Error", "Error", AC164 - T164)</f>
        <v>9358.3100000000013</v>
      </c>
      <c r="AE164" s="2">
        <f>IF(AC164="Error", "Error", IF(AC164=0, 0, AD164 / AC164))</f>
        <v>0.2615315437171909</v>
      </c>
      <c r="AF164" s="7">
        <f>C164-B164</f>
        <v>5</v>
      </c>
      <c r="AG164" s="2" t="str">
        <f>TEXT(B164, "mmmm")</f>
        <v>March</v>
      </c>
      <c r="AH164" s="4">
        <f>YEAR(B164)</f>
        <v>2024</v>
      </c>
      <c r="AI164" s="2" t="str">
        <f t="shared" si="16"/>
        <v>Clean</v>
      </c>
      <c r="AJ164">
        <f>COUNTIFS($A$2:$A$1000,A164,$B$2:$B$1000,B164,$C$2:$C$1000,C164,$D$2:$D$1000,D164,$E$2:$E$1000,E164,$F$2:$F$1000,F164)</f>
        <v>1</v>
      </c>
      <c r="AK164">
        <f>COUNTIF($A$2:$A$1000, A164)</f>
        <v>1</v>
      </c>
    </row>
    <row r="165" spans="1:37">
      <c r="A165" t="s">
        <v>598</v>
      </c>
      <c r="B165" s="5">
        <v>45921</v>
      </c>
      <c r="C165" s="5">
        <v>45926</v>
      </c>
      <c r="D165" s="6">
        <f>IF(AND(C165&lt;&gt;"",B165&lt;&gt;""), C165-B165, "Missing Date")</f>
        <v>5</v>
      </c>
      <c r="E165" s="6" t="str">
        <f>IF(OR(B165="",C165=""), "Missing Date",
    IF(C165&lt;B165, "Invalid: Ship before Order",
      "OK"))</f>
        <v>OK</v>
      </c>
      <c r="F165" t="s">
        <v>599</v>
      </c>
      <c r="G165" t="s">
        <v>141</v>
      </c>
      <c r="H165" t="s">
        <v>95</v>
      </c>
      <c r="I165" t="s">
        <v>63</v>
      </c>
      <c r="J165" t="s">
        <v>180</v>
      </c>
      <c r="K165" t="s">
        <v>181</v>
      </c>
      <c r="L165" t="s">
        <v>41</v>
      </c>
      <c r="M165" t="s">
        <v>42</v>
      </c>
      <c r="N165" t="s">
        <v>600</v>
      </c>
      <c r="O165" t="s">
        <v>2762</v>
      </c>
      <c r="P165">
        <v>6</v>
      </c>
      <c r="Q165">
        <v>2903.58</v>
      </c>
      <c r="R165">
        <v>0.1</v>
      </c>
      <c r="S165">
        <v>15679.33</v>
      </c>
      <c r="T165">
        <v>12477.82</v>
      </c>
      <c r="U165">
        <v>3201.51</v>
      </c>
      <c r="V165" t="s">
        <v>111</v>
      </c>
      <c r="W165" t="s">
        <v>103</v>
      </c>
      <c r="X165" t="str">
        <f>_xlfn.TEXTJOIN("|", TRUE, A165:W165)</f>
        <v>ORD-2025-10164|45921|45926|5|OK|CUST-2548|Rohan Mehta|Home Office|West|Gujarat|Ahmedabad|Furniture|Tables|Elite Tables 389|Unknown|6|2903.58|0.1|15679.33|12477.82|3201.51|Pending|Returned</v>
      </c>
      <c r="Y165">
        <f>COUNTIF($X$2:$X$1000, X165)</f>
        <v>1</v>
      </c>
      <c r="Z165">
        <f>COUNTIF($A$2:$A$1000, A165)</f>
        <v>1</v>
      </c>
      <c r="AA165" t="str">
        <f>IF(Y165&gt;1, "Exact Duplicate",
  IF(Z165&gt;1, "Conflicting Duplicate - Review",
    "Unique"))</f>
        <v>Unique</v>
      </c>
      <c r="AB165" s="2">
        <f>IF(ISBLANK(R165), 0, IF(ISTEXT(R165), VALUE(SUBSTITUTE(R165, "%", ""))/100, IF(OR(R165&lt;0, R165&gt;1), "Invalid", R165)))</f>
        <v>0.1</v>
      </c>
      <c r="AC165" s="4">
        <f>IF(AB165="Invalid", "Error", P165 * Q165 * (1 - AB165))</f>
        <v>15679.332</v>
      </c>
      <c r="AD165" s="4">
        <f>IF(AC165="Error", "Error", AC165 - T165)</f>
        <v>3201.5120000000006</v>
      </c>
      <c r="AE165" s="2">
        <f>IF(AC165="Error", "Error", IF(AC165=0, 0, AD165 / AC165))</f>
        <v>0.20418675999717339</v>
      </c>
      <c r="AF165" s="7">
        <f>C165-B165</f>
        <v>5</v>
      </c>
      <c r="AG165" s="2" t="str">
        <f>TEXT(B165, "mmmm")</f>
        <v>September</v>
      </c>
      <c r="AH165" s="4">
        <f>YEAR(B165)</f>
        <v>2025</v>
      </c>
      <c r="AI165" s="2" t="str">
        <f t="shared" si="16"/>
        <v>Warning: Missing Shipping Mode</v>
      </c>
      <c r="AJ165">
        <f>COUNTIFS($A$2:$A$1000,A165,$B$2:$B$1000,B165,$C$2:$C$1000,C165,$D$2:$D$1000,D165,$E$2:$E$1000,E165,$F$2:$F$1000,F165)</f>
        <v>1</v>
      </c>
      <c r="AK165">
        <f>COUNTIF($A$2:$A$1000, A165)</f>
        <v>1</v>
      </c>
    </row>
    <row r="166" spans="1:37">
      <c r="A166" t="s">
        <v>601</v>
      </c>
      <c r="B166" s="5">
        <v>45909</v>
      </c>
      <c r="C166" s="5">
        <v>45914</v>
      </c>
      <c r="D166" s="6">
        <f>IF(AND(C166&lt;&gt;"",B166&lt;&gt;""), C166-B166, "Missing Date")</f>
        <v>5</v>
      </c>
      <c r="E166" s="6" t="str">
        <f>IF(OR(B166="",C166=""), "Missing Date",
    IF(C166&lt;B166, "Invalid: Ship before Order",
      "OK"))</f>
        <v>OK</v>
      </c>
      <c r="F166" t="s">
        <v>602</v>
      </c>
      <c r="G166" t="s">
        <v>118</v>
      </c>
      <c r="H166" t="s">
        <v>37</v>
      </c>
      <c r="I166" t="s">
        <v>38</v>
      </c>
      <c r="J166" t="s">
        <v>99</v>
      </c>
      <c r="K166" t="s">
        <v>100</v>
      </c>
      <c r="L166" t="s">
        <v>41</v>
      </c>
      <c r="M166" t="s">
        <v>158</v>
      </c>
      <c r="N166" t="s">
        <v>603</v>
      </c>
      <c r="O166" t="s">
        <v>31</v>
      </c>
      <c r="P166">
        <v>1</v>
      </c>
      <c r="Q166">
        <v>3154.42</v>
      </c>
      <c r="R166">
        <v>0.25</v>
      </c>
      <c r="S166">
        <v>2365.8200000000002</v>
      </c>
      <c r="T166">
        <v>1547.99</v>
      </c>
      <c r="U166">
        <v>817.83</v>
      </c>
      <c r="V166" t="s">
        <v>32</v>
      </c>
      <c r="W166" t="s">
        <v>33</v>
      </c>
      <c r="X166" t="str">
        <f>_xlfn.TEXTJOIN("|", TRUE, A166:W166)</f>
        <v>ORD-2025-10165|45909|45914|5|OK|CUST-3833|Rahul Verma|Small Business|East|West Bengal|Kolkata|Furniture|Bookcases|Pro Bookcases 595|Second Class|1|3154.42|0.25|2365.82|1547.99|817.83|Paid|Completed</v>
      </c>
      <c r="Y166">
        <f>COUNTIF($X$2:$X$1000, X166)</f>
        <v>1</v>
      </c>
      <c r="Z166">
        <f>COUNTIF($A$2:$A$1000, A166)</f>
        <v>1</v>
      </c>
      <c r="AA166" t="str">
        <f>IF(Y166&gt;1, "Exact Duplicate",
  IF(Z166&gt;1, "Conflicting Duplicate - Review",
    "Unique"))</f>
        <v>Unique</v>
      </c>
      <c r="AB166" s="2">
        <f>IF(ISBLANK(R166), 0, IF(ISTEXT(R166), VALUE(SUBSTITUTE(R166, "%", ""))/100, IF(OR(R166&lt;0, R166&gt;1), "Invalid", R166)))</f>
        <v>0.25</v>
      </c>
      <c r="AC166" s="4">
        <f>IF(AB166="Invalid", "Error", P166 * Q166 * (1 - AB166))</f>
        <v>2365.8150000000001</v>
      </c>
      <c r="AD166" s="4">
        <f>IF(AC166="Error", "Error", AC166 - T166)</f>
        <v>817.82500000000005</v>
      </c>
      <c r="AE166" s="2">
        <f>IF(AC166="Error", "Error", IF(AC166=0, 0, AD166 / AC166))</f>
        <v>0.34568425679945392</v>
      </c>
      <c r="AF166" s="7">
        <f>C166-B166</f>
        <v>5</v>
      </c>
      <c r="AG166" s="2" t="str">
        <f>TEXT(B166, "mmmm")</f>
        <v>September</v>
      </c>
      <c r="AH166" s="4">
        <f>YEAR(B166)</f>
        <v>2025</v>
      </c>
      <c r="AI166" s="2" t="str">
        <f t="shared" si="16"/>
        <v>Clean</v>
      </c>
      <c r="AJ166">
        <f>COUNTIFS($A$2:$A$1000,A166,$B$2:$B$1000,B166,$C$2:$C$1000,C166,$D$2:$D$1000,D166,$E$2:$E$1000,E166,$F$2:$F$1000,F166)</f>
        <v>1</v>
      </c>
      <c r="AK166">
        <f>COUNTIF($A$2:$A$1000, A166)</f>
        <v>1</v>
      </c>
    </row>
    <row r="167" spans="1:37">
      <c r="A167" t="s">
        <v>604</v>
      </c>
      <c r="B167" s="5">
        <v>45618</v>
      </c>
      <c r="C167" s="5">
        <v>45625</v>
      </c>
      <c r="D167" s="6">
        <f>IF(AND(C167&lt;&gt;"",B167&lt;&gt;""), C167-B167, "Missing Date")</f>
        <v>7</v>
      </c>
      <c r="E167" s="6" t="str">
        <f>IF(OR(B167="",C167=""), "Missing Date",
    IF(C167&lt;B167, "Invalid: Ship before Order",
      "OK"))</f>
        <v>OK</v>
      </c>
      <c r="F167" t="s">
        <v>605</v>
      </c>
      <c r="G167" t="s">
        <v>36</v>
      </c>
      <c r="H167" t="s">
        <v>95</v>
      </c>
      <c r="I167" t="s">
        <v>38</v>
      </c>
      <c r="J167" t="s">
        <v>145</v>
      </c>
      <c r="K167" t="s">
        <v>146</v>
      </c>
      <c r="L167" t="s">
        <v>41</v>
      </c>
      <c r="M167" t="s">
        <v>66</v>
      </c>
      <c r="N167" t="s">
        <v>606</v>
      </c>
      <c r="O167" t="s">
        <v>59</v>
      </c>
      <c r="P167">
        <v>4</v>
      </c>
      <c r="Q167">
        <v>3422.99</v>
      </c>
      <c r="R167">
        <v>0.25</v>
      </c>
      <c r="S167">
        <v>10268.969999999999</v>
      </c>
      <c r="T167">
        <v>6470.92</v>
      </c>
      <c r="U167">
        <v>3798.05</v>
      </c>
      <c r="V167" t="s">
        <v>32</v>
      </c>
      <c r="W167" t="s">
        <v>33</v>
      </c>
      <c r="X167" t="str">
        <f>_xlfn.TEXTJOIN("|", TRUE, A167:W167)</f>
        <v>ORD-2024-10166|45618|45625|7|OK|CUST-4598|Mira Das|Home Office|East|Bihar|Patna|Furniture|Chairs|Max Chairs 148|Standard Class|4|3422.99|0.25|10268.97|6470.92|3798.05|Paid|Completed</v>
      </c>
      <c r="Y167">
        <f>COUNTIF($X$2:$X$1000, X167)</f>
        <v>1</v>
      </c>
      <c r="Z167">
        <f>COUNTIF($A$2:$A$1000, A167)</f>
        <v>1</v>
      </c>
      <c r="AA167" t="str">
        <f>IF(Y167&gt;1, "Exact Duplicate",
  IF(Z167&gt;1, "Conflicting Duplicate - Review",
    "Unique"))</f>
        <v>Unique</v>
      </c>
      <c r="AB167" s="2">
        <f>IF(ISBLANK(R167), 0, IF(ISTEXT(R167), VALUE(SUBSTITUTE(R167, "%", ""))/100, IF(OR(R167&lt;0, R167&gt;1), "Invalid", R167)))</f>
        <v>0.25</v>
      </c>
      <c r="AC167" s="4">
        <f>IF(AB167="Invalid", "Error", P167 * Q167 * (1 - AB167))</f>
        <v>10268.969999999999</v>
      </c>
      <c r="AD167" s="4">
        <f>IF(AC167="Error", "Error", AC167 - T167)</f>
        <v>3798.0499999999993</v>
      </c>
      <c r="AE167" s="2">
        <f>IF(AC167="Error", "Error", IF(AC167=0, 0, AD167 / AC167))</f>
        <v>0.36985695741637181</v>
      </c>
      <c r="AF167" s="7">
        <f>C167-B167</f>
        <v>7</v>
      </c>
      <c r="AG167" s="2" t="str">
        <f>TEXT(B167, "mmmm")</f>
        <v>November</v>
      </c>
      <c r="AH167" s="4">
        <f>YEAR(B167)</f>
        <v>2024</v>
      </c>
      <c r="AI167" s="2" t="str">
        <f t="shared" si="16"/>
        <v>Clean</v>
      </c>
      <c r="AJ167">
        <f>COUNTIFS($A$2:$A$1000,A167,$B$2:$B$1000,B167,$C$2:$C$1000,C167,$D$2:$D$1000,D167,$E$2:$E$1000,E167,$F$2:$F$1000,F167)</f>
        <v>1</v>
      </c>
      <c r="AK167">
        <f>COUNTIF($A$2:$A$1000, A167)</f>
        <v>1</v>
      </c>
    </row>
    <row r="168" spans="1:37">
      <c r="A168" t="s">
        <v>607</v>
      </c>
      <c r="B168" s="5">
        <v>45708</v>
      </c>
      <c r="C168" s="5">
        <v>45714</v>
      </c>
      <c r="D168" s="6">
        <f>IF(AND(C168&lt;&gt;"",B168&lt;&gt;""), C168-B168, "Missing Date")</f>
        <v>6</v>
      </c>
      <c r="E168" s="6" t="str">
        <f>IF(OR(B168="",C168=""), "Missing Date",
    IF(C168&lt;B168, "Invalid: Ship before Order",
      "OK"))</f>
        <v>OK</v>
      </c>
      <c r="F168" t="s">
        <v>608</v>
      </c>
      <c r="G168" t="s">
        <v>23</v>
      </c>
      <c r="H168" t="s">
        <v>37</v>
      </c>
      <c r="I168" t="s">
        <v>63</v>
      </c>
      <c r="J168" t="s">
        <v>180</v>
      </c>
      <c r="K168" t="s">
        <v>181</v>
      </c>
      <c r="L168" t="s">
        <v>28</v>
      </c>
      <c r="M168" t="s">
        <v>91</v>
      </c>
      <c r="N168" t="s">
        <v>609</v>
      </c>
      <c r="O168" t="s">
        <v>50</v>
      </c>
      <c r="P168">
        <v>1</v>
      </c>
      <c r="Q168">
        <v>2557.85</v>
      </c>
      <c r="R168">
        <v>0.2</v>
      </c>
      <c r="S168">
        <v>2046.28</v>
      </c>
      <c r="T168">
        <v>1449.54</v>
      </c>
      <c r="U168">
        <v>596.74</v>
      </c>
      <c r="V168" t="s">
        <v>32</v>
      </c>
      <c r="W168" t="s">
        <v>33</v>
      </c>
      <c r="X168" t="str">
        <f>_xlfn.TEXTJOIN("|", TRUE, A168:W168)</f>
        <v>ORD-2025-10167|45708|45714|6|OK|CUST-7215|Karan Malhotra|Small Business|West|Gujarat|Ahmedabad|Office Supplies|Labels|Basic Labels 671|First Class|1|2557.85|0.2|2046.28|1449.54|596.74|Paid|Completed</v>
      </c>
      <c r="Y168">
        <f>COUNTIF($X$2:$X$1000, X168)</f>
        <v>1</v>
      </c>
      <c r="Z168">
        <f>COUNTIF($A$2:$A$1000, A168)</f>
        <v>1</v>
      </c>
      <c r="AA168" t="str">
        <f>IF(Y168&gt;1, "Exact Duplicate",
  IF(Z168&gt;1, "Conflicting Duplicate - Review",
    "Unique"))</f>
        <v>Unique</v>
      </c>
      <c r="AB168" s="2">
        <f>IF(ISBLANK(R168), 0, IF(ISTEXT(R168), VALUE(SUBSTITUTE(R168, "%", ""))/100, IF(OR(R168&lt;0, R168&gt;1), "Invalid", R168)))</f>
        <v>0.2</v>
      </c>
      <c r="AC168" s="4">
        <f>IF(AB168="Invalid", "Error", P168 * Q168 * (1 - AB168))</f>
        <v>2046.28</v>
      </c>
      <c r="AD168" s="4">
        <f>IF(AC168="Error", "Error", AC168 - T168)</f>
        <v>596.74</v>
      </c>
      <c r="AE168" s="2">
        <f>IF(AC168="Error", "Error", IF(AC168=0, 0, AD168 / AC168))</f>
        <v>0.29162186992982386</v>
      </c>
      <c r="AF168" s="7">
        <f>C168-B168</f>
        <v>6</v>
      </c>
      <c r="AG168" s="2" t="str">
        <f>TEXT(B168, "mmmm")</f>
        <v>February</v>
      </c>
      <c r="AH168" s="4">
        <f>YEAR(B168)</f>
        <v>2025</v>
      </c>
      <c r="AI168" s="2" t="str">
        <f t="shared" si="16"/>
        <v>Clean</v>
      </c>
      <c r="AJ168">
        <f>COUNTIFS($A$2:$A$1000,A168,$B$2:$B$1000,B168,$C$2:$C$1000,C168,$D$2:$D$1000,D168,$E$2:$E$1000,E168,$F$2:$F$1000,F168)</f>
        <v>1</v>
      </c>
      <c r="AK168">
        <f>COUNTIF($A$2:$A$1000, A168)</f>
        <v>1</v>
      </c>
    </row>
    <row r="169" spans="1:37">
      <c r="A169" t="s">
        <v>610</v>
      </c>
      <c r="B169" s="5">
        <v>45887</v>
      </c>
      <c r="C169" s="5">
        <v>45887</v>
      </c>
      <c r="D169" s="6">
        <f>IF(AND(C169&lt;&gt;"",B169&lt;&gt;""), C169-B169, "Missing Date")</f>
        <v>0</v>
      </c>
      <c r="E169" s="6" t="str">
        <f>IF(OR(B169="",C169=""), "Missing Date",
    IF(C169&lt;B169, "Invalid: Ship before Order",
      "OK"))</f>
        <v>OK</v>
      </c>
      <c r="F169" t="s">
        <v>611</v>
      </c>
      <c r="G169" t="s">
        <v>53</v>
      </c>
      <c r="H169" t="s">
        <v>95</v>
      </c>
      <c r="I169" t="s">
        <v>54</v>
      </c>
      <c r="J169" t="s">
        <v>175</v>
      </c>
      <c r="K169" t="s">
        <v>176</v>
      </c>
      <c r="L169" t="s">
        <v>28</v>
      </c>
      <c r="M169" t="s">
        <v>124</v>
      </c>
      <c r="N169" t="s">
        <v>612</v>
      </c>
      <c r="O169" t="s">
        <v>50</v>
      </c>
      <c r="P169">
        <v>9</v>
      </c>
      <c r="Q169">
        <v>3030.93</v>
      </c>
      <c r="R169">
        <v>0.15</v>
      </c>
      <c r="S169">
        <v>23186.61</v>
      </c>
      <c r="T169">
        <v>17906.54</v>
      </c>
      <c r="U169">
        <v>5280.07</v>
      </c>
      <c r="V169" t="s">
        <v>32</v>
      </c>
      <c r="W169" t="s">
        <v>103</v>
      </c>
      <c r="X169" t="str">
        <f>_xlfn.TEXTJOIN("|", TRUE, A169:W169)</f>
        <v>ORD-2025-10168|45887|45887|0|OK|CUST-7770|Arjun Bose|Home Office|South|Karnataka|Bengaluru|Office Supplies|Storage|Elite Storage 628|First Class|9|3030.93|0.15|23186.61|17906.54|5280.07|Paid|Returned</v>
      </c>
      <c r="Y169">
        <f>COUNTIF($X$2:$X$1000, X169)</f>
        <v>1</v>
      </c>
      <c r="Z169">
        <f>COUNTIF($A$2:$A$1000, A169)</f>
        <v>1</v>
      </c>
      <c r="AA169" t="str">
        <f>IF(Y169&gt;1, "Exact Duplicate",
  IF(Z169&gt;1, "Conflicting Duplicate - Review",
    "Unique"))</f>
        <v>Unique</v>
      </c>
      <c r="AB169" s="2">
        <f>IF(ISBLANK(R169), 0, IF(ISTEXT(R169), VALUE(SUBSTITUTE(R169, "%", ""))/100, IF(OR(R169&lt;0, R169&gt;1), "Invalid", R169)))</f>
        <v>0.15</v>
      </c>
      <c r="AC169" s="4">
        <f>IF(AB169="Invalid", "Error", P169 * Q169 * (1 - AB169))</f>
        <v>23186.6145</v>
      </c>
      <c r="AD169" s="4">
        <f>IF(AC169="Error", "Error", AC169 - T169)</f>
        <v>5280.0744999999988</v>
      </c>
      <c r="AE169" s="2">
        <f>IF(AC169="Error", "Error", IF(AC169=0, 0, AD169 / AC169))</f>
        <v>0.22772080417345961</v>
      </c>
      <c r="AF169" s="7">
        <f>C169-B169</f>
        <v>0</v>
      </c>
      <c r="AG169" s="2" t="str">
        <f>TEXT(B169, "mmmm")</f>
        <v>August</v>
      </c>
      <c r="AH169" s="4">
        <f>YEAR(B169)</f>
        <v>2025</v>
      </c>
      <c r="AI169" s="2" t="str">
        <f t="shared" si="16"/>
        <v>Clean</v>
      </c>
      <c r="AJ169">
        <f>COUNTIFS($A$2:$A$1000,A169,$B$2:$B$1000,B169,$C$2:$C$1000,C169,$D$2:$D$1000,D169,$E$2:$E$1000,E169,$F$2:$F$1000,F169)</f>
        <v>1</v>
      </c>
      <c r="AK169">
        <f>COUNTIF($A$2:$A$1000, A169)</f>
        <v>1</v>
      </c>
    </row>
    <row r="170" spans="1:37">
      <c r="A170" t="s">
        <v>613</v>
      </c>
      <c r="B170" s="5">
        <v>45677</v>
      </c>
      <c r="C170" s="5">
        <v>45680</v>
      </c>
      <c r="D170" s="6">
        <f>IF(AND(C170&lt;&gt;"",B170&lt;&gt;""), C170-B170, "Missing Date")</f>
        <v>3</v>
      </c>
      <c r="E170" s="6" t="str">
        <f>IF(OR(B170="",C170=""), "Missing Date",
    IF(C170&lt;B170, "Invalid: Ship before Order",
      "OK"))</f>
        <v>OK</v>
      </c>
      <c r="F170" t="s">
        <v>614</v>
      </c>
      <c r="G170" t="s">
        <v>264</v>
      </c>
      <c r="H170" t="s">
        <v>24</v>
      </c>
      <c r="I170" t="s">
        <v>63</v>
      </c>
      <c r="J170" t="s">
        <v>64</v>
      </c>
      <c r="K170" t="s">
        <v>65</v>
      </c>
      <c r="L170" t="s">
        <v>74</v>
      </c>
      <c r="M170" t="s">
        <v>75</v>
      </c>
      <c r="N170" t="s">
        <v>615</v>
      </c>
      <c r="O170" t="s">
        <v>44</v>
      </c>
      <c r="P170">
        <v>5</v>
      </c>
      <c r="Q170">
        <v>639.27</v>
      </c>
      <c r="R170">
        <v>0.2</v>
      </c>
      <c r="S170">
        <v>2557.08</v>
      </c>
      <c r="T170">
        <v>2025.69</v>
      </c>
      <c r="U170">
        <v>531.39</v>
      </c>
      <c r="V170" t="s">
        <v>32</v>
      </c>
      <c r="W170" t="s">
        <v>68</v>
      </c>
      <c r="X170" t="str">
        <f>_xlfn.TEXTJOIN("|", TRUE, A170:W170)</f>
        <v>ORD-2025-10169|45677|45680|3|OK|CUST-9756|Kabir Singh|Consumer|West|Maharashtra|Mumbai|Technology|Accessories|Eco Accessories 590|Same Day|5|639.27|0.2|2557.08|2025.69|531.39|Paid|Cancelled</v>
      </c>
      <c r="Y170">
        <f>COUNTIF($X$2:$X$1000, X170)</f>
        <v>1</v>
      </c>
      <c r="Z170">
        <f>COUNTIF($A$2:$A$1000, A170)</f>
        <v>1</v>
      </c>
      <c r="AA170" t="str">
        <f>IF(Y170&gt;1, "Exact Duplicate",
  IF(Z170&gt;1, "Conflicting Duplicate - Review",
    "Unique"))</f>
        <v>Unique</v>
      </c>
      <c r="AB170" s="2">
        <f>IF(ISBLANK(R170), 0, IF(ISTEXT(R170), VALUE(SUBSTITUTE(R170, "%", ""))/100, IF(OR(R170&lt;0, R170&gt;1), "Invalid", R170)))</f>
        <v>0.2</v>
      </c>
      <c r="AC170" s="4">
        <f>IF(AB170="Invalid", "Error", P170 * Q170 * (1 - AB170))</f>
        <v>2557.08</v>
      </c>
      <c r="AD170" s="4">
        <f>IF(AC170="Error", "Error", AC170 - T170)</f>
        <v>531.38999999999987</v>
      </c>
      <c r="AE170" s="2">
        <f>IF(AC170="Error", "Error", IF(AC170=0, 0, AD170 / AC170))</f>
        <v>0.2078112534609789</v>
      </c>
      <c r="AF170" s="7">
        <f>C170-B170</f>
        <v>3</v>
      </c>
      <c r="AG170" s="2" t="str">
        <f>TEXT(B170, "mmmm")</f>
        <v>January</v>
      </c>
      <c r="AH170" s="4">
        <f>YEAR(B170)</f>
        <v>2025</v>
      </c>
      <c r="AI170" s="2" t="str">
        <f t="shared" si="16"/>
        <v>Excluded from Sales</v>
      </c>
      <c r="AJ170">
        <f>COUNTIFS($A$2:$A$1000,A170,$B$2:$B$1000,B170,$C$2:$C$1000,C170,$D$2:$D$1000,D170,$E$2:$E$1000,E170,$F$2:$F$1000,F170)</f>
        <v>1</v>
      </c>
      <c r="AK170">
        <f>COUNTIF($A$2:$A$1000, A170)</f>
        <v>1</v>
      </c>
    </row>
    <row r="171" spans="1:37">
      <c r="A171" t="s">
        <v>616</v>
      </c>
      <c r="B171" s="5">
        <v>45913</v>
      </c>
      <c r="C171" s="5">
        <v>45913</v>
      </c>
      <c r="D171" s="6">
        <f>IF(AND(C171&lt;&gt;"",B171&lt;&gt;""), C171-B171, "Missing Date")</f>
        <v>0</v>
      </c>
      <c r="E171" s="6" t="str">
        <f>IF(OR(B171="",C171=""), "Missing Date",
    IF(C171&lt;B171, "Invalid: Ship before Order",
      "OK"))</f>
        <v>OK</v>
      </c>
      <c r="F171" t="s">
        <v>617</v>
      </c>
      <c r="G171" t="s">
        <v>162</v>
      </c>
      <c r="H171" t="s">
        <v>24</v>
      </c>
      <c r="I171" t="s">
        <v>38</v>
      </c>
      <c r="J171" t="s">
        <v>166</v>
      </c>
      <c r="K171" t="s">
        <v>167</v>
      </c>
      <c r="L171" t="s">
        <v>28</v>
      </c>
      <c r="M171" t="s">
        <v>48</v>
      </c>
      <c r="N171" t="s">
        <v>618</v>
      </c>
      <c r="O171" t="s">
        <v>59</v>
      </c>
      <c r="P171">
        <v>8</v>
      </c>
      <c r="Q171">
        <v>733.9</v>
      </c>
      <c r="R171">
        <v>0.05</v>
      </c>
      <c r="S171">
        <v>5577.64</v>
      </c>
      <c r="T171">
        <v>3541.29</v>
      </c>
      <c r="U171">
        <v>2036.35</v>
      </c>
      <c r="V171" t="s">
        <v>111</v>
      </c>
      <c r="W171" t="s">
        <v>103</v>
      </c>
      <c r="X171" t="str">
        <f>_xlfn.TEXTJOIN("|", TRUE, A171:W171)</f>
        <v>ORD-2025-10170|45913|45913|0|OK|CUST-2261|Diya Patel|Consumer|East|Assam|Guwahati|Office Supplies|Art|Pro Art 734|Standard Class|8|733.9|0.05|5577.64|3541.29|2036.35|Pending|Returned</v>
      </c>
      <c r="Y171">
        <f>COUNTIF($X$2:$X$1000, X171)</f>
        <v>1</v>
      </c>
      <c r="Z171">
        <f>COUNTIF($A$2:$A$1000, A171)</f>
        <v>1</v>
      </c>
      <c r="AA171" t="str">
        <f>IF(Y171&gt;1, "Exact Duplicate",
  IF(Z171&gt;1, "Conflicting Duplicate - Review",
    "Unique"))</f>
        <v>Unique</v>
      </c>
      <c r="AB171" s="2">
        <f>IF(ISBLANK(R171), 0, IF(ISTEXT(R171), VALUE(SUBSTITUTE(R171, "%", ""))/100, IF(OR(R171&lt;0, R171&gt;1), "Invalid", R171)))</f>
        <v>0.05</v>
      </c>
      <c r="AC171" s="4">
        <f>IF(AB171="Invalid", "Error", P171 * Q171 * (1 - AB171))</f>
        <v>5577.6399999999994</v>
      </c>
      <c r="AD171" s="4">
        <f>IF(AC171="Error", "Error", AC171 - T171)</f>
        <v>2036.3499999999995</v>
      </c>
      <c r="AE171" s="2">
        <f>IF(AC171="Error", "Error", IF(AC171=0, 0, AD171 / AC171))</f>
        <v>0.36509168752375548</v>
      </c>
      <c r="AF171" s="7">
        <f>C171-B171</f>
        <v>0</v>
      </c>
      <c r="AG171" s="2" t="str">
        <f>TEXT(B171, "mmmm")</f>
        <v>September</v>
      </c>
      <c r="AH171" s="4">
        <f>YEAR(B171)</f>
        <v>2025</v>
      </c>
      <c r="AI171" s="2" t="str">
        <f t="shared" si="16"/>
        <v>Clean</v>
      </c>
      <c r="AJ171">
        <f>COUNTIFS($A$2:$A$1000,A171,$B$2:$B$1000,B171,$C$2:$C$1000,C171,$D$2:$D$1000,D171,$E$2:$E$1000,E171,$F$2:$F$1000,F171)</f>
        <v>1</v>
      </c>
      <c r="AK171">
        <f>COUNTIF($A$2:$A$1000, A171)</f>
        <v>1</v>
      </c>
    </row>
    <row r="172" spans="1:37">
      <c r="A172" t="s">
        <v>619</v>
      </c>
      <c r="B172" s="5">
        <v>45907</v>
      </c>
      <c r="C172" s="5">
        <v>45915</v>
      </c>
      <c r="D172" s="6">
        <f>IF(AND(C172&lt;&gt;"",B172&lt;&gt;""), C172-B172, "Missing Date")</f>
        <v>8</v>
      </c>
      <c r="E172" s="6" t="str">
        <f>IF(OR(B172="",C172=""), "Missing Date",
    IF(C172&lt;B172, "Invalid: Ship before Order",
      "OK"))</f>
        <v>OK</v>
      </c>
      <c r="F172" t="s">
        <v>620</v>
      </c>
      <c r="G172" t="s">
        <v>141</v>
      </c>
      <c r="H172" t="s">
        <v>90</v>
      </c>
      <c r="I172" t="s">
        <v>38</v>
      </c>
      <c r="J172" t="s">
        <v>145</v>
      </c>
      <c r="K172" t="s">
        <v>146</v>
      </c>
      <c r="L172" t="s">
        <v>74</v>
      </c>
      <c r="M172" t="s">
        <v>80</v>
      </c>
      <c r="N172" t="s">
        <v>621</v>
      </c>
      <c r="O172" t="s">
        <v>59</v>
      </c>
      <c r="P172">
        <v>3</v>
      </c>
      <c r="Q172">
        <v>1711.32</v>
      </c>
      <c r="R172">
        <v>0</v>
      </c>
      <c r="S172">
        <v>5133.96</v>
      </c>
      <c r="T172">
        <v>3930</v>
      </c>
      <c r="U172">
        <v>1203.96</v>
      </c>
      <c r="V172" t="s">
        <v>32</v>
      </c>
      <c r="W172" t="s">
        <v>33</v>
      </c>
      <c r="X172" t="str">
        <f>_xlfn.TEXTJOIN("|", TRUE, A172:W172)</f>
        <v>ORD-2025-10171|45907|45915|8|OK|CUST-3734|Rohan Mehta|Corporate|East|Bihar|Patna|Technology|Copiers|Eco Copiers 102|Standard Class|3|1711.32|0|5133.96|3930|1203.96|Paid|Completed</v>
      </c>
      <c r="Y172">
        <f>COUNTIF($X$2:$X$1000, X172)</f>
        <v>1</v>
      </c>
      <c r="Z172">
        <f>COUNTIF($A$2:$A$1000, A172)</f>
        <v>2</v>
      </c>
      <c r="AA172" t="str">
        <f>IF(Y172&gt;1, "Exact Duplicate",
  IF(Z172&gt;1, "Conflicting Duplicate - Review",
    "Unique"))</f>
        <v>Conflicting Duplicate - Review</v>
      </c>
      <c r="AB172" s="2">
        <f>IF(ISBLANK(R172), 0, IF(ISTEXT(R172), VALUE(SUBSTITUTE(R172, "%", ""))/100, IF(OR(R172&lt;0, R172&gt;1), "Invalid", R172)))</f>
        <v>0</v>
      </c>
      <c r="AC172" s="4">
        <f>IF(AB172="Invalid", "Error", P172 * Q172 * (1 - AB172))</f>
        <v>5133.96</v>
      </c>
      <c r="AD172" s="4">
        <f>IF(AC172="Error", "Error", AC172 - T172)</f>
        <v>1203.96</v>
      </c>
      <c r="AE172" s="2">
        <f>IF(AC172="Error", "Error", IF(AC172=0, 0, AD172 / AC172))</f>
        <v>0.23450903396208775</v>
      </c>
      <c r="AF172" s="7">
        <f>C172-B172</f>
        <v>8</v>
      </c>
      <c r="AG172" s="2" t="str">
        <f>TEXT(B172, "mmmm")</f>
        <v>September</v>
      </c>
      <c r="AH172" s="4">
        <f>YEAR(B172)</f>
        <v>2025</v>
      </c>
      <c r="AI172" s="2" t="str">
        <f t="shared" si="16"/>
        <v>Clean</v>
      </c>
      <c r="AJ172">
        <f>COUNTIFS($A$2:$A$1000,A172,$B$2:$B$1000,B172,$C$2:$C$1000,C172,$D$2:$D$1000,D172,$E$2:$E$1000,E172,$F$2:$F$1000,F172)</f>
        <v>2</v>
      </c>
      <c r="AK172">
        <f>COUNTIF($A$2:$A$1000, A172)</f>
        <v>2</v>
      </c>
    </row>
    <row r="173" spans="1:37">
      <c r="A173" t="s">
        <v>622</v>
      </c>
      <c r="B173" s="5">
        <v>45711</v>
      </c>
      <c r="C173" s="5">
        <v>45713</v>
      </c>
      <c r="D173" s="6">
        <f>IF(AND(C173&lt;&gt;"",B173&lt;&gt;""), C173-B173, "Missing Date")</f>
        <v>2</v>
      </c>
      <c r="E173" s="6" t="str">
        <f>IF(OR(B173="",C173=""), "Missing Date",
    IF(C173&lt;B173, "Invalid: Ship before Order",
      "OK"))</f>
        <v>OK</v>
      </c>
      <c r="F173" t="s">
        <v>623</v>
      </c>
      <c r="G173" t="s">
        <v>23</v>
      </c>
      <c r="H173" t="s">
        <v>90</v>
      </c>
      <c r="I173" t="s">
        <v>38</v>
      </c>
      <c r="J173" t="s">
        <v>145</v>
      </c>
      <c r="K173" t="s">
        <v>146</v>
      </c>
      <c r="L173" t="s">
        <v>28</v>
      </c>
      <c r="M173" t="s">
        <v>91</v>
      </c>
      <c r="N173" t="s">
        <v>624</v>
      </c>
      <c r="O173" t="s">
        <v>44</v>
      </c>
      <c r="P173">
        <v>5</v>
      </c>
      <c r="Q173">
        <v>4246.2700000000004</v>
      </c>
      <c r="R173">
        <v>0.25</v>
      </c>
      <c r="S173">
        <v>15923.51</v>
      </c>
      <c r="T173">
        <v>11291.8</v>
      </c>
      <c r="U173">
        <v>4631.71</v>
      </c>
      <c r="V173" t="s">
        <v>32</v>
      </c>
      <c r="W173" t="s">
        <v>33</v>
      </c>
      <c r="X173" t="str">
        <f>_xlfn.TEXTJOIN("|", TRUE, A173:W173)</f>
        <v>ORD-2025-10172|45711|45713|2|OK|CUST-3436|Karan Malhotra|Corporate|East|Bihar|Patna|Office Supplies|Labels|Basic Labels 876|Same Day|5|4246.27|0.25|15923.51|11291.8|4631.71|Paid|Completed</v>
      </c>
      <c r="Y173">
        <f>COUNTIF($X$2:$X$1000, X173)</f>
        <v>1</v>
      </c>
      <c r="Z173">
        <f>COUNTIF($A$2:$A$1000, A173)</f>
        <v>1</v>
      </c>
      <c r="AA173" t="str">
        <f>IF(Y173&gt;1, "Exact Duplicate",
  IF(Z173&gt;1, "Conflicting Duplicate - Review",
    "Unique"))</f>
        <v>Unique</v>
      </c>
      <c r="AB173" s="2">
        <f>IF(ISBLANK(R173), 0, IF(ISTEXT(R173), VALUE(SUBSTITUTE(R173, "%", ""))/100, IF(OR(R173&lt;0, R173&gt;1), "Invalid", R173)))</f>
        <v>0.25</v>
      </c>
      <c r="AC173" s="4">
        <f>IF(AB173="Invalid", "Error", P173 * Q173 * (1 - AB173))</f>
        <v>15923.512500000001</v>
      </c>
      <c r="AD173" s="4">
        <f>IF(AC173="Error", "Error", AC173 - T173)</f>
        <v>4631.7125000000015</v>
      </c>
      <c r="AE173" s="2">
        <f>IF(AC173="Error", "Error", IF(AC173=0, 0, AD173 / AC173))</f>
        <v>0.29087253832971849</v>
      </c>
      <c r="AF173" s="7">
        <f>C173-B173</f>
        <v>2</v>
      </c>
      <c r="AG173" s="2" t="str">
        <f>TEXT(B173, "mmmm")</f>
        <v>February</v>
      </c>
      <c r="AH173" s="4">
        <f>YEAR(B173)</f>
        <v>2025</v>
      </c>
      <c r="AI173" s="2" t="str">
        <f t="shared" si="16"/>
        <v>Clean</v>
      </c>
      <c r="AJ173">
        <f>COUNTIFS($A$2:$A$1000,A173,$B$2:$B$1000,B173,$C$2:$C$1000,C173,$D$2:$D$1000,D173,$E$2:$E$1000,E173,$F$2:$F$1000,F173)</f>
        <v>1</v>
      </c>
      <c r="AK173">
        <f>COUNTIF($A$2:$A$1000, A173)</f>
        <v>1</v>
      </c>
    </row>
    <row r="174" spans="1:37">
      <c r="A174" t="s">
        <v>625</v>
      </c>
      <c r="B174" s="5">
        <v>45871</v>
      </c>
      <c r="C174" s="5">
        <v>45879</v>
      </c>
      <c r="D174" s="6">
        <f>IF(AND(C174&lt;&gt;"",B174&lt;&gt;""), C174-B174, "Missing Date")</f>
        <v>8</v>
      </c>
      <c r="E174" s="6" t="str">
        <f>IF(OR(B174="",C174=""), "Missing Date",
    IF(C174&lt;B174, "Invalid: Ship before Order",
      "OK"))</f>
        <v>OK</v>
      </c>
      <c r="F174" t="s">
        <v>626</v>
      </c>
      <c r="G174" t="s">
        <v>23</v>
      </c>
      <c r="H174" t="s">
        <v>90</v>
      </c>
      <c r="I174" t="s">
        <v>25</v>
      </c>
      <c r="J174" t="s">
        <v>350</v>
      </c>
      <c r="K174" t="s">
        <v>351</v>
      </c>
      <c r="L174" t="s">
        <v>41</v>
      </c>
      <c r="M174" t="s">
        <v>57</v>
      </c>
      <c r="N174" t="s">
        <v>627</v>
      </c>
      <c r="O174" t="s">
        <v>44</v>
      </c>
      <c r="P174">
        <v>9</v>
      </c>
      <c r="Q174">
        <v>2962.62</v>
      </c>
      <c r="R174">
        <v>0.1</v>
      </c>
      <c r="S174">
        <v>23997.22</v>
      </c>
      <c r="T174">
        <v>16134.63</v>
      </c>
      <c r="U174">
        <v>7862.59</v>
      </c>
      <c r="V174" t="s">
        <v>102</v>
      </c>
      <c r="W174" t="s">
        <v>103</v>
      </c>
      <c r="X174" t="str">
        <f>_xlfn.TEXTJOIN("|", TRUE, A174:W174)</f>
        <v>ORD-2025-10173|45871|45879|8|OK|CUST-4845|Karan Malhotra|Corporate|North|Delhi|New Delhi|Furniture|Furnishings|Prime Furnishings 381|Same Day|9|2962.62|0.1|23997.22|16134.63|7862.59|Refunded|Returned</v>
      </c>
      <c r="Y174">
        <f>COUNTIF($X$2:$X$1000, X174)</f>
        <v>1</v>
      </c>
      <c r="Z174">
        <f>COUNTIF($A$2:$A$1000, A174)</f>
        <v>1</v>
      </c>
      <c r="AA174" t="str">
        <f>IF(Y174&gt;1, "Exact Duplicate",
  IF(Z174&gt;1, "Conflicting Duplicate - Review",
    "Unique"))</f>
        <v>Unique</v>
      </c>
      <c r="AB174" s="2">
        <f>IF(ISBLANK(R174), 0, IF(ISTEXT(R174), VALUE(SUBSTITUTE(R174, "%", ""))/100, IF(OR(R174&lt;0, R174&gt;1), "Invalid", R174)))</f>
        <v>0.1</v>
      </c>
      <c r="AC174" s="4">
        <f>IF(AB174="Invalid", "Error", P174 * Q174 * (1 - AB174))</f>
        <v>23997.221999999998</v>
      </c>
      <c r="AD174" s="4">
        <f>IF(AC174="Error", "Error", AC174 - T174)</f>
        <v>7862.5919999999987</v>
      </c>
      <c r="AE174" s="2">
        <f>IF(AC174="Error", "Error", IF(AC174=0, 0, AD174 / AC174))</f>
        <v>0.32764592501582057</v>
      </c>
      <c r="AF174" s="7">
        <f>C174-B174</f>
        <v>8</v>
      </c>
      <c r="AG174" s="2" t="str">
        <f>TEXT(B174, "mmmm")</f>
        <v>August</v>
      </c>
      <c r="AH174" s="4">
        <f>YEAR(B174)</f>
        <v>2025</v>
      </c>
      <c r="AI174" s="2" t="str">
        <f t="shared" si="16"/>
        <v>Clean</v>
      </c>
      <c r="AJ174">
        <f>COUNTIFS($A$2:$A$1000,A174,$B$2:$B$1000,B174,$C$2:$C$1000,C174,$D$2:$D$1000,D174,$E$2:$E$1000,E174,$F$2:$F$1000,F174)</f>
        <v>1</v>
      </c>
      <c r="AK174">
        <f>COUNTIF($A$2:$A$1000, A174)</f>
        <v>1</v>
      </c>
    </row>
    <row r="175" spans="1:37">
      <c r="A175" t="s">
        <v>628</v>
      </c>
      <c r="B175" s="5">
        <v>45414</v>
      </c>
      <c r="C175" s="5">
        <v>45420</v>
      </c>
      <c r="D175" s="6">
        <f>IF(AND(C175&lt;&gt;"",B175&lt;&gt;""), C175-B175, "Missing Date")</f>
        <v>6</v>
      </c>
      <c r="E175" s="6" t="str">
        <f>IF(OR(B175="",C175=""), "Missing Date",
    IF(C175&lt;B175, "Invalid: Ship before Order",
      "OK"))</f>
        <v>OK</v>
      </c>
      <c r="F175" t="s">
        <v>629</v>
      </c>
      <c r="G175" t="s">
        <v>114</v>
      </c>
      <c r="H175" t="s">
        <v>95</v>
      </c>
      <c r="I175" t="s">
        <v>25</v>
      </c>
      <c r="J175" t="s">
        <v>122</v>
      </c>
      <c r="K175" t="s">
        <v>123</v>
      </c>
      <c r="L175" t="s">
        <v>74</v>
      </c>
      <c r="M175" t="s">
        <v>80</v>
      </c>
      <c r="N175" t="s">
        <v>630</v>
      </c>
      <c r="O175" t="s">
        <v>31</v>
      </c>
      <c r="P175">
        <v>1</v>
      </c>
      <c r="Q175">
        <v>2312.25</v>
      </c>
      <c r="R175">
        <v>0.25</v>
      </c>
      <c r="S175">
        <v>1734.19</v>
      </c>
      <c r="T175">
        <v>1386.07</v>
      </c>
      <c r="U175">
        <v>348.12</v>
      </c>
      <c r="V175" t="s">
        <v>32</v>
      </c>
      <c r="W175" t="s">
        <v>33</v>
      </c>
      <c r="X175" t="str">
        <f>_xlfn.TEXTJOIN("|", TRUE, A175:W175)</f>
        <v>ORD-2024-10174|45414|45420|6|OK|CUST-6153|Priya Menon|Home Office|North|Punjab|Ludhiana|Technology|Copiers|Prime Copiers 440|Second Class|1|2312.25|0.25|1734.19|1386.07|348.12|Paid|Completed</v>
      </c>
      <c r="Y175">
        <f>COUNTIF($X$2:$X$1000, X175)</f>
        <v>1</v>
      </c>
      <c r="Z175">
        <f>COUNTIF($A$2:$A$1000, A175)</f>
        <v>1</v>
      </c>
      <c r="AA175" t="str">
        <f>IF(Y175&gt;1, "Exact Duplicate",
  IF(Z175&gt;1, "Conflicting Duplicate - Review",
    "Unique"))</f>
        <v>Unique</v>
      </c>
      <c r="AB175" s="2">
        <f>IF(ISBLANK(R175), 0, IF(ISTEXT(R175), VALUE(SUBSTITUTE(R175, "%", ""))/100, IF(OR(R175&lt;0, R175&gt;1), "Invalid", R175)))</f>
        <v>0.25</v>
      </c>
      <c r="AC175" s="4">
        <f>IF(AB175="Invalid", "Error", P175 * Q175 * (1 - AB175))</f>
        <v>1734.1875</v>
      </c>
      <c r="AD175" s="4">
        <f>IF(AC175="Error", "Error", AC175 - T175)</f>
        <v>348.11750000000006</v>
      </c>
      <c r="AE175" s="2">
        <f>IF(AC175="Error", "Error", IF(AC175=0, 0, AD175 / AC175))</f>
        <v>0.20073809781237614</v>
      </c>
      <c r="AF175" s="7">
        <f>C175-B175</f>
        <v>6</v>
      </c>
      <c r="AG175" s="2" t="str">
        <f>TEXT(B175, "mmmm")</f>
        <v>May</v>
      </c>
      <c r="AH175" s="4">
        <f>YEAR(B175)</f>
        <v>2024</v>
      </c>
      <c r="AI175" s="2" t="str">
        <f t="shared" si="16"/>
        <v>Clean</v>
      </c>
      <c r="AJ175">
        <f>COUNTIFS($A$2:$A$1000,A175,$B$2:$B$1000,B175,$C$2:$C$1000,C175,$D$2:$D$1000,D175,$E$2:$E$1000,E175,$F$2:$F$1000,F175)</f>
        <v>1</v>
      </c>
      <c r="AK175">
        <f>COUNTIF($A$2:$A$1000, A175)</f>
        <v>1</v>
      </c>
    </row>
    <row r="176" spans="1:37">
      <c r="A176" t="s">
        <v>631</v>
      </c>
      <c r="B176" s="5">
        <v>45928</v>
      </c>
      <c r="C176" s="5">
        <v>45934</v>
      </c>
      <c r="D176" s="6">
        <f>IF(AND(C176&lt;&gt;"",B176&lt;&gt;""), C176-B176, "Missing Date")</f>
        <v>6</v>
      </c>
      <c r="E176" s="6" t="str">
        <f>IF(OR(B176="",C176=""), "Missing Date",
    IF(C176&lt;B176, "Invalid: Ship before Order",
      "OK"))</f>
        <v>OK</v>
      </c>
      <c r="F176" t="s">
        <v>632</v>
      </c>
      <c r="G176" t="s">
        <v>23</v>
      </c>
      <c r="H176" t="s">
        <v>37</v>
      </c>
      <c r="I176" t="s">
        <v>54</v>
      </c>
      <c r="J176" t="s">
        <v>175</v>
      </c>
      <c r="K176" t="s">
        <v>176</v>
      </c>
      <c r="L176" t="s">
        <v>41</v>
      </c>
      <c r="M176" t="s">
        <v>158</v>
      </c>
      <c r="N176" t="s">
        <v>633</v>
      </c>
      <c r="O176" t="s">
        <v>50</v>
      </c>
      <c r="P176">
        <v>6</v>
      </c>
      <c r="Q176">
        <v>1620.53</v>
      </c>
      <c r="R176">
        <v>0.15</v>
      </c>
      <c r="S176">
        <v>8264.7000000000007</v>
      </c>
      <c r="T176">
        <v>4768.75</v>
      </c>
      <c r="U176">
        <v>3495.95</v>
      </c>
      <c r="V176" t="s">
        <v>111</v>
      </c>
      <c r="W176" t="s">
        <v>103</v>
      </c>
      <c r="X176" t="str">
        <f>_xlfn.TEXTJOIN("|", TRUE, A176:W176)</f>
        <v>ORD-2025-10175|45928|45934|6|OK|CUST-5475|Karan Malhotra|Small Business|South|Karnataka|Bengaluru|Furniture|Bookcases|Pro Bookcases 319|First Class|6|1620.53|0.15|8264.7|4768.75|3495.95|Pending|Returned</v>
      </c>
      <c r="Y176">
        <f>COUNTIF($X$2:$X$1000, X176)</f>
        <v>1</v>
      </c>
      <c r="Z176">
        <f>COUNTIF($A$2:$A$1000, A176)</f>
        <v>1</v>
      </c>
      <c r="AA176" t="str">
        <f>IF(Y176&gt;1, "Exact Duplicate",
  IF(Z176&gt;1, "Conflicting Duplicate - Review",
    "Unique"))</f>
        <v>Unique</v>
      </c>
      <c r="AB176" s="2">
        <f>IF(ISBLANK(R176), 0, IF(ISTEXT(R176), VALUE(SUBSTITUTE(R176, "%", ""))/100, IF(OR(R176&lt;0, R176&gt;1), "Invalid", R176)))</f>
        <v>0.15</v>
      </c>
      <c r="AC176" s="4">
        <f>IF(AB176="Invalid", "Error", P176 * Q176 * (1 - AB176))</f>
        <v>8264.7029999999995</v>
      </c>
      <c r="AD176" s="4">
        <f>IF(AC176="Error", "Error", AC176 - T176)</f>
        <v>3495.9529999999995</v>
      </c>
      <c r="AE176" s="2">
        <f>IF(AC176="Error", "Error", IF(AC176=0, 0, AD176 / AC176))</f>
        <v>0.42299801940856191</v>
      </c>
      <c r="AF176" s="7">
        <f>C176-B176</f>
        <v>6</v>
      </c>
      <c r="AG176" s="2" t="str">
        <f>TEXT(B176, "mmmm")</f>
        <v>September</v>
      </c>
      <c r="AH176" s="4">
        <f>YEAR(B176)</f>
        <v>2025</v>
      </c>
      <c r="AI176" s="2" t="str">
        <f t="shared" si="16"/>
        <v>Clean</v>
      </c>
      <c r="AJ176">
        <f>COUNTIFS($A$2:$A$1000,A176,$B$2:$B$1000,B176,$C$2:$C$1000,C176,$D$2:$D$1000,D176,$E$2:$E$1000,E176,$F$2:$F$1000,F176)</f>
        <v>1</v>
      </c>
      <c r="AK176">
        <f>COUNTIF($A$2:$A$1000, A176)</f>
        <v>1</v>
      </c>
    </row>
    <row r="177" spans="1:37">
      <c r="A177" t="s">
        <v>634</v>
      </c>
      <c r="B177" s="5">
        <v>45318</v>
      </c>
      <c r="C177" s="5">
        <v>45325</v>
      </c>
      <c r="D177" s="6">
        <f>IF(AND(C177&lt;&gt;"",B177&lt;&gt;""), C177-B177, "Missing Date")</f>
        <v>7</v>
      </c>
      <c r="E177" s="6" t="str">
        <f>IF(OR(B177="",C177=""), "Missing Date",
    IF(C177&lt;B177, "Invalid: Ship before Order",
      "OK"))</f>
        <v>OK</v>
      </c>
      <c r="F177" t="s">
        <v>635</v>
      </c>
      <c r="G177" t="s">
        <v>53</v>
      </c>
      <c r="H177" t="s">
        <v>37</v>
      </c>
      <c r="I177" t="s">
        <v>38</v>
      </c>
      <c r="J177" t="s">
        <v>145</v>
      </c>
      <c r="K177" t="s">
        <v>146</v>
      </c>
      <c r="L177" t="s">
        <v>74</v>
      </c>
      <c r="M177" t="s">
        <v>274</v>
      </c>
      <c r="N177" t="s">
        <v>636</v>
      </c>
      <c r="O177" t="s">
        <v>44</v>
      </c>
      <c r="P177">
        <v>7</v>
      </c>
      <c r="Q177">
        <v>2673.42</v>
      </c>
      <c r="R177">
        <v>0.15</v>
      </c>
      <c r="S177">
        <v>15906.85</v>
      </c>
      <c r="T177">
        <v>11014.46</v>
      </c>
      <c r="U177">
        <v>4892.3900000000003</v>
      </c>
      <c r="V177" t="s">
        <v>32</v>
      </c>
      <c r="W177" t="s">
        <v>103</v>
      </c>
      <c r="X177" t="str">
        <f>_xlfn.TEXTJOIN("|", TRUE, A177:W177)</f>
        <v>ORD-2024-10176|45318|45325|7|OK|CUST-5580|Arjun Bose|Small Business|East|Bihar|Patna|Technology|Machines|Basic Machines 584|Same Day|7|2673.42|0.15|15906.85|11014.46|4892.39|Paid|Returned</v>
      </c>
      <c r="Y177">
        <f>COUNTIF($X$2:$X$1000, X177)</f>
        <v>1</v>
      </c>
      <c r="Z177">
        <f>COUNTIF($A$2:$A$1000, A177)</f>
        <v>1</v>
      </c>
      <c r="AA177" t="str">
        <f>IF(Y177&gt;1, "Exact Duplicate",
  IF(Z177&gt;1, "Conflicting Duplicate - Review",
    "Unique"))</f>
        <v>Unique</v>
      </c>
      <c r="AB177" s="2">
        <f>IF(ISBLANK(R177), 0, IF(ISTEXT(R177), VALUE(SUBSTITUTE(R177, "%", ""))/100, IF(OR(R177&lt;0, R177&gt;1), "Invalid", R177)))</f>
        <v>0.15</v>
      </c>
      <c r="AC177" s="4">
        <f>IF(AB177="Invalid", "Error", P177 * Q177 * (1 - AB177))</f>
        <v>15906.849000000002</v>
      </c>
      <c r="AD177" s="4">
        <f>IF(AC177="Error", "Error", AC177 - T177)</f>
        <v>4892.3890000000029</v>
      </c>
      <c r="AE177" s="2">
        <f>IF(AC177="Error", "Error", IF(AC177=0, 0, AD177 / AC177))</f>
        <v>0.30756493633654297</v>
      </c>
      <c r="AF177" s="7">
        <f>C177-B177</f>
        <v>7</v>
      </c>
      <c r="AG177" s="2" t="str">
        <f>TEXT(B177, "mmmm")</f>
        <v>January</v>
      </c>
      <c r="AH177" s="4">
        <f>YEAR(B177)</f>
        <v>2024</v>
      </c>
      <c r="AI177" s="2" t="str">
        <f t="shared" si="16"/>
        <v>Clean</v>
      </c>
      <c r="AJ177">
        <f>COUNTIFS($A$2:$A$1000,A177,$B$2:$B$1000,B177,$C$2:$C$1000,C177,$D$2:$D$1000,D177,$E$2:$E$1000,E177,$F$2:$F$1000,F177)</f>
        <v>1</v>
      </c>
      <c r="AK177">
        <f>COUNTIF($A$2:$A$1000, A177)</f>
        <v>1</v>
      </c>
    </row>
    <row r="178" spans="1:37">
      <c r="A178" t="s">
        <v>637</v>
      </c>
      <c r="B178" s="5">
        <v>45734</v>
      </c>
      <c r="C178" s="5">
        <v>45742</v>
      </c>
      <c r="D178" s="6">
        <f>IF(AND(C178&lt;&gt;"",B178&lt;&gt;""), C178-B178, "Missing Date")</f>
        <v>8</v>
      </c>
      <c r="E178" s="6" t="str">
        <f>IF(OR(B178="",C178=""), "Missing Date",
    IF(C178&lt;B178, "Invalid: Ship before Order",
      "OK"))</f>
        <v>OK</v>
      </c>
      <c r="F178" t="s">
        <v>638</v>
      </c>
      <c r="G178" t="s">
        <v>71</v>
      </c>
      <c r="H178" t="s">
        <v>90</v>
      </c>
      <c r="I178" t="s">
        <v>38</v>
      </c>
      <c r="J178" t="s">
        <v>228</v>
      </c>
      <c r="K178" t="s">
        <v>229</v>
      </c>
      <c r="L178" t="s">
        <v>41</v>
      </c>
      <c r="M178" t="s">
        <v>158</v>
      </c>
      <c r="N178" t="s">
        <v>639</v>
      </c>
      <c r="O178" t="s">
        <v>59</v>
      </c>
      <c r="P178">
        <v>8</v>
      </c>
      <c r="Q178">
        <v>3563.09</v>
      </c>
      <c r="R178">
        <v>0.15</v>
      </c>
      <c r="S178">
        <v>24229.01</v>
      </c>
      <c r="T178">
        <v>13910.64</v>
      </c>
      <c r="U178">
        <v>10318.370000000001</v>
      </c>
      <c r="V178" t="s">
        <v>32</v>
      </c>
      <c r="W178" t="s">
        <v>33</v>
      </c>
      <c r="X178" t="str">
        <f>_xlfn.TEXTJOIN("|", TRUE, A178:W178)</f>
        <v>ORD-2025-10177|45734|45742|8|OK|CUST-3027|Vikram Iyer|Corporate|East|Jharkhand|Ranchi|Furniture|Bookcases|Pro Bookcases 612|Standard Class|8|3563.09|0.15|24229.01|13910.64|10318.37|Paid|Completed</v>
      </c>
      <c r="Y178">
        <f>COUNTIF($X$2:$X$1000, X178)</f>
        <v>1</v>
      </c>
      <c r="Z178">
        <f>COUNTIF($A$2:$A$1000, A178)</f>
        <v>1</v>
      </c>
      <c r="AA178" t="str">
        <f>IF(Y178&gt;1, "Exact Duplicate",
  IF(Z178&gt;1, "Conflicting Duplicate - Review",
    "Unique"))</f>
        <v>Unique</v>
      </c>
      <c r="AB178" s="2">
        <f>IF(ISBLANK(R178), 0, IF(ISTEXT(R178), VALUE(SUBSTITUTE(R178, "%", ""))/100, IF(OR(R178&lt;0, R178&gt;1), "Invalid", R178)))</f>
        <v>0.15</v>
      </c>
      <c r="AC178" s="4">
        <f>IF(AB178="Invalid", "Error", P178 * Q178 * (1 - AB178))</f>
        <v>24229.011999999999</v>
      </c>
      <c r="AD178" s="4">
        <f>IF(AC178="Error", "Error", AC178 - T178)</f>
        <v>10318.371999999999</v>
      </c>
      <c r="AE178" s="2">
        <f>IF(AC178="Error", "Error", IF(AC178=0, 0, AD178 / AC178))</f>
        <v>0.42586845885420338</v>
      </c>
      <c r="AF178" s="7">
        <f>C178-B178</f>
        <v>8</v>
      </c>
      <c r="AG178" s="2" t="str">
        <f>TEXT(B178, "mmmm")</f>
        <v>March</v>
      </c>
      <c r="AH178" s="4">
        <f>YEAR(B178)</f>
        <v>2025</v>
      </c>
      <c r="AI178" s="2" t="str">
        <f t="shared" si="16"/>
        <v>Clean</v>
      </c>
      <c r="AJ178">
        <f>COUNTIFS($A$2:$A$1000,A178,$B$2:$B$1000,B178,$C$2:$C$1000,C178,$D$2:$D$1000,D178,$E$2:$E$1000,E178,$F$2:$F$1000,F178)</f>
        <v>1</v>
      </c>
      <c r="AK178">
        <f>COUNTIF($A$2:$A$1000, A178)</f>
        <v>1</v>
      </c>
    </row>
    <row r="179" spans="1:37">
      <c r="A179" t="s">
        <v>640</v>
      </c>
      <c r="B179" s="5">
        <v>45444</v>
      </c>
      <c r="C179" s="5">
        <v>45357</v>
      </c>
      <c r="D179" s="6">
        <f>IF(AND(C179&lt;&gt;"",B179&lt;&gt;""), C179-B179, "Missing Date")</f>
        <v>-87</v>
      </c>
      <c r="E179" s="6" t="str">
        <f>IF(OR(B179="",C179=""), "Missing Date",
    IF(C179&lt;B179, "Invalid: Ship before Order",
      "OK"))</f>
        <v>Invalid: Ship before Order</v>
      </c>
      <c r="F179" t="s">
        <v>641</v>
      </c>
      <c r="G179" t="s">
        <v>132</v>
      </c>
      <c r="H179" t="s">
        <v>95</v>
      </c>
      <c r="I179" t="s">
        <v>2762</v>
      </c>
      <c r="J179" t="s">
        <v>145</v>
      </c>
      <c r="K179" t="s">
        <v>146</v>
      </c>
      <c r="L179" t="s">
        <v>28</v>
      </c>
      <c r="M179" t="s">
        <v>48</v>
      </c>
      <c r="N179" t="s">
        <v>642</v>
      </c>
      <c r="O179" t="s">
        <v>44</v>
      </c>
      <c r="P179">
        <v>8</v>
      </c>
      <c r="Q179">
        <v>3879.95</v>
      </c>
      <c r="R179">
        <v>0</v>
      </c>
      <c r="S179">
        <v>31039.599999999999</v>
      </c>
      <c r="T179">
        <v>20866.72</v>
      </c>
      <c r="U179">
        <v>10172.879999999999</v>
      </c>
      <c r="V179" t="s">
        <v>32</v>
      </c>
      <c r="W179" t="s">
        <v>33</v>
      </c>
      <c r="X179" t="str">
        <f>_xlfn.TEXTJOIN("|", TRUE, A179:W179)</f>
        <v>ORD-2024-10178|45444|45357|-87|Invalid: Ship before Order|CUST-4399|Sneha Kapoor|Home Office|Unknown|Bihar|Patna|Office Supplies|Art|Classic Art 573|Same Day|8|3879.95|0|31039.6|20866.72|10172.88|Paid|Completed</v>
      </c>
      <c r="Y179">
        <f>COUNTIF($X$2:$X$1000, X179)</f>
        <v>1</v>
      </c>
      <c r="Z179">
        <f>COUNTIF($A$2:$A$1000, A179)</f>
        <v>1</v>
      </c>
      <c r="AA179" t="str">
        <f>IF(Y179&gt;1, "Exact Duplicate",
  IF(Z179&gt;1, "Conflicting Duplicate - Review",
    "Unique"))</f>
        <v>Unique</v>
      </c>
      <c r="AB179" s="2">
        <f>IF(ISBLANK(R179), 0, IF(ISTEXT(R179), VALUE(SUBSTITUTE(R179, "%", ""))/100, IF(OR(R179&lt;0, R179&gt;1), "Invalid", R179)))</f>
        <v>0</v>
      </c>
      <c r="AC179" s="4">
        <f>IF(AB179="Invalid", "Error", P179 * Q179 * (1 - AB179))</f>
        <v>31039.599999999999</v>
      </c>
      <c r="AD179" s="4">
        <f>IF(AC179="Error", "Error", AC179 - T179)</f>
        <v>10172.879999999997</v>
      </c>
      <c r="AE179" s="2">
        <f>IF(AC179="Error", "Error", IF(AC179=0, 0, AD179 / AC179))</f>
        <v>0.32773875952009685</v>
      </c>
      <c r="AF179" s="7">
        <f>C179-B179</f>
        <v>-87</v>
      </c>
      <c r="AG179" s="2" t="str">
        <f>TEXT(B179, "mmmm")</f>
        <v>June</v>
      </c>
      <c r="AH179" s="4">
        <f>YEAR(B179)</f>
        <v>2024</v>
      </c>
      <c r="AI179" s="2" t="str">
        <f t="shared" si="16"/>
        <v>Warning: Missing Region</v>
      </c>
      <c r="AJ179">
        <f>COUNTIFS($A$2:$A$1000,A179,$B$2:$B$1000,B179,$C$2:$C$1000,C179,$D$2:$D$1000,D179,$E$2:$E$1000,E179,$F$2:$F$1000,F179)</f>
        <v>1</v>
      </c>
      <c r="AK179">
        <f>COUNTIF($A$2:$A$1000, A179)</f>
        <v>1</v>
      </c>
    </row>
    <row r="180" spans="1:37">
      <c r="A180" t="s">
        <v>643</v>
      </c>
      <c r="B180" s="5">
        <v>45565</v>
      </c>
      <c r="C180" s="5">
        <v>45565</v>
      </c>
      <c r="D180" s="6">
        <f>IF(AND(C180&lt;&gt;"",B180&lt;&gt;""), C180-B180, "Missing Date")</f>
        <v>0</v>
      </c>
      <c r="E180" s="6" t="str">
        <f>IF(OR(B180="",C180=""), "Missing Date",
    IF(C180&lt;B180, "Invalid: Ship before Order",
      "OK"))</f>
        <v>OK</v>
      </c>
      <c r="F180" t="s">
        <v>644</v>
      </c>
      <c r="G180" t="s">
        <v>47</v>
      </c>
      <c r="H180" t="s">
        <v>90</v>
      </c>
      <c r="I180" t="s">
        <v>54</v>
      </c>
      <c r="J180" t="s">
        <v>55</v>
      </c>
      <c r="K180" t="s">
        <v>56</v>
      </c>
      <c r="L180" t="s">
        <v>28</v>
      </c>
      <c r="M180" t="s">
        <v>48</v>
      </c>
      <c r="N180" t="s">
        <v>645</v>
      </c>
      <c r="O180" t="s">
        <v>59</v>
      </c>
      <c r="P180">
        <v>4</v>
      </c>
      <c r="Q180">
        <v>3281.74</v>
      </c>
      <c r="R180">
        <v>0</v>
      </c>
      <c r="S180">
        <v>13126.96</v>
      </c>
      <c r="T180">
        <v>10732.44</v>
      </c>
      <c r="U180">
        <v>2394.52</v>
      </c>
      <c r="V180" t="s">
        <v>32</v>
      </c>
      <c r="W180" t="s">
        <v>33</v>
      </c>
      <c r="X180" t="str">
        <f>_xlfn.TEXTJOIN("|", TRUE, A180:W180)</f>
        <v>ORD-2024-10179|45565|45565|0|OK|CUST-3092|Isha Nair|Corporate|South|Telangana|Hyderabad|Office Supplies|Art|Eco Art 854|Standard Class|4|3281.74|0|13126.96|10732.44|2394.52|Paid|Completed</v>
      </c>
      <c r="Y180">
        <f>COUNTIF($X$2:$X$1000, X180)</f>
        <v>1</v>
      </c>
      <c r="Z180">
        <f>COUNTIF($A$2:$A$1000, A180)</f>
        <v>1</v>
      </c>
      <c r="AA180" t="str">
        <f>IF(Y180&gt;1, "Exact Duplicate",
  IF(Z180&gt;1, "Conflicting Duplicate - Review",
    "Unique"))</f>
        <v>Unique</v>
      </c>
      <c r="AB180" s="2">
        <f>IF(ISBLANK(R180), 0, IF(ISTEXT(R180), VALUE(SUBSTITUTE(R180, "%", ""))/100, IF(OR(R180&lt;0, R180&gt;1), "Invalid", R180)))</f>
        <v>0</v>
      </c>
      <c r="AC180" s="4">
        <f>IF(AB180="Invalid", "Error", P180 * Q180 * (1 - AB180))</f>
        <v>13126.96</v>
      </c>
      <c r="AD180" s="4">
        <f>IF(AC180="Error", "Error", AC180 - T180)</f>
        <v>2394.5199999999986</v>
      </c>
      <c r="AE180" s="2">
        <f>IF(AC180="Error", "Error", IF(AC180=0, 0, AD180 / AC180))</f>
        <v>0.18241237879905162</v>
      </c>
      <c r="AF180" s="7">
        <f>C180-B180</f>
        <v>0</v>
      </c>
      <c r="AG180" s="2" t="str">
        <f>TEXT(B180, "mmmm")</f>
        <v>September</v>
      </c>
      <c r="AH180" s="4">
        <f>YEAR(B180)</f>
        <v>2024</v>
      </c>
      <c r="AI180" s="2" t="str">
        <f t="shared" si="16"/>
        <v>Clean</v>
      </c>
      <c r="AJ180">
        <f>COUNTIFS($A$2:$A$1000,A180,$B$2:$B$1000,B180,$C$2:$C$1000,C180,$D$2:$D$1000,D180,$E$2:$E$1000,E180,$F$2:$F$1000,F180)</f>
        <v>1</v>
      </c>
      <c r="AK180">
        <f>COUNTIF($A$2:$A$1000, A180)</f>
        <v>1</v>
      </c>
    </row>
    <row r="181" spans="1:37">
      <c r="A181" t="s">
        <v>646</v>
      </c>
      <c r="B181" s="5">
        <v>45366</v>
      </c>
      <c r="C181" s="5">
        <v>45370</v>
      </c>
      <c r="D181" s="6">
        <f>IF(AND(C181&lt;&gt;"",B181&lt;&gt;""), C181-B181, "Missing Date")</f>
        <v>4</v>
      </c>
      <c r="E181" s="6" t="str">
        <f>IF(OR(B181="",C181=""), "Missing Date",
    IF(C181&lt;B181, "Invalid: Ship before Order",
      "OK"))</f>
        <v>OK</v>
      </c>
      <c r="F181" t="s">
        <v>647</v>
      </c>
      <c r="G181" t="s">
        <v>62</v>
      </c>
      <c r="H181" t="s">
        <v>37</v>
      </c>
      <c r="I181" t="s">
        <v>54</v>
      </c>
      <c r="J181" t="s">
        <v>247</v>
      </c>
      <c r="K181" t="s">
        <v>248</v>
      </c>
      <c r="L181" t="s">
        <v>41</v>
      </c>
      <c r="M181" t="s">
        <v>57</v>
      </c>
      <c r="N181" t="s">
        <v>648</v>
      </c>
      <c r="O181" t="s">
        <v>59</v>
      </c>
      <c r="P181">
        <v>4</v>
      </c>
      <c r="Q181">
        <v>3186.3</v>
      </c>
      <c r="R181">
        <v>0.25</v>
      </c>
      <c r="S181">
        <v>9558.9</v>
      </c>
      <c r="T181">
        <v>5516.76</v>
      </c>
      <c r="U181">
        <v>4042.14</v>
      </c>
      <c r="V181" t="s">
        <v>102</v>
      </c>
      <c r="W181" t="s">
        <v>103</v>
      </c>
      <c r="X181" t="str">
        <f>_xlfn.TEXTJOIN("|", TRUE, A181:W181)</f>
        <v>ORD-2024-10180|45366|45370|4|OK|CUST-1778|Ananya Rao|Small Business|South|Tamil Nadu|Chennai|Furniture|Furnishings|Classic Furnishings 996|Standard Class|4|3186.3|0.25|9558.9|5516.76|4042.14|Refunded|Returned</v>
      </c>
      <c r="Y181">
        <f>COUNTIF($X$2:$X$1000, X181)</f>
        <v>1</v>
      </c>
      <c r="Z181">
        <f>COUNTIF($A$2:$A$1000, A181)</f>
        <v>1</v>
      </c>
      <c r="AA181" t="str">
        <f>IF(Y181&gt;1, "Exact Duplicate",
  IF(Z181&gt;1, "Conflicting Duplicate - Review",
    "Unique"))</f>
        <v>Unique</v>
      </c>
      <c r="AB181" s="2">
        <f>IF(ISBLANK(R181), 0, IF(ISTEXT(R181), VALUE(SUBSTITUTE(R181, "%", ""))/100, IF(OR(R181&lt;0, R181&gt;1), "Invalid", R181)))</f>
        <v>0.25</v>
      </c>
      <c r="AC181" s="4">
        <f>IF(AB181="Invalid", "Error", P181 * Q181 * (1 - AB181))</f>
        <v>9558.9000000000015</v>
      </c>
      <c r="AD181" s="4">
        <f>IF(AC181="Error", "Error", AC181 - T181)</f>
        <v>4042.1400000000012</v>
      </c>
      <c r="AE181" s="2">
        <f>IF(AC181="Error", "Error", IF(AC181=0, 0, AD181 / AC181))</f>
        <v>0.42286664783604816</v>
      </c>
      <c r="AF181" s="7">
        <f>C181-B181</f>
        <v>4</v>
      </c>
      <c r="AG181" s="2" t="str">
        <f>TEXT(B181, "mmmm")</f>
        <v>March</v>
      </c>
      <c r="AH181" s="4">
        <f>YEAR(B181)</f>
        <v>2024</v>
      </c>
      <c r="AI181" s="2" t="str">
        <f t="shared" si="16"/>
        <v>Clean</v>
      </c>
      <c r="AJ181">
        <f>COUNTIFS($A$2:$A$1000,A181,$B$2:$B$1000,B181,$C$2:$C$1000,C181,$D$2:$D$1000,D181,$E$2:$E$1000,E181,$F$2:$F$1000,F181)</f>
        <v>1</v>
      </c>
      <c r="AK181">
        <f>COUNTIF($A$2:$A$1000, A181)</f>
        <v>1</v>
      </c>
    </row>
    <row r="182" spans="1:37">
      <c r="A182" t="s">
        <v>649</v>
      </c>
      <c r="B182" s="5">
        <v>45530</v>
      </c>
      <c r="C182" s="5">
        <v>45530</v>
      </c>
      <c r="D182" s="6">
        <f>IF(AND(C182&lt;&gt;"",B182&lt;&gt;""), C182-B182, "Missing Date")</f>
        <v>0</v>
      </c>
      <c r="E182" s="6" t="str">
        <f>IF(OR(B182="",C182=""), "Missing Date",
    IF(C182&lt;B182, "Invalid: Ship before Order",
      "OK"))</f>
        <v>OK</v>
      </c>
      <c r="F182" t="s">
        <v>650</v>
      </c>
      <c r="G182" t="s">
        <v>36</v>
      </c>
      <c r="H182" t="s">
        <v>95</v>
      </c>
      <c r="I182" t="s">
        <v>25</v>
      </c>
      <c r="J182" t="s">
        <v>136</v>
      </c>
      <c r="K182" t="s">
        <v>137</v>
      </c>
      <c r="L182" t="s">
        <v>28</v>
      </c>
      <c r="M182" t="s">
        <v>153</v>
      </c>
      <c r="N182" t="s">
        <v>651</v>
      </c>
      <c r="O182" t="s">
        <v>50</v>
      </c>
      <c r="P182">
        <v>7</v>
      </c>
      <c r="Q182">
        <v>844.59</v>
      </c>
      <c r="R182">
        <v>0.1</v>
      </c>
      <c r="S182">
        <v>5320.92</v>
      </c>
      <c r="T182">
        <v>3041.5</v>
      </c>
      <c r="U182">
        <v>2279.42</v>
      </c>
      <c r="V182" t="s">
        <v>32</v>
      </c>
      <c r="W182" t="s">
        <v>33</v>
      </c>
      <c r="X182" t="str">
        <f>_xlfn.TEXTJOIN("|", TRUE, A182:W182)</f>
        <v>ORD-2024-10181|45530|45530|0|OK|CUST-3787|Mira Das|Home Office|North|Uttar Pradesh|Noida|Office Supplies|Binders|Prime Binders 735|First Class|7|844.59|0.1|5320.92|3041.5|2279.42|Paid|Completed</v>
      </c>
      <c r="Y182">
        <f>COUNTIF($X$2:$X$1000, X182)</f>
        <v>1</v>
      </c>
      <c r="Z182">
        <f>COUNTIF($A$2:$A$1000, A182)</f>
        <v>1</v>
      </c>
      <c r="AA182" t="str">
        <f>IF(Y182&gt;1, "Exact Duplicate",
  IF(Z182&gt;1, "Conflicting Duplicate - Review",
    "Unique"))</f>
        <v>Unique</v>
      </c>
      <c r="AB182" s="2">
        <f>IF(ISBLANK(R182), 0, IF(ISTEXT(R182), VALUE(SUBSTITUTE(R182, "%", ""))/100, IF(OR(R182&lt;0, R182&gt;1), "Invalid", R182)))</f>
        <v>0.1</v>
      </c>
      <c r="AC182" s="4">
        <f>IF(AB182="Invalid", "Error", P182 * Q182 * (1 - AB182))</f>
        <v>5320.9170000000004</v>
      </c>
      <c r="AD182" s="4">
        <f>IF(AC182="Error", "Error", AC182 - T182)</f>
        <v>2279.4170000000004</v>
      </c>
      <c r="AE182" s="2">
        <f>IF(AC182="Error", "Error", IF(AC182=0, 0, AD182 / AC182))</f>
        <v>0.42838800154183954</v>
      </c>
      <c r="AF182" s="7">
        <f>C182-B182</f>
        <v>0</v>
      </c>
      <c r="AG182" s="2" t="str">
        <f>TEXT(B182, "mmmm")</f>
        <v>August</v>
      </c>
      <c r="AH182" s="4">
        <f>YEAR(B182)</f>
        <v>2024</v>
      </c>
      <c r="AI182" s="2" t="str">
        <f t="shared" si="16"/>
        <v>Clean</v>
      </c>
      <c r="AJ182">
        <f>COUNTIFS($A$2:$A$1000,A182,$B$2:$B$1000,B182,$C$2:$C$1000,C182,$D$2:$D$1000,D182,$E$2:$E$1000,E182,$F$2:$F$1000,F182)</f>
        <v>1</v>
      </c>
      <c r="AK182">
        <f>COUNTIF($A$2:$A$1000, A182)</f>
        <v>1</v>
      </c>
    </row>
    <row r="183" spans="1:37">
      <c r="A183" t="s">
        <v>652</v>
      </c>
      <c r="B183" s="5">
        <v>45909</v>
      </c>
      <c r="C183" s="5">
        <v>45910</v>
      </c>
      <c r="D183" s="6">
        <f>IF(AND(C183&lt;&gt;"",B183&lt;&gt;""), C183-B183, "Missing Date")</f>
        <v>1</v>
      </c>
      <c r="E183" s="6" t="str">
        <f>IF(OR(B183="",C183=""), "Missing Date",
    IF(C183&lt;B183, "Invalid: Ship before Order",
      "OK"))</f>
        <v>OK</v>
      </c>
      <c r="F183" t="s">
        <v>653</v>
      </c>
      <c r="G183" t="s">
        <v>114</v>
      </c>
      <c r="H183" t="s">
        <v>95</v>
      </c>
      <c r="I183" t="s">
        <v>54</v>
      </c>
      <c r="J183" t="s">
        <v>247</v>
      </c>
      <c r="K183" t="s">
        <v>248</v>
      </c>
      <c r="L183" t="s">
        <v>28</v>
      </c>
      <c r="M183" t="s">
        <v>48</v>
      </c>
      <c r="N183" t="s">
        <v>654</v>
      </c>
      <c r="O183" t="s">
        <v>31</v>
      </c>
      <c r="P183">
        <v>4</v>
      </c>
      <c r="Q183">
        <v>2551.4499999999998</v>
      </c>
      <c r="R183">
        <v>0</v>
      </c>
      <c r="S183">
        <v>10205.799999999999</v>
      </c>
      <c r="T183">
        <v>5986.31</v>
      </c>
      <c r="U183">
        <v>4219.49</v>
      </c>
      <c r="V183" t="s">
        <v>32</v>
      </c>
      <c r="W183" t="s">
        <v>33</v>
      </c>
      <c r="X183" t="str">
        <f>_xlfn.TEXTJOIN("|", TRUE, A183:W183)</f>
        <v>ORD-2025-10182|45909|45910|1|OK|CUST-5119|Priya Menon|Home Office|South|Tamil Nadu|Chennai|Office Supplies|Art|Pro Art 587|Second Class|4|2551.45|0|10205.8|5986.31|4219.49|Paid|Completed</v>
      </c>
      <c r="Y183">
        <f>COUNTIF($X$2:$X$1000, X183)</f>
        <v>1</v>
      </c>
      <c r="Z183">
        <f>COUNTIF($A$2:$A$1000, A183)</f>
        <v>1</v>
      </c>
      <c r="AA183" t="str">
        <f>IF(Y183&gt;1, "Exact Duplicate",
  IF(Z183&gt;1, "Conflicting Duplicate - Review",
    "Unique"))</f>
        <v>Unique</v>
      </c>
      <c r="AB183" s="2">
        <f>IF(ISBLANK(R183), 0, IF(ISTEXT(R183), VALUE(SUBSTITUTE(R183, "%", ""))/100, IF(OR(R183&lt;0, R183&gt;1), "Invalid", R183)))</f>
        <v>0</v>
      </c>
      <c r="AC183" s="4">
        <f>IF(AB183="Invalid", "Error", P183 * Q183 * (1 - AB183))</f>
        <v>10205.799999999999</v>
      </c>
      <c r="AD183" s="4">
        <f>IF(AC183="Error", "Error", AC183 - T183)</f>
        <v>4219.4899999999989</v>
      </c>
      <c r="AE183" s="2">
        <f>IF(AC183="Error", "Error", IF(AC183=0, 0, AD183 / AC183))</f>
        <v>0.41344039663720622</v>
      </c>
      <c r="AF183" s="7">
        <f>C183-B183</f>
        <v>1</v>
      </c>
      <c r="AG183" s="2" t="str">
        <f>TEXT(B183, "mmmm")</f>
        <v>September</v>
      </c>
      <c r="AH183" s="4">
        <f>YEAR(B183)</f>
        <v>2025</v>
      </c>
      <c r="AI183" s="2" t="str">
        <f t="shared" si="16"/>
        <v>Clean</v>
      </c>
      <c r="AJ183">
        <f>COUNTIFS($A$2:$A$1000,A183,$B$2:$B$1000,B183,$C$2:$C$1000,C183,$D$2:$D$1000,D183,$E$2:$E$1000,E183,$F$2:$F$1000,F183)</f>
        <v>1</v>
      </c>
      <c r="AK183">
        <f>COUNTIF($A$2:$A$1000, A183)</f>
        <v>1</v>
      </c>
    </row>
    <row r="184" spans="1:37">
      <c r="A184" t="s">
        <v>655</v>
      </c>
      <c r="B184" s="5">
        <v>45581</v>
      </c>
      <c r="C184" s="5">
        <v>45581</v>
      </c>
      <c r="D184" s="6">
        <f>IF(AND(C184&lt;&gt;"",B184&lt;&gt;""), C184-B184, "Missing Date")</f>
        <v>0</v>
      </c>
      <c r="E184" s="6" t="str">
        <f>IF(OR(B184="",C184=""), "Missing Date",
    IF(C184&lt;B184, "Invalid: Ship before Order",
      "OK"))</f>
        <v>OK</v>
      </c>
      <c r="F184" t="s">
        <v>656</v>
      </c>
      <c r="G184" t="s">
        <v>62</v>
      </c>
      <c r="H184" t="s">
        <v>95</v>
      </c>
      <c r="I184" t="s">
        <v>38</v>
      </c>
      <c r="J184" t="s">
        <v>145</v>
      </c>
      <c r="K184" t="s">
        <v>146</v>
      </c>
      <c r="L184" t="s">
        <v>74</v>
      </c>
      <c r="M184" t="s">
        <v>274</v>
      </c>
      <c r="N184" t="s">
        <v>657</v>
      </c>
      <c r="O184" t="s">
        <v>59</v>
      </c>
      <c r="P184">
        <v>7</v>
      </c>
      <c r="Q184">
        <v>775.77</v>
      </c>
      <c r="R184">
        <v>0</v>
      </c>
      <c r="S184">
        <v>5430.39</v>
      </c>
      <c r="T184">
        <v>3707.66</v>
      </c>
      <c r="U184">
        <v>1722.73</v>
      </c>
      <c r="V184" t="s">
        <v>32</v>
      </c>
      <c r="W184" t="s">
        <v>33</v>
      </c>
      <c r="X184" t="str">
        <f>_xlfn.TEXTJOIN("|", TRUE, A184:W184)</f>
        <v>ORD-2024-10183|45581|45581|0|OK|CUST-4121|Ananya Rao|Home Office|East|Bihar|Patna|Technology|Machines|Basic Machines 575|Standard Class|7|775.77|0|5430.39|3707.66|1722.73|Paid|Completed</v>
      </c>
      <c r="Y184">
        <f>COUNTIF($X$2:$X$1000, X184)</f>
        <v>1</v>
      </c>
      <c r="Z184">
        <f>COUNTIF($A$2:$A$1000, A184)</f>
        <v>1</v>
      </c>
      <c r="AA184" t="str">
        <f>IF(Y184&gt;1, "Exact Duplicate",
  IF(Z184&gt;1, "Conflicting Duplicate - Review",
    "Unique"))</f>
        <v>Unique</v>
      </c>
      <c r="AB184" s="2">
        <f>IF(ISBLANK(R184), 0, IF(ISTEXT(R184), VALUE(SUBSTITUTE(R184, "%", ""))/100, IF(OR(R184&lt;0, R184&gt;1), "Invalid", R184)))</f>
        <v>0</v>
      </c>
      <c r="AC184" s="4">
        <f>IF(AB184="Invalid", "Error", P184 * Q184 * (1 - AB184))</f>
        <v>5430.3899999999994</v>
      </c>
      <c r="AD184" s="4">
        <f>IF(AC184="Error", "Error", AC184 - T184)</f>
        <v>1722.7299999999996</v>
      </c>
      <c r="AE184" s="2">
        <f>IF(AC184="Error", "Error", IF(AC184=0, 0, AD184 / AC184))</f>
        <v>0.31723872502711586</v>
      </c>
      <c r="AF184" s="7">
        <f>C184-B184</f>
        <v>0</v>
      </c>
      <c r="AG184" s="2" t="str">
        <f>TEXT(B184, "mmmm")</f>
        <v>October</v>
      </c>
      <c r="AH184" s="4">
        <f>YEAR(B184)</f>
        <v>2024</v>
      </c>
      <c r="AI184" s="2" t="str">
        <f t="shared" si="16"/>
        <v>Clean</v>
      </c>
      <c r="AJ184">
        <f>COUNTIFS($A$2:$A$1000,A184,$B$2:$B$1000,B184,$C$2:$C$1000,C184,$D$2:$D$1000,D184,$E$2:$E$1000,E184,$F$2:$F$1000,F184)</f>
        <v>1</v>
      </c>
      <c r="AK184">
        <f>COUNTIF($A$2:$A$1000, A184)</f>
        <v>1</v>
      </c>
    </row>
    <row r="185" spans="1:37">
      <c r="A185" t="s">
        <v>658</v>
      </c>
      <c r="B185" s="5">
        <v>45832</v>
      </c>
      <c r="C185" s="5">
        <v>45835</v>
      </c>
      <c r="D185" s="6">
        <f>IF(AND(C185&lt;&gt;"",B185&lt;&gt;""), C185-B185, "Missing Date")</f>
        <v>3</v>
      </c>
      <c r="E185" s="6" t="str">
        <f>IF(OR(B185="",C185=""), "Missing Date",
    IF(C185&lt;B185, "Invalid: Ship before Order",
      "OK"))</f>
        <v>OK</v>
      </c>
      <c r="F185" t="s">
        <v>659</v>
      </c>
      <c r="G185" t="s">
        <v>71</v>
      </c>
      <c r="H185" t="s">
        <v>95</v>
      </c>
      <c r="I185" t="s">
        <v>54</v>
      </c>
      <c r="J185" t="s">
        <v>55</v>
      </c>
      <c r="K185" t="s">
        <v>56</v>
      </c>
      <c r="L185" t="s">
        <v>74</v>
      </c>
      <c r="M185" t="s">
        <v>80</v>
      </c>
      <c r="N185" t="s">
        <v>660</v>
      </c>
      <c r="O185" t="s">
        <v>59</v>
      </c>
      <c r="P185">
        <v>7</v>
      </c>
      <c r="Q185">
        <v>2304.86</v>
      </c>
      <c r="R185">
        <v>0.2</v>
      </c>
      <c r="S185">
        <v>12907.22</v>
      </c>
      <c r="T185">
        <v>8327.89</v>
      </c>
      <c r="U185">
        <v>4579.33</v>
      </c>
      <c r="V185" t="s">
        <v>32</v>
      </c>
      <c r="W185" t="s">
        <v>103</v>
      </c>
      <c r="X185" t="str">
        <f>_xlfn.TEXTJOIN("|", TRUE, A185:W185)</f>
        <v>ORD-2025-10184|45832|45835|3|OK|CUST-3366|Vikram Iyer|Home Office|South|Telangana|Hyderabad|Technology|Copiers|Elite Copiers 788|Standard Class|7|2304.86|0.2|12907.22|8327.89|4579.33|Paid|Returned</v>
      </c>
      <c r="Y185">
        <f>COUNTIF($X$2:$X$1000, X185)</f>
        <v>1</v>
      </c>
      <c r="Z185">
        <f>COUNTIF($A$2:$A$1000, A185)</f>
        <v>1</v>
      </c>
      <c r="AA185" t="str">
        <f>IF(Y185&gt;1, "Exact Duplicate",
  IF(Z185&gt;1, "Conflicting Duplicate - Review",
    "Unique"))</f>
        <v>Unique</v>
      </c>
      <c r="AB185" s="2">
        <f>IF(ISBLANK(R185), 0, IF(ISTEXT(R185), VALUE(SUBSTITUTE(R185, "%", ""))/100, IF(OR(R185&lt;0, R185&gt;1), "Invalid", R185)))</f>
        <v>0.2</v>
      </c>
      <c r="AC185" s="4">
        <f>IF(AB185="Invalid", "Error", P185 * Q185 * (1 - AB185))</f>
        <v>12907.216</v>
      </c>
      <c r="AD185" s="4">
        <f>IF(AC185="Error", "Error", AC185 - T185)</f>
        <v>4579.3260000000009</v>
      </c>
      <c r="AE185" s="2">
        <f>IF(AC185="Error", "Error", IF(AC185=0, 0, AD185 / AC185))</f>
        <v>0.3547880503433119</v>
      </c>
      <c r="AF185" s="7">
        <f>C185-B185</f>
        <v>3</v>
      </c>
      <c r="AG185" s="2" t="str">
        <f>TEXT(B185, "mmmm")</f>
        <v>June</v>
      </c>
      <c r="AH185" s="4">
        <f>YEAR(B185)</f>
        <v>2025</v>
      </c>
      <c r="AI185" s="2" t="str">
        <f t="shared" si="16"/>
        <v>Clean</v>
      </c>
      <c r="AJ185">
        <f>COUNTIFS($A$2:$A$1000,A185,$B$2:$B$1000,B185,$C$2:$C$1000,C185,$D$2:$D$1000,D185,$E$2:$E$1000,E185,$F$2:$F$1000,F185)</f>
        <v>1</v>
      </c>
      <c r="AK185">
        <f>COUNTIF($A$2:$A$1000, A185)</f>
        <v>1</v>
      </c>
    </row>
    <row r="186" spans="1:37">
      <c r="A186" t="s">
        <v>661</v>
      </c>
      <c r="B186" s="5">
        <v>45384</v>
      </c>
      <c r="C186" s="5">
        <v>45388</v>
      </c>
      <c r="D186" s="6">
        <f>IF(AND(C186&lt;&gt;"",B186&lt;&gt;""), C186-B186, "Missing Date")</f>
        <v>4</v>
      </c>
      <c r="E186" s="6" t="str">
        <f>IF(OR(B186="",C186=""), "Missing Date",
    IF(C186&lt;B186, "Invalid: Ship before Order",
      "OK"))</f>
        <v>OK</v>
      </c>
      <c r="F186" t="s">
        <v>662</v>
      </c>
      <c r="G186" t="s">
        <v>71</v>
      </c>
      <c r="H186" t="s">
        <v>90</v>
      </c>
      <c r="I186" t="s">
        <v>63</v>
      </c>
      <c r="J186" t="s">
        <v>72</v>
      </c>
      <c r="K186" t="s">
        <v>73</v>
      </c>
      <c r="L186" t="s">
        <v>41</v>
      </c>
      <c r="M186" t="s">
        <v>158</v>
      </c>
      <c r="N186" t="s">
        <v>663</v>
      </c>
      <c r="O186" t="s">
        <v>59</v>
      </c>
      <c r="P186">
        <v>2</v>
      </c>
      <c r="Q186">
        <v>888.98</v>
      </c>
      <c r="R186">
        <v>0</v>
      </c>
      <c r="S186">
        <v>1777.96</v>
      </c>
      <c r="T186">
        <v>1021.16</v>
      </c>
      <c r="U186">
        <v>756.8</v>
      </c>
      <c r="V186" t="s">
        <v>102</v>
      </c>
      <c r="W186" t="s">
        <v>103</v>
      </c>
      <c r="X186" t="str">
        <f>_xlfn.TEXTJOIN("|", TRUE, A186:W186)</f>
        <v>ORD-2024-10185|45384|45388|4|OK|CUST-1358|Vikram Iyer|Corporate|West|Madhya Pradesh|Indore|Furniture|Bookcases|Max Bookcases 472|Standard Class|2|888.98|0|1777.96|1021.16|756.8|Refunded|Returned</v>
      </c>
      <c r="Y186">
        <f>COUNTIF($X$2:$X$1000, X186)</f>
        <v>1</v>
      </c>
      <c r="Z186">
        <f>COUNTIF($A$2:$A$1000, A186)</f>
        <v>1</v>
      </c>
      <c r="AA186" t="str">
        <f>IF(Y186&gt;1, "Exact Duplicate",
  IF(Z186&gt;1, "Conflicting Duplicate - Review",
    "Unique"))</f>
        <v>Unique</v>
      </c>
      <c r="AB186" s="2">
        <f>IF(ISBLANK(R186), 0, IF(ISTEXT(R186), VALUE(SUBSTITUTE(R186, "%", ""))/100, IF(OR(R186&lt;0, R186&gt;1), "Invalid", R186)))</f>
        <v>0</v>
      </c>
      <c r="AC186" s="4">
        <f>IF(AB186="Invalid", "Error", P186 * Q186 * (1 - AB186))</f>
        <v>1777.96</v>
      </c>
      <c r="AD186" s="4">
        <f>IF(AC186="Error", "Error", AC186 - T186)</f>
        <v>756.80000000000007</v>
      </c>
      <c r="AE186" s="2">
        <f>IF(AC186="Error", "Error", IF(AC186=0, 0, AD186 / AC186))</f>
        <v>0.42565637022205227</v>
      </c>
      <c r="AF186" s="7">
        <f>C186-B186</f>
        <v>4</v>
      </c>
      <c r="AG186" s="2" t="str">
        <f>TEXT(B186, "mmmm")</f>
        <v>April</v>
      </c>
      <c r="AH186" s="4">
        <f>YEAR(B186)</f>
        <v>2024</v>
      </c>
      <c r="AI186" s="2" t="str">
        <f t="shared" si="16"/>
        <v>Clean</v>
      </c>
      <c r="AJ186">
        <f>COUNTIFS($A$2:$A$1000,A186,$B$2:$B$1000,B186,$C$2:$C$1000,C186,$D$2:$D$1000,D186,$E$2:$E$1000,E186,$F$2:$F$1000,F186)</f>
        <v>1</v>
      </c>
      <c r="AK186">
        <f>COUNTIF($A$2:$A$1000, A186)</f>
        <v>1</v>
      </c>
    </row>
    <row r="187" spans="1:37">
      <c r="A187" t="s">
        <v>664</v>
      </c>
      <c r="B187" s="5">
        <v>45423</v>
      </c>
      <c r="C187" s="5">
        <v>45609</v>
      </c>
      <c r="D187" s="6">
        <f>IF(AND(C187&lt;&gt;"",B187&lt;&gt;""), C187-B187, "Missing Date")</f>
        <v>186</v>
      </c>
      <c r="E187" s="6" t="str">
        <f>IF(OR(B187="",C187=""), "Missing Date",
    IF(C187&lt;B187, "Invalid: Ship before Order",
      "OK"))</f>
        <v>OK</v>
      </c>
      <c r="F187" t="s">
        <v>665</v>
      </c>
      <c r="G187" t="s">
        <v>53</v>
      </c>
      <c r="H187" t="s">
        <v>24</v>
      </c>
      <c r="I187" t="s">
        <v>2762</v>
      </c>
      <c r="J187" t="s">
        <v>122</v>
      </c>
      <c r="K187" t="s">
        <v>123</v>
      </c>
      <c r="L187" t="s">
        <v>28</v>
      </c>
      <c r="M187" t="s">
        <v>91</v>
      </c>
      <c r="N187" t="s">
        <v>666</v>
      </c>
      <c r="O187" t="s">
        <v>31</v>
      </c>
      <c r="P187">
        <v>2</v>
      </c>
      <c r="Q187">
        <v>1003.17</v>
      </c>
      <c r="R187">
        <v>0.2</v>
      </c>
      <c r="S187">
        <v>1605.07</v>
      </c>
      <c r="T187">
        <v>1337.28</v>
      </c>
      <c r="U187">
        <v>267.79000000000002</v>
      </c>
      <c r="V187" t="s">
        <v>32</v>
      </c>
      <c r="W187" t="s">
        <v>33</v>
      </c>
      <c r="X187" t="str">
        <f>_xlfn.TEXTJOIN("|", TRUE, A187:W187)</f>
        <v>ORD-2024-10186|45423|45609|186|OK|CUST-4968|Arjun Bose|Consumer|Unknown|Punjab|Ludhiana|Office Supplies|Labels|Smart Labels 475|Second Class|2|1003.17|0.2|1605.07|1337.28|267.79|Paid|Completed</v>
      </c>
      <c r="Y187">
        <f>COUNTIF($X$2:$X$1000, X187)</f>
        <v>1</v>
      </c>
      <c r="Z187">
        <f>COUNTIF($A$2:$A$1000, A187)</f>
        <v>1</v>
      </c>
      <c r="AA187" t="str">
        <f>IF(Y187&gt;1, "Exact Duplicate",
  IF(Z187&gt;1, "Conflicting Duplicate - Review",
    "Unique"))</f>
        <v>Unique</v>
      </c>
      <c r="AB187" s="2">
        <f>IF(ISBLANK(R187), 0, IF(ISTEXT(R187), VALUE(SUBSTITUTE(R187, "%", ""))/100, IF(OR(R187&lt;0, R187&gt;1), "Invalid", R187)))</f>
        <v>0.2</v>
      </c>
      <c r="AC187" s="4">
        <f>IF(AB187="Invalid", "Error", P187 * Q187 * (1 - AB187))</f>
        <v>1605.0720000000001</v>
      </c>
      <c r="AD187" s="4">
        <f>IF(AC187="Error", "Error", AC187 - T187)</f>
        <v>267.79200000000014</v>
      </c>
      <c r="AE187" s="2">
        <f>IF(AC187="Error", "Error", IF(AC187=0, 0, AD187 / AC187))</f>
        <v>0.16684111366966722</v>
      </c>
      <c r="AF187" s="7">
        <f>C187-B187</f>
        <v>186</v>
      </c>
      <c r="AG187" s="2" t="str">
        <f>TEXT(B187, "mmmm")</f>
        <v>May</v>
      </c>
      <c r="AH187" s="4">
        <f>YEAR(B187)</f>
        <v>2024</v>
      </c>
      <c r="AI187" s="2" t="str">
        <f t="shared" si="16"/>
        <v>Warning: Missing Region</v>
      </c>
      <c r="AJ187">
        <f>COUNTIFS($A$2:$A$1000,A187,$B$2:$B$1000,B187,$C$2:$C$1000,C187,$D$2:$D$1000,D187,$E$2:$E$1000,E187,$F$2:$F$1000,F187)</f>
        <v>1</v>
      </c>
      <c r="AK187">
        <f>COUNTIF($A$2:$A$1000, A187)</f>
        <v>1</v>
      </c>
    </row>
    <row r="188" spans="1:37">
      <c r="A188" t="s">
        <v>667</v>
      </c>
      <c r="B188" s="5">
        <v>45492</v>
      </c>
      <c r="C188" s="5">
        <v>45493</v>
      </c>
      <c r="D188" s="6">
        <f>IF(AND(C188&lt;&gt;"",B188&lt;&gt;""), C188-B188, "Missing Date")</f>
        <v>1</v>
      </c>
      <c r="E188" s="6" t="str">
        <f>IF(OR(B188="",C188=""), "Missing Date",
    IF(C188&lt;B188, "Invalid: Ship before Order",
      "OK"))</f>
        <v>OK</v>
      </c>
      <c r="F188" t="s">
        <v>263</v>
      </c>
      <c r="G188" t="s">
        <v>71</v>
      </c>
      <c r="H188" t="s">
        <v>24</v>
      </c>
      <c r="I188" t="s">
        <v>54</v>
      </c>
      <c r="J188" t="s">
        <v>247</v>
      </c>
      <c r="K188" t="s">
        <v>248</v>
      </c>
      <c r="L188" t="s">
        <v>41</v>
      </c>
      <c r="M188" t="s">
        <v>42</v>
      </c>
      <c r="N188" t="s">
        <v>668</v>
      </c>
      <c r="O188" t="s">
        <v>50</v>
      </c>
      <c r="P188">
        <v>7</v>
      </c>
      <c r="Q188">
        <v>3608.43</v>
      </c>
      <c r="R188">
        <v>0.05</v>
      </c>
      <c r="S188">
        <v>23996.06</v>
      </c>
      <c r="T188">
        <v>20167.28</v>
      </c>
      <c r="U188">
        <v>3828.78</v>
      </c>
      <c r="V188" t="s">
        <v>32</v>
      </c>
      <c r="W188" t="s">
        <v>33</v>
      </c>
      <c r="X188" t="str">
        <f>_xlfn.TEXTJOIN("|", TRUE, A188:W188)</f>
        <v>ORD-2024-10187|45492|45493|1|OK|CUST-2778|Vikram Iyer|Consumer|South|Tamil Nadu|Chennai|Furniture|Tables|Basic Tables 417|First Class|7|3608.43|0.05|23996.06|20167.28|3828.78|Paid|Completed</v>
      </c>
      <c r="Y188">
        <f>COUNTIF($X$2:$X$1000, X188)</f>
        <v>1</v>
      </c>
      <c r="Z188">
        <f>COUNTIF($A$2:$A$1000, A188)</f>
        <v>1</v>
      </c>
      <c r="AA188" t="str">
        <f>IF(Y188&gt;1, "Exact Duplicate",
  IF(Z188&gt;1, "Conflicting Duplicate - Review",
    "Unique"))</f>
        <v>Unique</v>
      </c>
      <c r="AB188" s="2">
        <f>IF(ISBLANK(R188), 0, IF(ISTEXT(R188), VALUE(SUBSTITUTE(R188, "%", ""))/100, IF(OR(R188&lt;0, R188&gt;1), "Invalid", R188)))</f>
        <v>0.05</v>
      </c>
      <c r="AC188" s="4">
        <f>IF(AB188="Invalid", "Error", P188 * Q188 * (1 - AB188))</f>
        <v>23996.059499999996</v>
      </c>
      <c r="AD188" s="4">
        <f>IF(AC188="Error", "Error", AC188 - T188)</f>
        <v>3828.7794999999969</v>
      </c>
      <c r="AE188" s="2">
        <f>IF(AC188="Error", "Error", IF(AC188=0, 0, AD188 / AC188))</f>
        <v>0.15955867670689838</v>
      </c>
      <c r="AF188" s="7">
        <f>C188-B188</f>
        <v>1</v>
      </c>
      <c r="AG188" s="2" t="str">
        <f>TEXT(B188, "mmmm")</f>
        <v>July</v>
      </c>
      <c r="AH188" s="4">
        <f>YEAR(B188)</f>
        <v>2024</v>
      </c>
      <c r="AI188" s="2" t="str">
        <f t="shared" si="16"/>
        <v>Clean</v>
      </c>
      <c r="AJ188">
        <f>COUNTIFS($A$2:$A$1000,A188,$B$2:$B$1000,B188,$C$2:$C$1000,C188,$D$2:$D$1000,D188,$E$2:$E$1000,E188,$F$2:$F$1000,F188)</f>
        <v>1</v>
      </c>
      <c r="AK188">
        <f>COUNTIF($A$2:$A$1000, A188)</f>
        <v>1</v>
      </c>
    </row>
    <row r="189" spans="1:37">
      <c r="A189" t="s">
        <v>669</v>
      </c>
      <c r="B189" s="5">
        <v>45778</v>
      </c>
      <c r="C189" s="5">
        <v>45779</v>
      </c>
      <c r="D189" s="6">
        <f>IF(AND(C189&lt;&gt;"",B189&lt;&gt;""), C189-B189, "Missing Date")</f>
        <v>1</v>
      </c>
      <c r="E189" s="6" t="str">
        <f>IF(OR(B189="",C189=""), "Missing Date",
    IF(C189&lt;B189, "Invalid: Ship before Order",
      "OK"))</f>
        <v>OK</v>
      </c>
      <c r="F189" t="s">
        <v>670</v>
      </c>
      <c r="G189" t="s">
        <v>36</v>
      </c>
      <c r="H189" t="s">
        <v>24</v>
      </c>
      <c r="I189" t="s">
        <v>63</v>
      </c>
      <c r="J189" t="s">
        <v>72</v>
      </c>
      <c r="K189" t="s">
        <v>73</v>
      </c>
      <c r="L189" t="s">
        <v>41</v>
      </c>
      <c r="M189" t="s">
        <v>66</v>
      </c>
      <c r="N189" t="s">
        <v>671</v>
      </c>
      <c r="O189" t="s">
        <v>44</v>
      </c>
      <c r="P189">
        <v>3</v>
      </c>
      <c r="Q189">
        <v>2905.74</v>
      </c>
      <c r="R189">
        <v>0</v>
      </c>
      <c r="S189">
        <v>8717.2199999999993</v>
      </c>
      <c r="T189">
        <v>6215.96</v>
      </c>
      <c r="U189">
        <v>2501.2600000000002</v>
      </c>
      <c r="V189" t="s">
        <v>32</v>
      </c>
      <c r="W189" t="s">
        <v>103</v>
      </c>
      <c r="X189" t="str">
        <f>_xlfn.TEXTJOIN("|", TRUE, A189:W189)</f>
        <v>ORD-2025-10188|45778|45779|1|OK|CUST-3109|Mira Das|Consumer|West|Madhya Pradesh|Indore|Furniture|Chairs|Pro Chairs 844|Same Day|3|2905.74|0|8717.22|6215.96|2501.26|Paid|Returned</v>
      </c>
      <c r="Y189">
        <f>COUNTIF($X$2:$X$1000, X189)</f>
        <v>1</v>
      </c>
      <c r="Z189">
        <f>COUNTIF($A$2:$A$1000, A189)</f>
        <v>1</v>
      </c>
      <c r="AA189" t="str">
        <f>IF(Y189&gt;1, "Exact Duplicate",
  IF(Z189&gt;1, "Conflicting Duplicate - Review",
    "Unique"))</f>
        <v>Unique</v>
      </c>
      <c r="AB189" s="2">
        <f>IF(ISBLANK(R189), 0, IF(ISTEXT(R189), VALUE(SUBSTITUTE(R189, "%", ""))/100, IF(OR(R189&lt;0, R189&gt;1), "Invalid", R189)))</f>
        <v>0</v>
      </c>
      <c r="AC189" s="4">
        <f>IF(AB189="Invalid", "Error", P189 * Q189 * (1 - AB189))</f>
        <v>8717.2199999999993</v>
      </c>
      <c r="AD189" s="4">
        <f>IF(AC189="Error", "Error", AC189 - T189)</f>
        <v>2501.2599999999993</v>
      </c>
      <c r="AE189" s="2">
        <f>IF(AC189="Error", "Error", IF(AC189=0, 0, AD189 / AC189))</f>
        <v>0.28693321953558582</v>
      </c>
      <c r="AF189" s="7">
        <f>C189-B189</f>
        <v>1</v>
      </c>
      <c r="AG189" s="2" t="str">
        <f>TEXT(B189, "mmmm")</f>
        <v>May</v>
      </c>
      <c r="AH189" s="4">
        <f>YEAR(B189)</f>
        <v>2025</v>
      </c>
      <c r="AI189" s="2" t="str">
        <f t="shared" si="16"/>
        <v>Clean</v>
      </c>
      <c r="AJ189">
        <f>COUNTIFS($A$2:$A$1000,A189,$B$2:$B$1000,B189,$C$2:$C$1000,C189,$D$2:$D$1000,D189,$E$2:$E$1000,E189,$F$2:$F$1000,F189)</f>
        <v>1</v>
      </c>
      <c r="AK189">
        <f>COUNTIF($A$2:$A$1000, A189)</f>
        <v>1</v>
      </c>
    </row>
    <row r="190" spans="1:37">
      <c r="A190" t="s">
        <v>672</v>
      </c>
      <c r="B190" s="5">
        <v>45798</v>
      </c>
      <c r="C190" s="5">
        <v>45805</v>
      </c>
      <c r="D190" s="6">
        <f>IF(AND(C190&lt;&gt;"",B190&lt;&gt;""), C190-B190, "Missing Date")</f>
        <v>7</v>
      </c>
      <c r="E190" s="6" t="str">
        <f>IF(OR(B190="",C190=""), "Missing Date",
    IF(C190&lt;B190, "Invalid: Ship before Order",
      "OK"))</f>
        <v>OK</v>
      </c>
      <c r="F190" t="s">
        <v>673</v>
      </c>
      <c r="G190" t="s">
        <v>114</v>
      </c>
      <c r="H190" t="s">
        <v>90</v>
      </c>
      <c r="I190" t="s">
        <v>38</v>
      </c>
      <c r="J190" t="s">
        <v>99</v>
      </c>
      <c r="K190" t="s">
        <v>100</v>
      </c>
      <c r="L190" t="s">
        <v>41</v>
      </c>
      <c r="M190" t="s">
        <v>158</v>
      </c>
      <c r="N190" t="s">
        <v>674</v>
      </c>
      <c r="O190" t="s">
        <v>44</v>
      </c>
      <c r="P190">
        <v>2</v>
      </c>
      <c r="Q190">
        <v>3559.57</v>
      </c>
      <c r="R190">
        <v>0.1</v>
      </c>
      <c r="S190">
        <v>6553.95</v>
      </c>
      <c r="T190">
        <v>4923.09</v>
      </c>
      <c r="U190">
        <v>1484.14</v>
      </c>
      <c r="V190" t="s">
        <v>32</v>
      </c>
      <c r="W190" t="s">
        <v>33</v>
      </c>
      <c r="X190" t="str">
        <f>_xlfn.TEXTJOIN("|", TRUE, A190:W190)</f>
        <v>ORD-2025-10189|45798|45805|7|OK|CUST-3422|Priya Menon|Corporate|East|West Bengal|Kolkata|Furniture|Bookcases|Elite Bookcases 883|Same Day|2|3559.57|0.1|6553.95|4923.09|1484.14|Paid|Completed</v>
      </c>
      <c r="Y190">
        <f>COUNTIF($X$2:$X$1000, X190)</f>
        <v>1</v>
      </c>
      <c r="Z190">
        <f>COUNTIF($A$2:$A$1000, A190)</f>
        <v>1</v>
      </c>
      <c r="AA190" t="str">
        <f>IF(Y190&gt;1, "Exact Duplicate",
  IF(Z190&gt;1, "Conflicting Duplicate - Review",
    "Unique"))</f>
        <v>Unique</v>
      </c>
      <c r="AB190" s="2">
        <f>IF(ISBLANK(R190), 0, IF(ISTEXT(R190), VALUE(SUBSTITUTE(R190, "%", ""))/100, IF(OR(R190&lt;0, R190&gt;1), "Invalid", R190)))</f>
        <v>0.1</v>
      </c>
      <c r="AC190" s="4">
        <f>IF(AB190="Invalid", "Error", P190 * Q190 * (1 - AB190))</f>
        <v>6407.2260000000006</v>
      </c>
      <c r="AD190" s="4">
        <f>IF(AC190="Error", "Error", AC190 - T190)</f>
        <v>1484.1360000000004</v>
      </c>
      <c r="AE190" s="2">
        <f>IF(AC190="Error", "Error", IF(AC190=0, 0, AD190 / AC190))</f>
        <v>0.23163471992403581</v>
      </c>
      <c r="AF190" s="7">
        <f>C190-B190</f>
        <v>7</v>
      </c>
      <c r="AG190" s="2" t="str">
        <f>TEXT(B190, "mmmm")</f>
        <v>May</v>
      </c>
      <c r="AH190" s="4">
        <f>YEAR(B190)</f>
        <v>2025</v>
      </c>
      <c r="AI190" s="2" t="str">
        <f t="shared" si="16"/>
        <v>Clean</v>
      </c>
      <c r="AJ190">
        <f>COUNTIFS($A$2:$A$1000,A190,$B$2:$B$1000,B190,$C$2:$C$1000,C190,$D$2:$D$1000,D190,$E$2:$E$1000,E190,$F$2:$F$1000,F190)</f>
        <v>1</v>
      </c>
      <c r="AK190">
        <f>COUNTIF($A$2:$A$1000, A190)</f>
        <v>1</v>
      </c>
    </row>
    <row r="191" spans="1:37">
      <c r="A191" t="s">
        <v>675</v>
      </c>
      <c r="B191" s="5">
        <v>45783</v>
      </c>
      <c r="C191" s="5">
        <v>45784</v>
      </c>
      <c r="D191" s="6">
        <f>IF(AND(C191&lt;&gt;"",B191&lt;&gt;""), C191-B191, "Missing Date")</f>
        <v>1</v>
      </c>
      <c r="E191" s="6" t="str">
        <f>IF(OR(B191="",C191=""), "Missing Date",
    IF(C191&lt;B191, "Invalid: Ship before Order",
      "OK"))</f>
        <v>OK</v>
      </c>
      <c r="F191" t="s">
        <v>676</v>
      </c>
      <c r="G191" t="s">
        <v>53</v>
      </c>
      <c r="H191" t="s">
        <v>24</v>
      </c>
      <c r="I191" t="s">
        <v>63</v>
      </c>
      <c r="J191" t="s">
        <v>26</v>
      </c>
      <c r="K191" t="s">
        <v>109</v>
      </c>
      <c r="L191" t="s">
        <v>41</v>
      </c>
      <c r="M191" t="s">
        <v>158</v>
      </c>
      <c r="N191" t="s">
        <v>677</v>
      </c>
      <c r="O191" t="s">
        <v>50</v>
      </c>
      <c r="P191">
        <v>9</v>
      </c>
      <c r="Q191">
        <v>3318.24</v>
      </c>
      <c r="S191">
        <v>25384.54</v>
      </c>
      <c r="T191">
        <v>16872.39</v>
      </c>
      <c r="U191">
        <v>8512.15</v>
      </c>
      <c r="V191" t="s">
        <v>32</v>
      </c>
      <c r="W191" t="s">
        <v>33</v>
      </c>
      <c r="X191" t="str">
        <f>_xlfn.TEXTJOIN("|", TRUE, A191:W191)</f>
        <v>ORD-2025-10190|45783|45784|1|OK|CUST-3375|Arjun Bose|Consumer|West|Rajasthan|Udaipur|Furniture|Bookcases|Basic Bookcases 754|First Class|9|3318.24|25384.54|16872.39|8512.15|Paid|Completed</v>
      </c>
      <c r="Y191">
        <f>COUNTIF($X$2:$X$1000, X191)</f>
        <v>1</v>
      </c>
      <c r="Z191">
        <f>COUNTIF($A$2:$A$1000, A191)</f>
        <v>1</v>
      </c>
      <c r="AA191" t="str">
        <f>IF(Y191&gt;1, "Exact Duplicate",
  IF(Z191&gt;1, "Conflicting Duplicate - Review",
    "Unique"))</f>
        <v>Unique</v>
      </c>
      <c r="AB191" s="2">
        <f>IF(ISBLANK(R191), 0, IF(ISTEXT(R191), VALUE(SUBSTITUTE(R191, "%", ""))/100, IF(OR(R191&lt;0, R191&gt;1), "Invalid", R191)))</f>
        <v>0</v>
      </c>
      <c r="AC191" s="4">
        <f>IF(AB191="Invalid", "Error", P191 * Q191 * (1 - AB191))</f>
        <v>29864.159999999996</v>
      </c>
      <c r="AD191" s="4">
        <f>IF(AC191="Error", "Error", AC191 - T191)</f>
        <v>12991.769999999997</v>
      </c>
      <c r="AE191" s="2">
        <f>IF(AC191="Error", "Error", IF(AC191=0, 0, AD191 / AC191))</f>
        <v>0.43502881045373448</v>
      </c>
      <c r="AF191" s="7">
        <f>C191-B191</f>
        <v>1</v>
      </c>
      <c r="AG191" s="2" t="str">
        <f>TEXT(B191, "mmmm")</f>
        <v>May</v>
      </c>
      <c r="AH191" s="4">
        <f>YEAR(B191)</f>
        <v>2025</v>
      </c>
      <c r="AI191" s="2" t="str">
        <f t="shared" si="16"/>
        <v>Clean</v>
      </c>
      <c r="AJ191">
        <f>COUNTIFS($A$2:$A$1000,A191,$B$2:$B$1000,B191,$C$2:$C$1000,C191,$D$2:$D$1000,D191,$E$2:$E$1000,E191,$F$2:$F$1000,F191)</f>
        <v>1</v>
      </c>
      <c r="AK191">
        <f>COUNTIF($A$2:$A$1000, A191)</f>
        <v>1</v>
      </c>
    </row>
    <row r="192" spans="1:37">
      <c r="A192" t="s">
        <v>678</v>
      </c>
      <c r="B192" s="5">
        <v>45767</v>
      </c>
      <c r="C192" s="5">
        <v>45768</v>
      </c>
      <c r="D192" s="6">
        <f>IF(AND(C192&lt;&gt;"",B192&lt;&gt;""), C192-B192, "Missing Date")</f>
        <v>1</v>
      </c>
      <c r="E192" s="6" t="str">
        <f>IF(OR(B192="",C192=""), "Missing Date",
    IF(C192&lt;B192, "Invalid: Ship before Order",
      "OK"))</f>
        <v>OK</v>
      </c>
      <c r="F192" t="s">
        <v>679</v>
      </c>
      <c r="G192" t="s">
        <v>89</v>
      </c>
      <c r="H192" t="s">
        <v>24</v>
      </c>
      <c r="I192" t="s">
        <v>54</v>
      </c>
      <c r="J192" t="s">
        <v>247</v>
      </c>
      <c r="K192" t="s">
        <v>248</v>
      </c>
      <c r="L192" t="s">
        <v>28</v>
      </c>
      <c r="M192" t="s">
        <v>124</v>
      </c>
      <c r="N192" t="s">
        <v>680</v>
      </c>
      <c r="O192" t="s">
        <v>50</v>
      </c>
      <c r="P192">
        <v>3</v>
      </c>
      <c r="Q192">
        <v>540.09</v>
      </c>
      <c r="R192">
        <v>0.1</v>
      </c>
      <c r="S192">
        <v>1458.24</v>
      </c>
      <c r="T192">
        <v>943.32</v>
      </c>
      <c r="U192">
        <v>514.91999999999996</v>
      </c>
      <c r="V192" t="s">
        <v>32</v>
      </c>
      <c r="W192" t="s">
        <v>33</v>
      </c>
      <c r="X192" t="str">
        <f>_xlfn.TEXTJOIN("|", TRUE, A192:W192)</f>
        <v>ORD-2025-10191|45767|45768|1|OK|CUST-5138|Aditi Sen|Consumer|South|Tamil Nadu|Chennai|Office Supplies|Storage|Eco Storage 158|First Class|3|540.09|0.1|1458.24|943.32|514.92|Paid|Completed</v>
      </c>
      <c r="Y192">
        <f>COUNTIF($X$2:$X$1000, X192)</f>
        <v>1</v>
      </c>
      <c r="Z192">
        <f>COUNTIF($A$2:$A$1000, A192)</f>
        <v>1</v>
      </c>
      <c r="AA192" t="str">
        <f>IF(Y192&gt;1, "Exact Duplicate",
  IF(Z192&gt;1, "Conflicting Duplicate - Review",
    "Unique"))</f>
        <v>Unique</v>
      </c>
      <c r="AB192" s="2">
        <f>IF(ISBLANK(R192), 0, IF(ISTEXT(R192), VALUE(SUBSTITUTE(R192, "%", ""))/100, IF(OR(R192&lt;0, R192&gt;1), "Invalid", R192)))</f>
        <v>0.1</v>
      </c>
      <c r="AC192" s="4">
        <f>IF(AB192="Invalid", "Error", P192 * Q192 * (1 - AB192))</f>
        <v>1458.2429999999999</v>
      </c>
      <c r="AD192" s="4">
        <f>IF(AC192="Error", "Error", AC192 - T192)</f>
        <v>514.92299999999989</v>
      </c>
      <c r="AE192" s="2">
        <f>IF(AC192="Error", "Error", IF(AC192=0, 0, AD192 / AC192))</f>
        <v>0.35311192990468659</v>
      </c>
      <c r="AF192" s="7">
        <f>C192-B192</f>
        <v>1</v>
      </c>
      <c r="AG192" s="2" t="str">
        <f>TEXT(B192, "mmmm")</f>
        <v>April</v>
      </c>
      <c r="AH192" s="4">
        <f>YEAR(B192)</f>
        <v>2025</v>
      </c>
      <c r="AI192" s="2" t="str">
        <f t="shared" si="16"/>
        <v>Clean</v>
      </c>
      <c r="AJ192">
        <f>COUNTIFS($A$2:$A$1000,A192,$B$2:$B$1000,B192,$C$2:$C$1000,C192,$D$2:$D$1000,D192,$E$2:$E$1000,E192,$F$2:$F$1000,F192)</f>
        <v>1</v>
      </c>
      <c r="AK192">
        <f>COUNTIF($A$2:$A$1000, A192)</f>
        <v>1</v>
      </c>
    </row>
    <row r="193" spans="1:37">
      <c r="A193" t="s">
        <v>681</v>
      </c>
      <c r="B193" s="5">
        <v>45584</v>
      </c>
      <c r="C193" s="5">
        <v>45589</v>
      </c>
      <c r="D193" s="6">
        <f>IF(AND(C193&lt;&gt;"",B193&lt;&gt;""), C193-B193, "Missing Date")</f>
        <v>5</v>
      </c>
      <c r="E193" s="6" t="str">
        <f>IF(OR(B193="",C193=""), "Missing Date",
    IF(C193&lt;B193, "Invalid: Ship before Order",
      "OK"))</f>
        <v>OK</v>
      </c>
      <c r="F193" t="s">
        <v>682</v>
      </c>
      <c r="G193" t="s">
        <v>132</v>
      </c>
      <c r="H193" t="s">
        <v>37</v>
      </c>
      <c r="I193" t="s">
        <v>54</v>
      </c>
      <c r="J193" t="s">
        <v>247</v>
      </c>
      <c r="K193" t="s">
        <v>248</v>
      </c>
      <c r="L193" t="s">
        <v>41</v>
      </c>
      <c r="M193" t="s">
        <v>158</v>
      </c>
      <c r="N193" t="s">
        <v>683</v>
      </c>
      <c r="O193" t="s">
        <v>31</v>
      </c>
      <c r="P193">
        <v>6</v>
      </c>
      <c r="Q193">
        <v>4308.3999999999996</v>
      </c>
      <c r="R193">
        <v>0.65</v>
      </c>
      <c r="S193">
        <v>25850.400000000001</v>
      </c>
      <c r="T193">
        <v>19397.68</v>
      </c>
      <c r="U193">
        <v>6452.72</v>
      </c>
      <c r="V193" t="s">
        <v>32</v>
      </c>
      <c r="W193" t="s">
        <v>33</v>
      </c>
      <c r="X193" t="str">
        <f>_xlfn.TEXTJOIN("|", TRUE, A193:W193)</f>
        <v>ORD-2024-10192|45584|45589|5|OK|CUST-7410|Sneha Kapoor|Small Business|South|Tamil Nadu|Chennai|Furniture|Bookcases|Prime Bookcases 602|Second Class|6|4308.4|0.65|25850.4|19397.68|6452.72|Paid|Completed</v>
      </c>
      <c r="Y193">
        <f>COUNTIF($X$2:$X$1000, X193)</f>
        <v>1</v>
      </c>
      <c r="Z193">
        <f>COUNTIF($A$2:$A$1000, A193)</f>
        <v>1</v>
      </c>
      <c r="AA193" t="str">
        <f>IF(Y193&gt;1, "Exact Duplicate",
  IF(Z193&gt;1, "Conflicting Duplicate - Review",
    "Unique"))</f>
        <v>Unique</v>
      </c>
      <c r="AB193" s="2">
        <f>IF(ISBLANK(R193), 0, IF(ISTEXT(R193), VALUE(SUBSTITUTE(R193, "%", ""))/100, IF(OR(R193&lt;0, R193&gt;1), "Invalid", R193)))</f>
        <v>0.65</v>
      </c>
      <c r="AC193" s="4">
        <f>IF(AB193="Invalid", "Error", P193 * Q193 * (1 - AB193))</f>
        <v>9047.64</v>
      </c>
      <c r="AD193" s="4">
        <f>IF(AC193="Error", "Error", AC193 - T193)</f>
        <v>-10350.040000000001</v>
      </c>
      <c r="AE193" s="2">
        <f>IF(AC193="Error", "Error", IF(AC193=0, 0, AD193 / AC193))</f>
        <v>-1.1439491403283069</v>
      </c>
      <c r="AF193" s="7">
        <f>C193-B193</f>
        <v>5</v>
      </c>
      <c r="AG193" s="2" t="str">
        <f>TEXT(B193, "mmmm")</f>
        <v>October</v>
      </c>
      <c r="AH193" s="4">
        <f>YEAR(B193)</f>
        <v>2024</v>
      </c>
      <c r="AI193" s="2" t="str">
        <f t="shared" si="16"/>
        <v>Clean</v>
      </c>
      <c r="AJ193">
        <f>COUNTIFS($A$2:$A$1000,A193,$B$2:$B$1000,B193,$C$2:$C$1000,C193,$D$2:$D$1000,D193,$E$2:$E$1000,E193,$F$2:$F$1000,F193)</f>
        <v>1</v>
      </c>
      <c r="AK193">
        <f>COUNTIF($A$2:$A$1000, A193)</f>
        <v>1</v>
      </c>
    </row>
    <row r="194" spans="1:37">
      <c r="A194" t="s">
        <v>684</v>
      </c>
      <c r="B194" s="5">
        <v>45635</v>
      </c>
      <c r="C194" s="5">
        <v>45642</v>
      </c>
      <c r="D194" s="6">
        <f>IF(AND(C194&lt;&gt;"",B194&lt;&gt;""), C194-B194, "Missing Date")</f>
        <v>7</v>
      </c>
      <c r="E194" s="6" t="str">
        <f>IF(OR(B194="",C194=""), "Missing Date",
    IF(C194&lt;B194, "Invalid: Ship before Order",
      "OK"))</f>
        <v>OK</v>
      </c>
      <c r="F194" t="s">
        <v>685</v>
      </c>
      <c r="G194" t="s">
        <v>47</v>
      </c>
      <c r="H194" t="s">
        <v>95</v>
      </c>
      <c r="I194" t="s">
        <v>63</v>
      </c>
      <c r="J194" t="s">
        <v>180</v>
      </c>
      <c r="K194" t="s">
        <v>181</v>
      </c>
      <c r="L194" t="s">
        <v>41</v>
      </c>
      <c r="M194" t="s">
        <v>66</v>
      </c>
      <c r="N194" t="s">
        <v>686</v>
      </c>
      <c r="O194" t="s">
        <v>50</v>
      </c>
      <c r="P194">
        <v>4</v>
      </c>
      <c r="Q194">
        <v>2191.0300000000002</v>
      </c>
      <c r="R194">
        <v>0</v>
      </c>
      <c r="S194">
        <v>8764.1200000000008</v>
      </c>
      <c r="T194">
        <v>7220.05</v>
      </c>
      <c r="U194">
        <v>1544.07</v>
      </c>
      <c r="V194" t="s">
        <v>32</v>
      </c>
      <c r="W194" t="s">
        <v>33</v>
      </c>
      <c r="X194" t="str">
        <f>_xlfn.TEXTJOIN("|", TRUE, A194:W194)</f>
        <v>ORD-2024-10193|45635|45642|7|OK|CUST-7115|Isha Nair|Home Office|West|Gujarat|Ahmedabad|Furniture|Chairs|Eco Chairs 438|First Class|4|2191.03|0|8764.12|7220.05|1544.07|Paid|Completed</v>
      </c>
      <c r="Y194">
        <f>COUNTIF($X$2:$X$1000, X194)</f>
        <v>1</v>
      </c>
      <c r="Z194">
        <f>COUNTIF($A$2:$A$1000, A194)</f>
        <v>1</v>
      </c>
      <c r="AA194" t="str">
        <f>IF(Y194&gt;1, "Exact Duplicate",
  IF(Z194&gt;1, "Conflicting Duplicate - Review",
    "Unique"))</f>
        <v>Unique</v>
      </c>
      <c r="AB194" s="2">
        <f>IF(ISBLANK(R194), 0, IF(ISTEXT(R194), VALUE(SUBSTITUTE(R194, "%", ""))/100, IF(OR(R194&lt;0, R194&gt;1), "Invalid", R194)))</f>
        <v>0</v>
      </c>
      <c r="AC194" s="4">
        <f>IF(AB194="Invalid", "Error", P194 * Q194 * (1 - AB194))</f>
        <v>8764.1200000000008</v>
      </c>
      <c r="AD194" s="4">
        <f>IF(AC194="Error", "Error", AC194 - T194)</f>
        <v>1544.0700000000006</v>
      </c>
      <c r="AE194" s="2">
        <f>IF(AC194="Error", "Error", IF(AC194=0, 0, AD194 / AC194))</f>
        <v>0.17618083732308554</v>
      </c>
      <c r="AF194" s="7">
        <f>C194-B194</f>
        <v>7</v>
      </c>
      <c r="AG194" s="2" t="str">
        <f>TEXT(B194, "mmmm")</f>
        <v>December</v>
      </c>
      <c r="AH194" s="4">
        <f>YEAR(B194)</f>
        <v>2024</v>
      </c>
      <c r="AI194" s="2" t="str">
        <f t="shared" si="16"/>
        <v>Clean</v>
      </c>
      <c r="AJ194">
        <f>COUNTIFS($A$2:$A$1000,A194,$B$2:$B$1000,B194,$C$2:$C$1000,C194,$D$2:$D$1000,D194,$E$2:$E$1000,E194,$F$2:$F$1000,F194)</f>
        <v>1</v>
      </c>
      <c r="AK194">
        <f>COUNTIF($A$2:$A$1000, A194)</f>
        <v>1</v>
      </c>
    </row>
    <row r="195" spans="1:37">
      <c r="A195" t="s">
        <v>687</v>
      </c>
      <c r="B195" s="5">
        <v>45466</v>
      </c>
      <c r="C195" s="5">
        <v>45471</v>
      </c>
      <c r="D195" s="6">
        <f>IF(AND(C195&lt;&gt;"",B195&lt;&gt;""), C195-B195, "Missing Date")</f>
        <v>5</v>
      </c>
      <c r="E195" s="6" t="str">
        <f>IF(OR(B195="",C195=""), "Missing Date",
    IF(C195&lt;B195, "Invalid: Ship before Order",
      "OK"))</f>
        <v>OK</v>
      </c>
      <c r="F195" t="s">
        <v>688</v>
      </c>
      <c r="G195" t="s">
        <v>114</v>
      </c>
      <c r="H195" t="s">
        <v>37</v>
      </c>
      <c r="I195" t="s">
        <v>25</v>
      </c>
      <c r="J195" t="s">
        <v>122</v>
      </c>
      <c r="K195" t="s">
        <v>123</v>
      </c>
      <c r="L195" t="s">
        <v>74</v>
      </c>
      <c r="M195" t="s">
        <v>80</v>
      </c>
      <c r="N195" t="s">
        <v>689</v>
      </c>
      <c r="O195" t="s">
        <v>44</v>
      </c>
      <c r="P195">
        <v>6</v>
      </c>
      <c r="Q195">
        <v>1956.63</v>
      </c>
      <c r="R195">
        <v>0.2</v>
      </c>
      <c r="S195">
        <v>9391.82</v>
      </c>
      <c r="T195">
        <v>6013.22</v>
      </c>
      <c r="U195">
        <v>3378.6</v>
      </c>
      <c r="V195" t="s">
        <v>102</v>
      </c>
      <c r="W195" t="s">
        <v>103</v>
      </c>
      <c r="X195" t="str">
        <f>_xlfn.TEXTJOIN("|", TRUE, A195:W195)</f>
        <v>ORD-2024-10194|45466|45471|5|OK|CUST-9853|Priya Menon|Small Business|North|Punjab|Ludhiana|Technology|Copiers|Prime Copiers 142|Same Day|6|1956.63|0.2|9391.82|6013.22|3378.6|Refunded|Returned</v>
      </c>
      <c r="Y195">
        <f>COUNTIF($X$2:$X$1000, X195)</f>
        <v>1</v>
      </c>
      <c r="Z195">
        <f>COUNTIF($A$2:$A$1000, A195)</f>
        <v>1</v>
      </c>
      <c r="AA195" t="str">
        <f>IF(Y195&gt;1, "Exact Duplicate",
  IF(Z195&gt;1, "Conflicting Duplicate - Review",
    "Unique"))</f>
        <v>Unique</v>
      </c>
      <c r="AB195" s="2">
        <f>IF(ISBLANK(R195), 0, IF(ISTEXT(R195), VALUE(SUBSTITUTE(R195, "%", ""))/100, IF(OR(R195&lt;0, R195&gt;1), "Invalid", R195)))</f>
        <v>0.2</v>
      </c>
      <c r="AC195" s="4">
        <f>IF(AB195="Invalid", "Error", P195 * Q195 * (1 - AB195))</f>
        <v>9391.8240000000005</v>
      </c>
      <c r="AD195" s="4">
        <f>IF(AC195="Error", "Error", AC195 - T195)</f>
        <v>3378.6040000000003</v>
      </c>
      <c r="AE195" s="2">
        <f>IF(AC195="Error", "Error", IF(AC195=0, 0, AD195 / AC195))</f>
        <v>0.35973885370935399</v>
      </c>
      <c r="AF195" s="7">
        <f>C195-B195</f>
        <v>5</v>
      </c>
      <c r="AG195" s="2" t="str">
        <f>TEXT(B195, "mmmm")</f>
        <v>June</v>
      </c>
      <c r="AH195" s="4">
        <f>YEAR(B195)</f>
        <v>2024</v>
      </c>
      <c r="AI195" s="2" t="str">
        <f t="shared" ref="AI195:AI258" si="17">IF(OR(R195&lt;0,R195&gt;1),"Invalid: Discount",
IF(AND(I195="Unknown",J195&lt;&gt;""),"Warning: Missing Region",
IF(W195="Cancelled","Excluded from Sales",
IF(V195="Failed","Excluded from Sales",
IF(O195="Unknown","Warning: Missing Shipping Mode",
IF(W195="Refunded","Refund – Separate Summary",
IF(C195&lt;B195,"Invalid Shipping Record",
"Clean")))))))</f>
        <v>Clean</v>
      </c>
      <c r="AJ195">
        <f>COUNTIFS($A$2:$A$1000,A195,$B$2:$B$1000,B195,$C$2:$C$1000,C195,$D$2:$D$1000,D195,$E$2:$E$1000,E195,$F$2:$F$1000,F195)</f>
        <v>1</v>
      </c>
      <c r="AK195">
        <f>COUNTIF($A$2:$A$1000, A195)</f>
        <v>1</v>
      </c>
    </row>
    <row r="196" spans="1:37">
      <c r="A196" t="s">
        <v>690</v>
      </c>
      <c r="B196" s="5">
        <v>45685</v>
      </c>
      <c r="C196" s="5">
        <v>45688</v>
      </c>
      <c r="D196" s="6">
        <f>IF(AND(C196&lt;&gt;"",B196&lt;&gt;""), C196-B196, "Missing Date")</f>
        <v>3</v>
      </c>
      <c r="E196" s="6" t="str">
        <f>IF(OR(B196="",C196=""), "Missing Date",
    IF(C196&lt;B196, "Invalid: Ship before Order",
      "OK"))</f>
        <v>OK</v>
      </c>
      <c r="F196" t="s">
        <v>691</v>
      </c>
      <c r="G196" t="s">
        <v>114</v>
      </c>
      <c r="H196" t="s">
        <v>24</v>
      </c>
      <c r="I196" t="s">
        <v>63</v>
      </c>
      <c r="J196" t="s">
        <v>64</v>
      </c>
      <c r="K196" t="s">
        <v>65</v>
      </c>
      <c r="L196" t="s">
        <v>41</v>
      </c>
      <c r="M196" t="s">
        <v>57</v>
      </c>
      <c r="N196" t="s">
        <v>692</v>
      </c>
      <c r="O196" t="s">
        <v>50</v>
      </c>
      <c r="P196">
        <v>9</v>
      </c>
      <c r="Q196">
        <v>858.39</v>
      </c>
      <c r="R196">
        <v>0.05</v>
      </c>
      <c r="S196">
        <v>7339.23</v>
      </c>
      <c r="T196">
        <v>5434.12</v>
      </c>
      <c r="U196">
        <v>1905.11</v>
      </c>
      <c r="V196" t="s">
        <v>111</v>
      </c>
      <c r="W196" t="s">
        <v>103</v>
      </c>
      <c r="X196" t="str">
        <f>_xlfn.TEXTJOIN("|", TRUE, A196:W196)</f>
        <v>ORD-2025-10195|45685|45688|3|OK|CUST-3637|Priya Menon|Consumer|West|Maharashtra|Mumbai|Furniture|Furnishings|Prime Furnishings 433|First Class|9|858.39|0.05|7339.23|5434.12|1905.11|Pending|Returned</v>
      </c>
      <c r="Y196">
        <f>COUNTIF($X$2:$X$1000, X196)</f>
        <v>1</v>
      </c>
      <c r="Z196">
        <f>COUNTIF($A$2:$A$1000, A196)</f>
        <v>1</v>
      </c>
      <c r="AA196" t="str">
        <f>IF(Y196&gt;1, "Exact Duplicate",
  IF(Z196&gt;1, "Conflicting Duplicate - Review",
    "Unique"))</f>
        <v>Unique</v>
      </c>
      <c r="AB196" s="2">
        <f>IF(ISBLANK(R196), 0, IF(ISTEXT(R196), VALUE(SUBSTITUTE(R196, "%", ""))/100, IF(OR(R196&lt;0, R196&gt;1), "Invalid", R196)))</f>
        <v>0.05</v>
      </c>
      <c r="AC196" s="4">
        <f>IF(AB196="Invalid", "Error", P196 * Q196 * (1 - AB196))</f>
        <v>7339.2344999999996</v>
      </c>
      <c r="AD196" s="4">
        <f>IF(AC196="Error", "Error", AC196 - T196)</f>
        <v>1905.1144999999997</v>
      </c>
      <c r="AE196" s="2">
        <f>IF(AC196="Error", "Error", IF(AC196=0, 0, AD196 / AC196))</f>
        <v>0.25957945614082772</v>
      </c>
      <c r="AF196" s="7">
        <f>C196-B196</f>
        <v>3</v>
      </c>
      <c r="AG196" s="2" t="str">
        <f>TEXT(B196, "mmmm")</f>
        <v>January</v>
      </c>
      <c r="AH196" s="4">
        <f>YEAR(B196)</f>
        <v>2025</v>
      </c>
      <c r="AI196" s="2" t="str">
        <f t="shared" si="17"/>
        <v>Clean</v>
      </c>
      <c r="AJ196">
        <f>COUNTIFS($A$2:$A$1000,A196,$B$2:$B$1000,B196,$C$2:$C$1000,C196,$D$2:$D$1000,D196,$E$2:$E$1000,E196,$F$2:$F$1000,F196)</f>
        <v>1</v>
      </c>
      <c r="AK196">
        <f>COUNTIF($A$2:$A$1000, A196)</f>
        <v>1</v>
      </c>
    </row>
    <row r="197" spans="1:37">
      <c r="A197" t="s">
        <v>693</v>
      </c>
      <c r="B197" s="5">
        <v>45860</v>
      </c>
      <c r="C197" s="5">
        <v>45862</v>
      </c>
      <c r="D197" s="6">
        <f>IF(AND(C197&lt;&gt;"",B197&lt;&gt;""), C197-B197, "Missing Date")</f>
        <v>2</v>
      </c>
      <c r="E197" s="6" t="str">
        <f>IF(OR(B197="",C197=""), "Missing Date",
    IF(C197&lt;B197, "Invalid: Ship before Order",
      "OK"))</f>
        <v>OK</v>
      </c>
      <c r="F197" t="s">
        <v>694</v>
      </c>
      <c r="G197" t="s">
        <v>79</v>
      </c>
      <c r="H197" t="s">
        <v>95</v>
      </c>
      <c r="I197" t="s">
        <v>54</v>
      </c>
      <c r="J197" t="s">
        <v>84</v>
      </c>
      <c r="K197" t="s">
        <v>85</v>
      </c>
      <c r="L197" t="s">
        <v>41</v>
      </c>
      <c r="M197" t="s">
        <v>57</v>
      </c>
      <c r="N197" t="s">
        <v>695</v>
      </c>
      <c r="O197" t="s">
        <v>44</v>
      </c>
      <c r="P197">
        <v>5</v>
      </c>
      <c r="Q197">
        <v>1922.83</v>
      </c>
      <c r="R197">
        <v>0</v>
      </c>
      <c r="S197">
        <v>9614.15</v>
      </c>
      <c r="T197">
        <v>7576.84</v>
      </c>
      <c r="U197">
        <v>2037.31</v>
      </c>
      <c r="V197" t="s">
        <v>32</v>
      </c>
      <c r="W197" t="s">
        <v>33</v>
      </c>
      <c r="X197" t="str">
        <f>_xlfn.TEXTJOIN("|", TRUE, A197:W197)</f>
        <v>ORD-2025-10196|45860|45862|2|OK|CUST-4328|Neha Gupta|Home Office|South|Andhra Pradesh|Vijayawada|Furniture|Furnishings|Smart Furnishings 685|Same Day|5|1922.83|0|9614.15|7576.84|2037.31|Paid|Completed</v>
      </c>
      <c r="Y197">
        <f>COUNTIF($X$2:$X$1000, X197)</f>
        <v>1</v>
      </c>
      <c r="Z197">
        <f>COUNTIF($A$2:$A$1000, A197)</f>
        <v>1</v>
      </c>
      <c r="AA197" t="str">
        <f>IF(Y197&gt;1, "Exact Duplicate",
  IF(Z197&gt;1, "Conflicting Duplicate - Review",
    "Unique"))</f>
        <v>Unique</v>
      </c>
      <c r="AB197" s="2">
        <f>IF(ISBLANK(R197), 0, IF(ISTEXT(R197), VALUE(SUBSTITUTE(R197, "%", ""))/100, IF(OR(R197&lt;0, R197&gt;1), "Invalid", R197)))</f>
        <v>0</v>
      </c>
      <c r="AC197" s="4">
        <f>IF(AB197="Invalid", "Error", P197 * Q197 * (1 - AB197))</f>
        <v>9614.15</v>
      </c>
      <c r="AD197" s="4">
        <f>IF(AC197="Error", "Error", AC197 - T197)</f>
        <v>2037.3099999999995</v>
      </c>
      <c r="AE197" s="2">
        <f>IF(AC197="Error", "Error", IF(AC197=0, 0, AD197 / AC197))</f>
        <v>0.21190744891644084</v>
      </c>
      <c r="AF197" s="7">
        <f>C197-B197</f>
        <v>2</v>
      </c>
      <c r="AG197" s="2" t="str">
        <f>TEXT(B197, "mmmm")</f>
        <v>July</v>
      </c>
      <c r="AH197" s="4">
        <f>YEAR(B197)</f>
        <v>2025</v>
      </c>
      <c r="AI197" s="2" t="str">
        <f t="shared" si="17"/>
        <v>Clean</v>
      </c>
      <c r="AJ197">
        <f>COUNTIFS($A$2:$A$1000,A197,$B$2:$B$1000,B197,$C$2:$C$1000,C197,$D$2:$D$1000,D197,$E$2:$E$1000,E197,$F$2:$F$1000,F197)</f>
        <v>1</v>
      </c>
      <c r="AK197">
        <f>COUNTIF($A$2:$A$1000, A197)</f>
        <v>1</v>
      </c>
    </row>
    <row r="198" spans="1:37">
      <c r="A198" t="s">
        <v>696</v>
      </c>
      <c r="B198" s="5">
        <v>45313</v>
      </c>
      <c r="C198" s="5">
        <v>45316</v>
      </c>
      <c r="D198" s="6">
        <f>IF(AND(C198&lt;&gt;"",B198&lt;&gt;""), C198-B198, "Missing Date")</f>
        <v>3</v>
      </c>
      <c r="E198" s="6" t="str">
        <f>IF(OR(B198="",C198=""), "Missing Date",
    IF(C198&lt;B198, "Invalid: Ship before Order",
      "OK"))</f>
        <v>OK</v>
      </c>
      <c r="F198" t="s">
        <v>697</v>
      </c>
      <c r="G198" t="s">
        <v>264</v>
      </c>
      <c r="H198" t="s">
        <v>95</v>
      </c>
      <c r="I198" t="s">
        <v>25</v>
      </c>
      <c r="J198" t="s">
        <v>136</v>
      </c>
      <c r="K198" t="s">
        <v>137</v>
      </c>
      <c r="L198" t="s">
        <v>28</v>
      </c>
      <c r="M198" t="s">
        <v>124</v>
      </c>
      <c r="N198" t="s">
        <v>698</v>
      </c>
      <c r="O198" t="s">
        <v>50</v>
      </c>
      <c r="P198">
        <v>3</v>
      </c>
      <c r="Q198">
        <v>1212.03</v>
      </c>
      <c r="R198">
        <v>0.1</v>
      </c>
      <c r="S198">
        <v>3272.48</v>
      </c>
      <c r="T198">
        <v>2517.44</v>
      </c>
      <c r="U198">
        <v>755.04</v>
      </c>
      <c r="V198" t="s">
        <v>32</v>
      </c>
      <c r="W198" t="s">
        <v>33</v>
      </c>
      <c r="X198" t="str">
        <f>_xlfn.TEXTJOIN("|", TRUE, A198:W198)</f>
        <v>ORD-2024-10197|45313|45316|3|OK|CUST-8028|Kabir Singh|Home Office|North|Uttar Pradesh|Noida|Office Supplies|Storage|Elite Storage 915|First Class|3|1212.03|0.1|3272.48|2517.44|755.04|Paid|Completed</v>
      </c>
      <c r="Y198">
        <f>COUNTIF($X$2:$X$1000, X198)</f>
        <v>1</v>
      </c>
      <c r="Z198">
        <f>COUNTIF($A$2:$A$1000, A198)</f>
        <v>1</v>
      </c>
      <c r="AA198" t="str">
        <f>IF(Y198&gt;1, "Exact Duplicate",
  IF(Z198&gt;1, "Conflicting Duplicate - Review",
    "Unique"))</f>
        <v>Unique</v>
      </c>
      <c r="AB198" s="2">
        <f>IF(ISBLANK(R198), 0, IF(ISTEXT(R198), VALUE(SUBSTITUTE(R198, "%", ""))/100, IF(OR(R198&lt;0, R198&gt;1), "Invalid", R198)))</f>
        <v>0.1</v>
      </c>
      <c r="AC198" s="4">
        <f>IF(AB198="Invalid", "Error", P198 * Q198 * (1 - AB198))</f>
        <v>3272.4810000000002</v>
      </c>
      <c r="AD198" s="4">
        <f>IF(AC198="Error", "Error", AC198 - T198)</f>
        <v>755.04100000000017</v>
      </c>
      <c r="AE198" s="2">
        <f>IF(AC198="Error", "Error", IF(AC198=0, 0, AD198 / AC198))</f>
        <v>0.23072433422837293</v>
      </c>
      <c r="AF198" s="7">
        <f>C198-B198</f>
        <v>3</v>
      </c>
      <c r="AG198" s="2" t="str">
        <f>TEXT(B198, "mmmm")</f>
        <v>January</v>
      </c>
      <c r="AH198" s="4">
        <f>YEAR(B198)</f>
        <v>2024</v>
      </c>
      <c r="AI198" s="2" t="str">
        <f t="shared" si="17"/>
        <v>Clean</v>
      </c>
      <c r="AJ198">
        <f>COUNTIFS($A$2:$A$1000,A198,$B$2:$B$1000,B198,$C$2:$C$1000,C198,$D$2:$D$1000,D198,$E$2:$E$1000,E198,$F$2:$F$1000,F198)</f>
        <v>1</v>
      </c>
      <c r="AK198">
        <f>COUNTIF($A$2:$A$1000, A198)</f>
        <v>1</v>
      </c>
    </row>
    <row r="199" spans="1:37">
      <c r="A199" t="s">
        <v>699</v>
      </c>
      <c r="B199" s="5">
        <v>45747</v>
      </c>
      <c r="C199" s="5">
        <v>45754</v>
      </c>
      <c r="D199" s="6">
        <f>IF(AND(C199&lt;&gt;"",B199&lt;&gt;""), C199-B199, "Missing Date")</f>
        <v>7</v>
      </c>
      <c r="E199" s="6" t="str">
        <f>IF(OR(B199="",C199=""), "Missing Date",
    IF(C199&lt;B199, "Invalid: Ship before Order",
      "OK"))</f>
        <v>OK</v>
      </c>
      <c r="F199" t="s">
        <v>390</v>
      </c>
      <c r="G199" t="s">
        <v>118</v>
      </c>
      <c r="H199" t="s">
        <v>37</v>
      </c>
      <c r="I199" t="s">
        <v>38</v>
      </c>
      <c r="J199" t="s">
        <v>145</v>
      </c>
      <c r="K199" t="s">
        <v>146</v>
      </c>
      <c r="L199" t="s">
        <v>28</v>
      </c>
      <c r="M199" t="s">
        <v>124</v>
      </c>
      <c r="N199" t="s">
        <v>700</v>
      </c>
      <c r="O199" t="s">
        <v>31</v>
      </c>
      <c r="P199">
        <v>5</v>
      </c>
      <c r="Q199">
        <v>4096.4399999999996</v>
      </c>
      <c r="R199">
        <v>0.15</v>
      </c>
      <c r="S199">
        <v>17409.87</v>
      </c>
      <c r="T199">
        <v>14076.25</v>
      </c>
      <c r="U199">
        <v>3333.62</v>
      </c>
      <c r="V199" t="s">
        <v>32</v>
      </c>
      <c r="W199" t="s">
        <v>33</v>
      </c>
      <c r="X199" t="str">
        <f>_xlfn.TEXTJOIN("|", TRUE, A199:W199)</f>
        <v>ORD-2025-10198|45747|45754|7|OK|CUST-6106|Rahul Verma|Small Business|East|Bihar|Patna|Office Supplies|Storage|Basic Storage 961|Second Class|5|4096.44|0.15|17409.87|14076.25|3333.62|Paid|Completed</v>
      </c>
      <c r="Y199">
        <f>COUNTIF($X$2:$X$1000, X199)</f>
        <v>1</v>
      </c>
      <c r="Z199">
        <f>COUNTIF($A$2:$A$1000, A199)</f>
        <v>1</v>
      </c>
      <c r="AA199" t="str">
        <f>IF(Y199&gt;1, "Exact Duplicate",
  IF(Z199&gt;1, "Conflicting Duplicate - Review",
    "Unique"))</f>
        <v>Unique</v>
      </c>
      <c r="AB199" s="2">
        <f>IF(ISBLANK(R199), 0, IF(ISTEXT(R199), VALUE(SUBSTITUTE(R199, "%", ""))/100, IF(OR(R199&lt;0, R199&gt;1), "Invalid", R199)))</f>
        <v>0.15</v>
      </c>
      <c r="AC199" s="4">
        <f>IF(AB199="Invalid", "Error", P199 * Q199 * (1 - AB199))</f>
        <v>17409.869999999995</v>
      </c>
      <c r="AD199" s="4">
        <f>IF(AC199="Error", "Error", AC199 - T199)</f>
        <v>3333.6199999999953</v>
      </c>
      <c r="AE199" s="2">
        <f>IF(AC199="Error", "Error", IF(AC199=0, 0, AD199 / AC199))</f>
        <v>0.19147874165631312</v>
      </c>
      <c r="AF199" s="7">
        <f>C199-B199</f>
        <v>7</v>
      </c>
      <c r="AG199" s="2" t="str">
        <f>TEXT(B199, "mmmm")</f>
        <v>March</v>
      </c>
      <c r="AH199" s="4">
        <f>YEAR(B199)</f>
        <v>2025</v>
      </c>
      <c r="AI199" s="2" t="str">
        <f t="shared" si="17"/>
        <v>Clean</v>
      </c>
      <c r="AJ199">
        <f>COUNTIFS($A$2:$A$1000,A199,$B$2:$B$1000,B199,$C$2:$C$1000,C199,$D$2:$D$1000,D199,$E$2:$E$1000,E199,$F$2:$F$1000,F199)</f>
        <v>1</v>
      </c>
      <c r="AK199">
        <f>COUNTIF($A$2:$A$1000, A199)</f>
        <v>1</v>
      </c>
    </row>
    <row r="200" spans="1:37">
      <c r="A200" t="s">
        <v>701</v>
      </c>
      <c r="B200" s="5">
        <v>45448</v>
      </c>
      <c r="C200" s="5">
        <v>45449</v>
      </c>
      <c r="D200" s="6">
        <f>IF(AND(C200&lt;&gt;"",B200&lt;&gt;""), C200-B200, "Missing Date")</f>
        <v>1</v>
      </c>
      <c r="E200" s="6" t="str">
        <f>IF(OR(B200="",C200=""), "Missing Date",
    IF(C200&lt;B200, "Invalid: Ship before Order",
      "OK"))</f>
        <v>OK</v>
      </c>
      <c r="F200" t="s">
        <v>702</v>
      </c>
      <c r="G200" t="s">
        <v>132</v>
      </c>
      <c r="H200" t="s">
        <v>24</v>
      </c>
      <c r="I200" t="s">
        <v>63</v>
      </c>
      <c r="J200" t="s">
        <v>180</v>
      </c>
      <c r="K200" t="s">
        <v>181</v>
      </c>
      <c r="L200" t="s">
        <v>28</v>
      </c>
      <c r="M200" t="s">
        <v>48</v>
      </c>
      <c r="N200" t="s">
        <v>703</v>
      </c>
      <c r="O200" t="s">
        <v>31</v>
      </c>
      <c r="P200">
        <v>1</v>
      </c>
      <c r="Q200">
        <v>1184.58</v>
      </c>
      <c r="R200">
        <v>0.05</v>
      </c>
      <c r="S200">
        <v>1125.3499999999999</v>
      </c>
      <c r="T200">
        <v>676.97</v>
      </c>
      <c r="U200">
        <v>448.38</v>
      </c>
      <c r="V200" t="s">
        <v>155</v>
      </c>
      <c r="W200" t="s">
        <v>68</v>
      </c>
      <c r="X200" t="str">
        <f>_xlfn.TEXTJOIN("|", TRUE, A200:W200)</f>
        <v>ORD-2024-10199|45448|45449|1|OK|CUST-7820|Sneha Kapoor|Consumer|West|Gujarat|Ahmedabad|Office Supplies|Art|Classic Art 968|Second Class|1|1184.58|0.05|1125.35|676.97|448.38|Failed|Cancelled</v>
      </c>
      <c r="Y200">
        <f>COUNTIF($X$2:$X$1000, X200)</f>
        <v>1</v>
      </c>
      <c r="Z200">
        <f>COUNTIF($A$2:$A$1000, A200)</f>
        <v>1</v>
      </c>
      <c r="AA200" t="str">
        <f>IF(Y200&gt;1, "Exact Duplicate",
  IF(Z200&gt;1, "Conflicting Duplicate - Review",
    "Unique"))</f>
        <v>Unique</v>
      </c>
      <c r="AB200" s="2">
        <f>IF(ISBLANK(R200), 0, IF(ISTEXT(R200), VALUE(SUBSTITUTE(R200, "%", ""))/100, IF(OR(R200&lt;0, R200&gt;1), "Invalid", R200)))</f>
        <v>0.05</v>
      </c>
      <c r="AC200" s="4">
        <f>IF(AB200="Invalid", "Error", P200 * Q200 * (1 - AB200))</f>
        <v>1125.3509999999999</v>
      </c>
      <c r="AD200" s="4">
        <f>IF(AC200="Error", "Error", AC200 - T200)</f>
        <v>448.38099999999986</v>
      </c>
      <c r="AE200" s="2">
        <f>IF(AC200="Error", "Error", IF(AC200=0, 0, AD200 / AC200))</f>
        <v>0.39843657667696558</v>
      </c>
      <c r="AF200" s="7">
        <f>C200-B200</f>
        <v>1</v>
      </c>
      <c r="AG200" s="2" t="str">
        <f>TEXT(B200, "mmmm")</f>
        <v>June</v>
      </c>
      <c r="AH200" s="4">
        <f>YEAR(B200)</f>
        <v>2024</v>
      </c>
      <c r="AI200" s="2" t="str">
        <f t="shared" si="17"/>
        <v>Excluded from Sales</v>
      </c>
      <c r="AJ200">
        <f>COUNTIFS($A$2:$A$1000,A200,$B$2:$B$1000,B200,$C$2:$C$1000,C200,$D$2:$D$1000,D200,$E$2:$E$1000,E200,$F$2:$F$1000,F200)</f>
        <v>1</v>
      </c>
      <c r="AK200">
        <f>COUNTIF($A$2:$A$1000, A200)</f>
        <v>1</v>
      </c>
    </row>
    <row r="201" spans="1:37">
      <c r="A201" t="s">
        <v>704</v>
      </c>
      <c r="B201" s="5">
        <v>45629</v>
      </c>
      <c r="C201" s="5">
        <v>45363</v>
      </c>
      <c r="D201" s="6">
        <f>IF(AND(C201&lt;&gt;"",B201&lt;&gt;""), C201-B201, "Missing Date")</f>
        <v>-266</v>
      </c>
      <c r="E201" s="6" t="str">
        <f>IF(OR(B201="",C201=""), "Missing Date",
    IF(C201&lt;B201, "Invalid: Ship before Order",
      "OK"))</f>
        <v>Invalid: Ship before Order</v>
      </c>
      <c r="F201" t="s">
        <v>705</v>
      </c>
      <c r="G201" t="s">
        <v>118</v>
      </c>
      <c r="H201" t="s">
        <v>95</v>
      </c>
      <c r="I201" t="s">
        <v>38</v>
      </c>
      <c r="J201" t="s">
        <v>145</v>
      </c>
      <c r="K201" t="s">
        <v>146</v>
      </c>
      <c r="L201" t="s">
        <v>74</v>
      </c>
      <c r="M201" t="s">
        <v>274</v>
      </c>
      <c r="N201" t="s">
        <v>706</v>
      </c>
      <c r="O201" t="s">
        <v>2762</v>
      </c>
      <c r="P201">
        <v>6</v>
      </c>
      <c r="Q201">
        <v>2185.58</v>
      </c>
      <c r="R201">
        <v>0.25</v>
      </c>
      <c r="S201">
        <v>9835.11</v>
      </c>
      <c r="T201">
        <v>5437.64</v>
      </c>
      <c r="U201">
        <v>4397.47</v>
      </c>
      <c r="V201" t="s">
        <v>32</v>
      </c>
      <c r="W201" t="s">
        <v>33</v>
      </c>
      <c r="X201" t="str">
        <f>_xlfn.TEXTJOIN("|", TRUE, A201:W201)</f>
        <v>ORD-2024-10200|45629|45363|-266|Invalid: Ship before Order|CUST-4536|Rahul Verma|Home Office|East|Bihar|Patna|Technology|Machines|Prime Machines 806|Unknown|6|2185.58|0.25|9835.11|5437.64|4397.47|Paid|Completed</v>
      </c>
      <c r="Y201">
        <f>COUNTIF($X$2:$X$1000, X201)</f>
        <v>1</v>
      </c>
      <c r="Z201">
        <f>COUNTIF($A$2:$A$1000, A201)</f>
        <v>1</v>
      </c>
      <c r="AA201" t="str">
        <f>IF(Y201&gt;1, "Exact Duplicate",
  IF(Z201&gt;1, "Conflicting Duplicate - Review",
    "Unique"))</f>
        <v>Unique</v>
      </c>
      <c r="AB201" s="2">
        <f>IF(ISBLANK(R201), 0, IF(ISTEXT(R201), VALUE(SUBSTITUTE(R201, "%", ""))/100, IF(OR(R201&lt;0, R201&gt;1), "Invalid", R201)))</f>
        <v>0.25</v>
      </c>
      <c r="AC201" s="4">
        <f>IF(AB201="Invalid", "Error", P201 * Q201 * (1 - AB201))</f>
        <v>9835.11</v>
      </c>
      <c r="AD201" s="4">
        <f>IF(AC201="Error", "Error", AC201 - T201)</f>
        <v>4397.47</v>
      </c>
      <c r="AE201" s="2">
        <f>IF(AC201="Error", "Error", IF(AC201=0, 0, AD201 / AC201))</f>
        <v>0.44711955433136996</v>
      </c>
      <c r="AF201" s="7">
        <f>C201-B201</f>
        <v>-266</v>
      </c>
      <c r="AG201" s="2" t="str">
        <f>TEXT(B201, "mmmm")</f>
        <v>December</v>
      </c>
      <c r="AH201" s="4">
        <f>YEAR(B201)</f>
        <v>2024</v>
      </c>
      <c r="AI201" s="2" t="str">
        <f t="shared" si="17"/>
        <v>Warning: Missing Shipping Mode</v>
      </c>
      <c r="AJ201">
        <f>COUNTIFS($A$2:$A$1000,A201,$B$2:$B$1000,B201,$C$2:$C$1000,C201,$D$2:$D$1000,D201,$E$2:$E$1000,E201,$F$2:$F$1000,F201)</f>
        <v>1</v>
      </c>
      <c r="AK201">
        <f>COUNTIF($A$2:$A$1000, A201)</f>
        <v>1</v>
      </c>
    </row>
    <row r="202" spans="1:37">
      <c r="A202" t="s">
        <v>707</v>
      </c>
      <c r="B202" s="5">
        <v>45835</v>
      </c>
      <c r="C202" s="5">
        <v>45843</v>
      </c>
      <c r="D202" s="6">
        <f>IF(AND(C202&lt;&gt;"",B202&lt;&gt;""), C202-B202, "Missing Date")</f>
        <v>8</v>
      </c>
      <c r="E202" s="6" t="str">
        <f>IF(OR(B202="",C202=""), "Missing Date",
    IF(C202&lt;B202, "Invalid: Ship before Order",
      "OK"))</f>
        <v>OK</v>
      </c>
      <c r="F202" t="s">
        <v>708</v>
      </c>
      <c r="G202" t="s">
        <v>114</v>
      </c>
      <c r="H202" t="s">
        <v>37</v>
      </c>
      <c r="I202" t="s">
        <v>25</v>
      </c>
      <c r="J202" t="s">
        <v>26</v>
      </c>
      <c r="K202" t="s">
        <v>27</v>
      </c>
      <c r="L202" t="s">
        <v>74</v>
      </c>
      <c r="M202" t="s">
        <v>80</v>
      </c>
      <c r="N202" t="s">
        <v>709</v>
      </c>
      <c r="O202" t="s">
        <v>50</v>
      </c>
      <c r="P202">
        <v>5</v>
      </c>
      <c r="Q202">
        <v>2868.44</v>
      </c>
      <c r="R202">
        <v>0.1</v>
      </c>
      <c r="S202">
        <v>12907.98</v>
      </c>
      <c r="T202">
        <v>9197.08</v>
      </c>
      <c r="U202">
        <v>3710.9</v>
      </c>
      <c r="V202" t="s">
        <v>111</v>
      </c>
      <c r="W202" t="s">
        <v>68</v>
      </c>
      <c r="X202" t="str">
        <f>_xlfn.TEXTJOIN("|", TRUE, A202:W202)</f>
        <v>ORD-2025-10201|45835|45843|8|OK|CUST-7047|Priya Menon|Small Business|North|Rajasthan|Jaipur|Technology|Copiers|Classic Copiers 479|First Class|5|2868.44|0.1|12907.98|9197.08|3710.9|Pending|Cancelled</v>
      </c>
      <c r="Y202">
        <f>COUNTIF($X$2:$X$1000, X202)</f>
        <v>1</v>
      </c>
      <c r="Z202">
        <f>COUNTIF($A$2:$A$1000, A202)</f>
        <v>1</v>
      </c>
      <c r="AA202" t="str">
        <f>IF(Y202&gt;1, "Exact Duplicate",
  IF(Z202&gt;1, "Conflicting Duplicate - Review",
    "Unique"))</f>
        <v>Unique</v>
      </c>
      <c r="AB202" s="2">
        <f>IF(ISBLANK(R202), 0, IF(ISTEXT(R202), VALUE(SUBSTITUTE(R202, "%", ""))/100, IF(OR(R202&lt;0, R202&gt;1), "Invalid", R202)))</f>
        <v>0.1</v>
      </c>
      <c r="AC202" s="4">
        <f>IF(AB202="Invalid", "Error", P202 * Q202 * (1 - AB202))</f>
        <v>12907.980000000001</v>
      </c>
      <c r="AD202" s="4">
        <f>IF(AC202="Error", "Error", AC202 - T202)</f>
        <v>3710.9000000000015</v>
      </c>
      <c r="AE202" s="2">
        <f>IF(AC202="Error", "Error", IF(AC202=0, 0, AD202 / AC202))</f>
        <v>0.28748882474252369</v>
      </c>
      <c r="AF202" s="7">
        <f>C202-B202</f>
        <v>8</v>
      </c>
      <c r="AG202" s="2" t="str">
        <f>TEXT(B202, "mmmm")</f>
        <v>June</v>
      </c>
      <c r="AH202" s="4">
        <f>YEAR(B202)</f>
        <v>2025</v>
      </c>
      <c r="AI202" s="2" t="str">
        <f t="shared" si="17"/>
        <v>Excluded from Sales</v>
      </c>
      <c r="AJ202">
        <f>COUNTIFS($A$2:$A$1000,A202,$B$2:$B$1000,B202,$C$2:$C$1000,C202,$D$2:$D$1000,D202,$E$2:$E$1000,E202,$F$2:$F$1000,F202)</f>
        <v>1</v>
      </c>
      <c r="AK202">
        <f>COUNTIF($A$2:$A$1000, A202)</f>
        <v>1</v>
      </c>
    </row>
    <row r="203" spans="1:37">
      <c r="A203" t="s">
        <v>710</v>
      </c>
      <c r="B203" s="5">
        <v>45864</v>
      </c>
      <c r="C203" s="5">
        <v>45724</v>
      </c>
      <c r="D203" s="6">
        <f>IF(AND(C203&lt;&gt;"",B203&lt;&gt;""), C203-B203, "Missing Date")</f>
        <v>-140</v>
      </c>
      <c r="E203" s="6" t="str">
        <f>IF(OR(B203="",C203=""), "Missing Date",
    IF(C203&lt;B203, "Invalid: Ship before Order",
      "OK"))</f>
        <v>Invalid: Ship before Order</v>
      </c>
      <c r="F203" t="s">
        <v>711</v>
      </c>
      <c r="G203" t="s">
        <v>71</v>
      </c>
      <c r="H203" t="s">
        <v>24</v>
      </c>
      <c r="I203" t="s">
        <v>63</v>
      </c>
      <c r="J203" t="s">
        <v>72</v>
      </c>
      <c r="K203" t="s">
        <v>73</v>
      </c>
      <c r="L203" t="s">
        <v>28</v>
      </c>
      <c r="M203" t="s">
        <v>91</v>
      </c>
      <c r="N203" t="s">
        <v>712</v>
      </c>
      <c r="O203" t="s">
        <v>31</v>
      </c>
      <c r="P203">
        <v>2</v>
      </c>
      <c r="Q203">
        <v>2503.5300000000002</v>
      </c>
      <c r="R203">
        <v>-0.16</v>
      </c>
      <c r="S203">
        <v>4756.71</v>
      </c>
      <c r="T203">
        <v>2954.86</v>
      </c>
      <c r="U203">
        <v>1801.85</v>
      </c>
      <c r="V203" t="s">
        <v>102</v>
      </c>
      <c r="W203" t="s">
        <v>68</v>
      </c>
      <c r="X203" t="str">
        <f>_xlfn.TEXTJOIN("|", TRUE, A203:W203)</f>
        <v>ORD-2025-10202|45864|45724|-140|Invalid: Ship before Order|CUST-8005|Vikram Iyer|Consumer|West|Madhya Pradesh|Indore|Office Supplies|Labels|Basic Labels 511|Second Class|2|2503.53|-0.16|4756.71|2954.86|1801.85|Refunded|Cancelled</v>
      </c>
      <c r="Y203">
        <f>COUNTIF($X$2:$X$1000, X203)</f>
        <v>1</v>
      </c>
      <c r="Z203">
        <f>COUNTIF($A$2:$A$1000, A203)</f>
        <v>1</v>
      </c>
      <c r="AA203" t="str">
        <f>IF(Y203&gt;1, "Exact Duplicate",
  IF(Z203&gt;1, "Conflicting Duplicate - Review",
    "Unique"))</f>
        <v>Unique</v>
      </c>
      <c r="AB203" s="2" t="str">
        <f>IF(ISBLANK(R203), 0, IF(ISTEXT(R203), VALUE(SUBSTITUTE(R203, "%", ""))/100, IF(OR(R203&lt;0, R203&gt;1), "Invalid", R203)))</f>
        <v>Invalid</v>
      </c>
      <c r="AC203" s="4" t="str">
        <f>IF(AB203="Invalid", "Error", P203 * Q203 * (1 - AB203))</f>
        <v>Error</v>
      </c>
      <c r="AD203" s="4" t="str">
        <f>IF(AC203="Error", "Error", AC203 - T203)</f>
        <v>Error</v>
      </c>
      <c r="AE203" s="2" t="str">
        <f>IF(AC203="Error", "Error", IF(AC203=0, 0, AD203 / AC203))</f>
        <v>Error</v>
      </c>
      <c r="AF203" s="7">
        <f>C203-B203</f>
        <v>-140</v>
      </c>
      <c r="AG203" s="2" t="str">
        <f>TEXT(B203, "mmmm")</f>
        <v>July</v>
      </c>
      <c r="AH203" s="4">
        <f>YEAR(B203)</f>
        <v>2025</v>
      </c>
      <c r="AI203" s="2" t="str">
        <f t="shared" si="17"/>
        <v>Invalid: Discount</v>
      </c>
      <c r="AJ203">
        <f>COUNTIFS($A$2:$A$1000,A203,$B$2:$B$1000,B203,$C$2:$C$1000,C203,$D$2:$D$1000,D203,$E$2:$E$1000,E203,$F$2:$F$1000,F203)</f>
        <v>1</v>
      </c>
      <c r="AK203">
        <f>COUNTIF($A$2:$A$1000, A203)</f>
        <v>1</v>
      </c>
    </row>
    <row r="204" spans="1:37">
      <c r="A204" t="s">
        <v>713</v>
      </c>
      <c r="B204" s="5">
        <v>45744</v>
      </c>
      <c r="C204" s="5">
        <v>45744</v>
      </c>
      <c r="D204" s="6">
        <f>IF(AND(C204&lt;&gt;"",B204&lt;&gt;""), C204-B204, "Missing Date")</f>
        <v>0</v>
      </c>
      <c r="E204" s="6" t="str">
        <f>IF(OR(B204="",C204=""), "Missing Date",
    IF(C204&lt;B204, "Invalid: Ship before Order",
      "OK"))</f>
        <v>OK</v>
      </c>
      <c r="F204" t="s">
        <v>714</v>
      </c>
      <c r="G204" t="s">
        <v>132</v>
      </c>
      <c r="H204" t="s">
        <v>90</v>
      </c>
      <c r="I204" t="s">
        <v>63</v>
      </c>
      <c r="J204" t="s">
        <v>190</v>
      </c>
      <c r="K204" t="s">
        <v>191</v>
      </c>
      <c r="L204" t="s">
        <v>74</v>
      </c>
      <c r="M204" t="s">
        <v>75</v>
      </c>
      <c r="N204" t="s">
        <v>715</v>
      </c>
      <c r="O204" t="s">
        <v>59</v>
      </c>
      <c r="P204">
        <v>8</v>
      </c>
      <c r="Q204">
        <v>1740.94</v>
      </c>
      <c r="R204">
        <v>0.05</v>
      </c>
      <c r="S204">
        <v>13231.14</v>
      </c>
      <c r="T204">
        <v>11290.06</v>
      </c>
      <c r="U204">
        <v>1941.08</v>
      </c>
      <c r="V204" t="s">
        <v>32</v>
      </c>
      <c r="W204" t="s">
        <v>33</v>
      </c>
      <c r="X204" t="str">
        <f>_xlfn.TEXTJOIN("|", TRUE, A204:W204)</f>
        <v>ORD-2025-10203|45744|45744|0|OK|CUST-9378|Sneha Kapoor|Corporate|West|Goa|Panaji|Technology|Accessories|Prime Accessories 733|Standard Class|8|1740.94|0.05|13231.14|11290.06|1941.08|Paid|Completed</v>
      </c>
      <c r="Y204">
        <f>COUNTIF($X$2:$X$1000, X204)</f>
        <v>1</v>
      </c>
      <c r="Z204">
        <f>COUNTIF($A$2:$A$1000, A204)</f>
        <v>1</v>
      </c>
      <c r="AA204" t="str">
        <f>IF(Y204&gt;1, "Exact Duplicate",
  IF(Z204&gt;1, "Conflicting Duplicate - Review",
    "Unique"))</f>
        <v>Unique</v>
      </c>
      <c r="AB204" s="2">
        <f>IF(ISBLANK(R204), 0, IF(ISTEXT(R204), VALUE(SUBSTITUTE(R204, "%", ""))/100, IF(OR(R204&lt;0, R204&gt;1), "Invalid", R204)))</f>
        <v>0.05</v>
      </c>
      <c r="AC204" s="4">
        <f>IF(AB204="Invalid", "Error", P204 * Q204 * (1 - AB204))</f>
        <v>13231.144</v>
      </c>
      <c r="AD204" s="4">
        <f>IF(AC204="Error", "Error", AC204 - T204)</f>
        <v>1941.0840000000007</v>
      </c>
      <c r="AE204" s="2">
        <f>IF(AC204="Error", "Error", IF(AC204=0, 0, AD204 / AC204))</f>
        <v>0.14670568168557463</v>
      </c>
      <c r="AF204" s="7">
        <f>C204-B204</f>
        <v>0</v>
      </c>
      <c r="AG204" s="2" t="str">
        <f>TEXT(B204, "mmmm")</f>
        <v>March</v>
      </c>
      <c r="AH204" s="4">
        <f>YEAR(B204)</f>
        <v>2025</v>
      </c>
      <c r="AI204" s="2" t="str">
        <f t="shared" si="17"/>
        <v>Clean</v>
      </c>
      <c r="AJ204">
        <f>COUNTIFS($A$2:$A$1000,A204,$B$2:$B$1000,B204,$C$2:$C$1000,C204,$D$2:$D$1000,D204,$E$2:$E$1000,E204,$F$2:$F$1000,F204)</f>
        <v>1</v>
      </c>
      <c r="AK204">
        <f>COUNTIF($A$2:$A$1000, A204)</f>
        <v>1</v>
      </c>
    </row>
    <row r="205" spans="1:37">
      <c r="A205" t="s">
        <v>716</v>
      </c>
      <c r="B205" s="5">
        <v>45379</v>
      </c>
      <c r="C205" s="5">
        <v>45381</v>
      </c>
      <c r="D205" s="6">
        <f>IF(AND(C205&lt;&gt;"",B205&lt;&gt;""), C205-B205, "Missing Date")</f>
        <v>2</v>
      </c>
      <c r="E205" s="6" t="str">
        <f>IF(OR(B205="",C205=""), "Missing Date",
    IF(C205&lt;B205, "Invalid: Ship before Order",
      "OK"))</f>
        <v>OK</v>
      </c>
      <c r="F205" t="s">
        <v>717</v>
      </c>
      <c r="G205" t="s">
        <v>132</v>
      </c>
      <c r="H205" t="s">
        <v>90</v>
      </c>
      <c r="I205" t="s">
        <v>63</v>
      </c>
      <c r="J205" t="s">
        <v>26</v>
      </c>
      <c r="K205" t="s">
        <v>109</v>
      </c>
      <c r="L205" t="s">
        <v>74</v>
      </c>
      <c r="M205" t="s">
        <v>75</v>
      </c>
      <c r="N205" t="s">
        <v>718</v>
      </c>
      <c r="O205" t="s">
        <v>31</v>
      </c>
      <c r="P205">
        <v>1</v>
      </c>
      <c r="Q205">
        <v>570.34</v>
      </c>
      <c r="R205">
        <v>0.15</v>
      </c>
      <c r="S205">
        <v>484.79</v>
      </c>
      <c r="T205">
        <v>333.54</v>
      </c>
      <c r="U205">
        <v>151.25</v>
      </c>
      <c r="V205" t="s">
        <v>32</v>
      </c>
      <c r="W205" t="s">
        <v>33</v>
      </c>
      <c r="X205" t="str">
        <f>_xlfn.TEXTJOIN("|", TRUE, A205:W205)</f>
        <v>ORD-2024-10204|45379|45381|2|OK|CUST-3384|Sneha Kapoor|Corporate|West|Rajasthan|Udaipur|Technology|Accessories|Max Accessories 186|Second Class|1|570.34|0.15|484.79|333.54|151.25|Paid|Completed</v>
      </c>
      <c r="Y205">
        <f>COUNTIF($X$2:$X$1000, X205)</f>
        <v>1</v>
      </c>
      <c r="Z205">
        <f>COUNTIF($A$2:$A$1000, A205)</f>
        <v>1</v>
      </c>
      <c r="AA205" t="str">
        <f>IF(Y205&gt;1, "Exact Duplicate",
  IF(Z205&gt;1, "Conflicting Duplicate - Review",
    "Unique"))</f>
        <v>Unique</v>
      </c>
      <c r="AB205" s="2">
        <f>IF(ISBLANK(R205), 0, IF(ISTEXT(R205), VALUE(SUBSTITUTE(R205, "%", ""))/100, IF(OR(R205&lt;0, R205&gt;1), "Invalid", R205)))</f>
        <v>0.15</v>
      </c>
      <c r="AC205" s="4">
        <f>IF(AB205="Invalid", "Error", P205 * Q205 * (1 - AB205))</f>
        <v>484.78899999999999</v>
      </c>
      <c r="AD205" s="4">
        <f>IF(AC205="Error", "Error", AC205 - T205)</f>
        <v>151.24899999999997</v>
      </c>
      <c r="AE205" s="2">
        <f>IF(AC205="Error", "Error", IF(AC205=0, 0, AD205 / AC205))</f>
        <v>0.3119893396921134</v>
      </c>
      <c r="AF205" s="7">
        <f>C205-B205</f>
        <v>2</v>
      </c>
      <c r="AG205" s="2" t="str">
        <f>TEXT(B205, "mmmm")</f>
        <v>March</v>
      </c>
      <c r="AH205" s="4">
        <f>YEAR(B205)</f>
        <v>2024</v>
      </c>
      <c r="AI205" s="2" t="str">
        <f t="shared" si="17"/>
        <v>Clean</v>
      </c>
      <c r="AJ205">
        <f>COUNTIFS($A$2:$A$1000,A205,$B$2:$B$1000,B205,$C$2:$C$1000,C205,$D$2:$D$1000,D205,$E$2:$E$1000,E205,$F$2:$F$1000,F205)</f>
        <v>1</v>
      </c>
      <c r="AK205">
        <f>COUNTIF($A$2:$A$1000, A205)</f>
        <v>1</v>
      </c>
    </row>
    <row r="206" spans="1:37">
      <c r="A206" t="s">
        <v>719</v>
      </c>
      <c r="B206" s="5">
        <v>45858</v>
      </c>
      <c r="C206" s="5">
        <v>45861</v>
      </c>
      <c r="D206" s="6">
        <f>IF(AND(C206&lt;&gt;"",B206&lt;&gt;""), C206-B206, "Missing Date")</f>
        <v>3</v>
      </c>
      <c r="E206" s="6" t="str">
        <f>IF(OR(B206="",C206=""), "Missing Date",
    IF(C206&lt;B206, "Invalid: Ship before Order",
      "OK"))</f>
        <v>OK</v>
      </c>
      <c r="F206" t="s">
        <v>720</v>
      </c>
      <c r="G206" t="s">
        <v>36</v>
      </c>
      <c r="H206" t="s">
        <v>95</v>
      </c>
      <c r="I206" t="s">
        <v>38</v>
      </c>
      <c r="J206" t="s">
        <v>99</v>
      </c>
      <c r="K206" t="s">
        <v>100</v>
      </c>
      <c r="L206" t="s">
        <v>41</v>
      </c>
      <c r="M206" t="s">
        <v>42</v>
      </c>
      <c r="N206" t="s">
        <v>721</v>
      </c>
      <c r="O206" t="s">
        <v>31</v>
      </c>
      <c r="P206">
        <v>4</v>
      </c>
      <c r="Q206">
        <v>477.69</v>
      </c>
      <c r="R206">
        <v>0.15</v>
      </c>
      <c r="S206">
        <v>1624.15</v>
      </c>
      <c r="T206">
        <v>1217.99</v>
      </c>
      <c r="U206">
        <v>406.16</v>
      </c>
      <c r="V206" t="s">
        <v>32</v>
      </c>
      <c r="W206" t="s">
        <v>33</v>
      </c>
      <c r="X206" t="str">
        <f>_xlfn.TEXTJOIN("|", TRUE, A206:W206)</f>
        <v>ORD-2025-10205|45858|45861|3|OK|CUST-1986|Mira Das|Home Office|East|West Bengal|Kolkata|Furniture|Tables|Elite Tables 318|Second Class|4|477.69|0.15|1624.15|1217.99|406.16|Paid|Completed</v>
      </c>
      <c r="Y206">
        <f>COUNTIF($X$2:$X$1000, X206)</f>
        <v>1</v>
      </c>
      <c r="Z206">
        <f>COUNTIF($A$2:$A$1000, A206)</f>
        <v>1</v>
      </c>
      <c r="AA206" t="str">
        <f>IF(Y206&gt;1, "Exact Duplicate",
  IF(Z206&gt;1, "Conflicting Duplicate - Review",
    "Unique"))</f>
        <v>Unique</v>
      </c>
      <c r="AB206" s="2">
        <f>IF(ISBLANK(R206), 0, IF(ISTEXT(R206), VALUE(SUBSTITUTE(R206, "%", ""))/100, IF(OR(R206&lt;0, R206&gt;1), "Invalid", R206)))</f>
        <v>0.15</v>
      </c>
      <c r="AC206" s="4">
        <f>IF(AB206="Invalid", "Error", P206 * Q206 * (1 - AB206))</f>
        <v>1624.146</v>
      </c>
      <c r="AD206" s="4">
        <f>IF(AC206="Error", "Error", AC206 - T206)</f>
        <v>406.15599999999995</v>
      </c>
      <c r="AE206" s="2">
        <f>IF(AC206="Error", "Error", IF(AC206=0, 0, AD206 / AC206))</f>
        <v>0.25007357712914968</v>
      </c>
      <c r="AF206" s="7">
        <f>C206-B206</f>
        <v>3</v>
      </c>
      <c r="AG206" s="2" t="str">
        <f>TEXT(B206, "mmmm")</f>
        <v>July</v>
      </c>
      <c r="AH206" s="4">
        <f>YEAR(B206)</f>
        <v>2025</v>
      </c>
      <c r="AI206" s="2" t="str">
        <f t="shared" si="17"/>
        <v>Clean</v>
      </c>
      <c r="AJ206">
        <f>COUNTIFS($A$2:$A$1000,A206,$B$2:$B$1000,B206,$C$2:$C$1000,C206,$D$2:$D$1000,D206,$E$2:$E$1000,E206,$F$2:$F$1000,F206)</f>
        <v>1</v>
      </c>
      <c r="AK206">
        <f>COUNTIF($A$2:$A$1000, A206)</f>
        <v>1</v>
      </c>
    </row>
    <row r="207" spans="1:37">
      <c r="A207" t="s">
        <v>722</v>
      </c>
      <c r="B207" s="5">
        <v>45768</v>
      </c>
      <c r="C207" s="5">
        <v>45773</v>
      </c>
      <c r="D207" s="6">
        <f>IF(AND(C207&lt;&gt;"",B207&lt;&gt;""), C207-B207, "Missing Date")</f>
        <v>5</v>
      </c>
      <c r="E207" s="6" t="str">
        <f>IF(OR(B207="",C207=""), "Missing Date",
    IF(C207&lt;B207, "Invalid: Ship before Order",
      "OK"))</f>
        <v>OK</v>
      </c>
      <c r="F207" t="s">
        <v>723</v>
      </c>
      <c r="G207" t="s">
        <v>62</v>
      </c>
      <c r="H207" t="s">
        <v>24</v>
      </c>
      <c r="I207" t="s">
        <v>63</v>
      </c>
      <c r="J207" t="s">
        <v>64</v>
      </c>
      <c r="K207" t="s">
        <v>65</v>
      </c>
      <c r="L207" t="s">
        <v>28</v>
      </c>
      <c r="M207" t="s">
        <v>91</v>
      </c>
      <c r="N207" t="s">
        <v>724</v>
      </c>
      <c r="O207" t="s">
        <v>44</v>
      </c>
      <c r="P207">
        <v>6</v>
      </c>
      <c r="Q207">
        <v>873.59</v>
      </c>
      <c r="R207">
        <v>0.2</v>
      </c>
      <c r="S207">
        <v>4193.2299999999996</v>
      </c>
      <c r="T207">
        <v>3329.99</v>
      </c>
      <c r="U207">
        <v>863.24</v>
      </c>
      <c r="V207" t="s">
        <v>32</v>
      </c>
      <c r="W207" t="s">
        <v>33</v>
      </c>
      <c r="X207" t="str">
        <f>_xlfn.TEXTJOIN("|", TRUE, A207:W207)</f>
        <v>ORD-2025-10206|45768|45773|5|OK|CUST-3338|Ananya Rao|Consumer|West|Maharashtra|Mumbai|Office Supplies|Labels|Smart Labels 354|Same Day|6|873.59|0.2|4193.23|3329.99|863.24|Paid|Completed</v>
      </c>
      <c r="Y207">
        <f>COUNTIF($X$2:$X$1000, X207)</f>
        <v>1</v>
      </c>
      <c r="Z207">
        <f>COUNTIF($A$2:$A$1000, A207)</f>
        <v>1</v>
      </c>
      <c r="AA207" t="str">
        <f>IF(Y207&gt;1, "Exact Duplicate",
  IF(Z207&gt;1, "Conflicting Duplicate - Review",
    "Unique"))</f>
        <v>Unique</v>
      </c>
      <c r="AB207" s="2">
        <f>IF(ISBLANK(R207), 0, IF(ISTEXT(R207), VALUE(SUBSTITUTE(R207, "%", ""))/100, IF(OR(R207&lt;0, R207&gt;1), "Invalid", R207)))</f>
        <v>0.2</v>
      </c>
      <c r="AC207" s="4">
        <f>IF(AB207="Invalid", "Error", P207 * Q207 * (1 - AB207))</f>
        <v>4193.232</v>
      </c>
      <c r="AD207" s="4">
        <f>IF(AC207="Error", "Error", AC207 - T207)</f>
        <v>863.24200000000019</v>
      </c>
      <c r="AE207" s="2">
        <f>IF(AC207="Error", "Error", IF(AC207=0, 0, AD207 / AC207))</f>
        <v>0.2058655471483572</v>
      </c>
      <c r="AF207" s="7">
        <f>C207-B207</f>
        <v>5</v>
      </c>
      <c r="AG207" s="2" t="str">
        <f>TEXT(B207, "mmmm")</f>
        <v>April</v>
      </c>
      <c r="AH207" s="4">
        <f>YEAR(B207)</f>
        <v>2025</v>
      </c>
      <c r="AI207" s="2" t="str">
        <f t="shared" si="17"/>
        <v>Clean</v>
      </c>
      <c r="AJ207">
        <f>COUNTIFS($A$2:$A$1000,A207,$B$2:$B$1000,B207,$C$2:$C$1000,C207,$D$2:$D$1000,D207,$E$2:$E$1000,E207,$F$2:$F$1000,F207)</f>
        <v>1</v>
      </c>
      <c r="AK207">
        <f>COUNTIF($A$2:$A$1000, A207)</f>
        <v>1</v>
      </c>
    </row>
    <row r="208" spans="1:37">
      <c r="A208" t="s">
        <v>725</v>
      </c>
      <c r="B208" s="5">
        <v>45795</v>
      </c>
      <c r="C208" s="5">
        <v>45797</v>
      </c>
      <c r="D208" s="6">
        <f>IF(AND(C208&lt;&gt;"",B208&lt;&gt;""), C208-B208, "Missing Date")</f>
        <v>2</v>
      </c>
      <c r="E208" s="6" t="str">
        <f>IF(OR(B208="",C208=""), "Missing Date",
    IF(C208&lt;B208, "Invalid: Ship before Order",
      "OK"))</f>
        <v>OK</v>
      </c>
      <c r="F208" t="s">
        <v>726</v>
      </c>
      <c r="G208" t="s">
        <v>162</v>
      </c>
      <c r="H208" t="s">
        <v>37</v>
      </c>
      <c r="I208" t="s">
        <v>25</v>
      </c>
      <c r="J208" t="s">
        <v>136</v>
      </c>
      <c r="K208" t="s">
        <v>137</v>
      </c>
      <c r="L208" t="s">
        <v>41</v>
      </c>
      <c r="M208" t="s">
        <v>57</v>
      </c>
      <c r="N208" t="s">
        <v>727</v>
      </c>
      <c r="O208" t="s">
        <v>50</v>
      </c>
      <c r="P208">
        <v>2</v>
      </c>
      <c r="Q208">
        <v>215.13</v>
      </c>
      <c r="R208">
        <v>0</v>
      </c>
      <c r="S208">
        <v>430.26</v>
      </c>
      <c r="T208">
        <v>286.38</v>
      </c>
      <c r="U208">
        <v>143.88</v>
      </c>
      <c r="V208" t="s">
        <v>32</v>
      </c>
      <c r="W208" t="s">
        <v>33</v>
      </c>
      <c r="X208" t="str">
        <f>_xlfn.TEXTJOIN("|", TRUE, A208:W208)</f>
        <v>ORD-2025-10207|45795|45797|2|OK|CUST-2343|Diya Patel|Small Business|North|Uttar Pradesh|Noida|Furniture|Furnishings|Pro Furnishings 981|First Class|2|215.13|0|430.26|286.38|143.88|Paid|Completed</v>
      </c>
      <c r="Y208">
        <f>COUNTIF($X$2:$X$1000, X208)</f>
        <v>1</v>
      </c>
      <c r="Z208">
        <f>COUNTIF($A$2:$A$1000, A208)</f>
        <v>1</v>
      </c>
      <c r="AA208" t="str">
        <f>IF(Y208&gt;1, "Exact Duplicate",
  IF(Z208&gt;1, "Conflicting Duplicate - Review",
    "Unique"))</f>
        <v>Unique</v>
      </c>
      <c r="AB208" s="2">
        <f>IF(ISBLANK(R208), 0, IF(ISTEXT(R208), VALUE(SUBSTITUTE(R208, "%", ""))/100, IF(OR(R208&lt;0, R208&gt;1), "Invalid", R208)))</f>
        <v>0</v>
      </c>
      <c r="AC208" s="4">
        <f>IF(AB208="Invalid", "Error", P208 * Q208 * (1 - AB208))</f>
        <v>430.26</v>
      </c>
      <c r="AD208" s="4">
        <f>IF(AC208="Error", "Error", AC208 - T208)</f>
        <v>143.88</v>
      </c>
      <c r="AE208" s="2">
        <f>IF(AC208="Error", "Error", IF(AC208=0, 0, AD208 / AC208))</f>
        <v>0.33440245432994004</v>
      </c>
      <c r="AF208" s="7">
        <f>C208-B208</f>
        <v>2</v>
      </c>
      <c r="AG208" s="2" t="str">
        <f>TEXT(B208, "mmmm")</f>
        <v>May</v>
      </c>
      <c r="AH208" s="4">
        <f>YEAR(B208)</f>
        <v>2025</v>
      </c>
      <c r="AI208" s="2" t="str">
        <f t="shared" si="17"/>
        <v>Clean</v>
      </c>
      <c r="AJ208">
        <f>COUNTIFS($A$2:$A$1000,A208,$B$2:$B$1000,B208,$C$2:$C$1000,C208,$D$2:$D$1000,D208,$E$2:$E$1000,E208,$F$2:$F$1000,F208)</f>
        <v>1</v>
      </c>
      <c r="AK208">
        <f>COUNTIF($A$2:$A$1000, A208)</f>
        <v>1</v>
      </c>
    </row>
    <row r="209" spans="1:37">
      <c r="A209" t="s">
        <v>728</v>
      </c>
      <c r="B209" s="5">
        <v>45483</v>
      </c>
      <c r="C209" s="5">
        <v>45489</v>
      </c>
      <c r="D209" s="6">
        <f>IF(AND(C209&lt;&gt;"",B209&lt;&gt;""), C209-B209, "Missing Date")</f>
        <v>6</v>
      </c>
      <c r="E209" s="6" t="str">
        <f>IF(OR(B209="",C209=""), "Missing Date",
    IF(C209&lt;B209, "Invalid: Ship before Order",
      "OK"))</f>
        <v>OK</v>
      </c>
      <c r="F209" t="s">
        <v>729</v>
      </c>
      <c r="G209" t="s">
        <v>128</v>
      </c>
      <c r="H209" t="s">
        <v>95</v>
      </c>
      <c r="I209" t="s">
        <v>63</v>
      </c>
      <c r="J209" t="s">
        <v>190</v>
      </c>
      <c r="K209" t="s">
        <v>191</v>
      </c>
      <c r="L209" t="s">
        <v>41</v>
      </c>
      <c r="M209" t="s">
        <v>158</v>
      </c>
      <c r="N209" t="s">
        <v>730</v>
      </c>
      <c r="O209" t="s">
        <v>31</v>
      </c>
      <c r="P209">
        <v>2</v>
      </c>
      <c r="Q209">
        <v>1095.45</v>
      </c>
      <c r="R209">
        <v>0.2</v>
      </c>
      <c r="S209">
        <v>1752.72</v>
      </c>
      <c r="T209">
        <v>996.41</v>
      </c>
      <c r="U209">
        <v>756.31</v>
      </c>
      <c r="V209" t="s">
        <v>32</v>
      </c>
      <c r="W209" t="s">
        <v>33</v>
      </c>
      <c r="X209" t="str">
        <f>_xlfn.TEXTJOIN("|", TRUE, A209:W209)</f>
        <v>ORD-2024-10208|45483|45489|6|OK|CUST-3362|Aarav Sharma|Home Office|West|Goa|Panaji|Furniture|Bookcases|Eco Bookcases 671|Second Class|2|1095.45|0.2|1752.72|996.41|756.31|Paid|Completed</v>
      </c>
      <c r="Y209">
        <f>COUNTIF($X$2:$X$1000, X209)</f>
        <v>1</v>
      </c>
      <c r="Z209">
        <f>COUNTIF($A$2:$A$1000, A209)</f>
        <v>1</v>
      </c>
      <c r="AA209" t="str">
        <f>IF(Y209&gt;1, "Exact Duplicate",
  IF(Z209&gt;1, "Conflicting Duplicate - Review",
    "Unique"))</f>
        <v>Unique</v>
      </c>
      <c r="AB209" s="2">
        <f>IF(ISBLANK(R209), 0, IF(ISTEXT(R209), VALUE(SUBSTITUTE(R209, "%", ""))/100, IF(OR(R209&lt;0, R209&gt;1), "Invalid", R209)))</f>
        <v>0.2</v>
      </c>
      <c r="AC209" s="4">
        <f>IF(AB209="Invalid", "Error", P209 * Q209 * (1 - AB209))</f>
        <v>1752.7200000000003</v>
      </c>
      <c r="AD209" s="4">
        <f>IF(AC209="Error", "Error", AC209 - T209)</f>
        <v>756.31000000000029</v>
      </c>
      <c r="AE209" s="2">
        <f>IF(AC209="Error", "Error", IF(AC209=0, 0, AD209 / AC209))</f>
        <v>0.43150645853302305</v>
      </c>
      <c r="AF209" s="7">
        <f>C209-B209</f>
        <v>6</v>
      </c>
      <c r="AG209" s="2" t="str">
        <f>TEXT(B209, "mmmm")</f>
        <v>July</v>
      </c>
      <c r="AH209" s="4">
        <f>YEAR(B209)</f>
        <v>2024</v>
      </c>
      <c r="AI209" s="2" t="str">
        <f t="shared" si="17"/>
        <v>Clean</v>
      </c>
      <c r="AJ209">
        <f>COUNTIFS($A$2:$A$1000,A209,$B$2:$B$1000,B209,$C$2:$C$1000,C209,$D$2:$D$1000,D209,$E$2:$E$1000,E209,$F$2:$F$1000,F209)</f>
        <v>1</v>
      </c>
      <c r="AK209">
        <f>COUNTIF($A$2:$A$1000, A209)</f>
        <v>1</v>
      </c>
    </row>
    <row r="210" spans="1:37">
      <c r="A210" t="s">
        <v>731</v>
      </c>
      <c r="B210" s="5">
        <v>45837</v>
      </c>
      <c r="C210" s="5">
        <v>45843</v>
      </c>
      <c r="D210" s="6">
        <f>IF(AND(C210&lt;&gt;"",B210&lt;&gt;""), C210-B210, "Missing Date")</f>
        <v>6</v>
      </c>
      <c r="E210" s="6" t="str">
        <f>IF(OR(B210="",C210=""), "Missing Date",
    IF(C210&lt;B210, "Invalid: Ship before Order",
      "OK"))</f>
        <v>OK</v>
      </c>
      <c r="F210" t="s">
        <v>732</v>
      </c>
      <c r="G210" t="s">
        <v>162</v>
      </c>
      <c r="H210" t="s">
        <v>24</v>
      </c>
      <c r="I210" t="s">
        <v>25</v>
      </c>
      <c r="J210" t="s">
        <v>122</v>
      </c>
      <c r="K210" t="s">
        <v>123</v>
      </c>
      <c r="L210" t="s">
        <v>41</v>
      </c>
      <c r="M210" t="s">
        <v>66</v>
      </c>
      <c r="N210" t="s">
        <v>733</v>
      </c>
      <c r="O210" t="s">
        <v>44</v>
      </c>
      <c r="P210">
        <v>1</v>
      </c>
      <c r="Q210">
        <v>999.83</v>
      </c>
      <c r="R210">
        <v>0</v>
      </c>
      <c r="S210">
        <v>999.83</v>
      </c>
      <c r="T210">
        <v>634.91</v>
      </c>
      <c r="U210">
        <v>364.92</v>
      </c>
      <c r="V210" t="s">
        <v>32</v>
      </c>
      <c r="W210" t="s">
        <v>33</v>
      </c>
      <c r="X210" t="str">
        <f>_xlfn.TEXTJOIN("|", TRUE, A210:W210)</f>
        <v>ORD-2025-10209|45837|45843|6|OK|CUST-3662|Diya Patel|Consumer|North|Punjab|Ludhiana|Furniture|Chairs|Max Chairs 151|Same Day|1|999.83|0|999.83|634.91|364.92|Paid|Completed</v>
      </c>
      <c r="Y210">
        <f>COUNTIF($X$2:$X$1000, X210)</f>
        <v>1</v>
      </c>
      <c r="Z210">
        <f>COUNTIF($A$2:$A$1000, A210)</f>
        <v>1</v>
      </c>
      <c r="AA210" t="str">
        <f>IF(Y210&gt;1, "Exact Duplicate",
  IF(Z210&gt;1, "Conflicting Duplicate - Review",
    "Unique"))</f>
        <v>Unique</v>
      </c>
      <c r="AB210" s="2">
        <f>IF(ISBLANK(R210), 0, IF(ISTEXT(R210), VALUE(SUBSTITUTE(R210, "%", ""))/100, IF(OR(R210&lt;0, R210&gt;1), "Invalid", R210)))</f>
        <v>0</v>
      </c>
      <c r="AC210" s="4">
        <f>IF(AB210="Invalid", "Error", P210 * Q210 * (1 - AB210))</f>
        <v>999.83</v>
      </c>
      <c r="AD210" s="4">
        <f>IF(AC210="Error", "Error", AC210 - T210)</f>
        <v>364.92000000000007</v>
      </c>
      <c r="AE210" s="2">
        <f>IF(AC210="Error", "Error", IF(AC210=0, 0, AD210 / AC210))</f>
        <v>0.3649820469479812</v>
      </c>
      <c r="AF210" s="7">
        <f>C210-B210</f>
        <v>6</v>
      </c>
      <c r="AG210" s="2" t="str">
        <f>TEXT(B210, "mmmm")</f>
        <v>June</v>
      </c>
      <c r="AH210" s="4">
        <f>YEAR(B210)</f>
        <v>2025</v>
      </c>
      <c r="AI210" s="2" t="str">
        <f t="shared" si="17"/>
        <v>Clean</v>
      </c>
      <c r="AJ210">
        <f>COUNTIFS($A$2:$A$1000,A210,$B$2:$B$1000,B210,$C$2:$C$1000,C210,$D$2:$D$1000,D210,$E$2:$E$1000,E210,$F$2:$F$1000,F210)</f>
        <v>1</v>
      </c>
      <c r="AK210">
        <f>COUNTIF($A$2:$A$1000, A210)</f>
        <v>1</v>
      </c>
    </row>
    <row r="211" spans="1:37">
      <c r="A211" t="s">
        <v>734</v>
      </c>
      <c r="B211" s="5">
        <v>45882</v>
      </c>
      <c r="C211" s="5">
        <v>45883</v>
      </c>
      <c r="D211" s="6">
        <f>IF(AND(C211&lt;&gt;"",B211&lt;&gt;""), C211-B211, "Missing Date")</f>
        <v>1</v>
      </c>
      <c r="E211" s="6" t="str">
        <f>IF(OR(B211="",C211=""), "Missing Date",
    IF(C211&lt;B211, "Invalid: Ship before Order",
      "OK"))</f>
        <v>OK</v>
      </c>
      <c r="F211" t="s">
        <v>735</v>
      </c>
      <c r="G211" t="s">
        <v>141</v>
      </c>
      <c r="H211" t="s">
        <v>37</v>
      </c>
      <c r="I211" t="s">
        <v>54</v>
      </c>
      <c r="J211" t="s">
        <v>84</v>
      </c>
      <c r="K211" t="s">
        <v>85</v>
      </c>
      <c r="L211" t="s">
        <v>28</v>
      </c>
      <c r="M211" t="s">
        <v>29</v>
      </c>
      <c r="N211" t="s">
        <v>736</v>
      </c>
      <c r="O211" t="s">
        <v>50</v>
      </c>
      <c r="P211">
        <v>9</v>
      </c>
      <c r="Q211">
        <v>864.98</v>
      </c>
      <c r="R211">
        <v>0.1</v>
      </c>
      <c r="S211">
        <v>7006.34</v>
      </c>
      <c r="T211">
        <v>4640.88</v>
      </c>
      <c r="U211">
        <v>2365.46</v>
      </c>
      <c r="V211" t="s">
        <v>32</v>
      </c>
      <c r="W211" t="s">
        <v>33</v>
      </c>
      <c r="X211" t="str">
        <f>_xlfn.TEXTJOIN("|", TRUE, A211:W211)</f>
        <v>ORD-2025-10210|45882|45883|1|OK|CUST-4947|Rohan Mehta|Small Business|South|Andhra Pradesh|Vijayawada|Office Supplies|Paper|Prime Paper 903|First Class|9|864.98|0.1|7006.34|4640.88|2365.46|Paid|Completed</v>
      </c>
      <c r="Y211">
        <f>COUNTIF($X$2:$X$1000, X211)</f>
        <v>1</v>
      </c>
      <c r="Z211">
        <f>COUNTIF($A$2:$A$1000, A211)</f>
        <v>1</v>
      </c>
      <c r="AA211" t="str">
        <f>IF(Y211&gt;1, "Exact Duplicate",
  IF(Z211&gt;1, "Conflicting Duplicate - Review",
    "Unique"))</f>
        <v>Unique</v>
      </c>
      <c r="AB211" s="2">
        <f>IF(ISBLANK(R211), 0, IF(ISTEXT(R211), VALUE(SUBSTITUTE(R211, "%", ""))/100, IF(OR(R211&lt;0, R211&gt;1), "Invalid", R211)))</f>
        <v>0.1</v>
      </c>
      <c r="AC211" s="4">
        <f>IF(AB211="Invalid", "Error", P211 * Q211 * (1 - AB211))</f>
        <v>7006.3379999999997</v>
      </c>
      <c r="AD211" s="4">
        <f>IF(AC211="Error", "Error", AC211 - T211)</f>
        <v>2365.4579999999996</v>
      </c>
      <c r="AE211" s="2">
        <f>IF(AC211="Error", "Error", IF(AC211=0, 0, AD211 / AC211))</f>
        <v>0.33761688345609359</v>
      </c>
      <c r="AF211" s="7">
        <f>C211-B211</f>
        <v>1</v>
      </c>
      <c r="AG211" s="2" t="str">
        <f>TEXT(B211, "mmmm")</f>
        <v>August</v>
      </c>
      <c r="AH211" s="4">
        <f>YEAR(B211)</f>
        <v>2025</v>
      </c>
      <c r="AI211" s="2" t="str">
        <f t="shared" si="17"/>
        <v>Clean</v>
      </c>
      <c r="AJ211">
        <f>COUNTIFS($A$2:$A$1000,A211,$B$2:$B$1000,B211,$C$2:$C$1000,C211,$D$2:$D$1000,D211,$E$2:$E$1000,E211,$F$2:$F$1000,F211)</f>
        <v>1</v>
      </c>
      <c r="AK211">
        <f>COUNTIF($A$2:$A$1000, A211)</f>
        <v>1</v>
      </c>
    </row>
    <row r="212" spans="1:37">
      <c r="A212" t="s">
        <v>737</v>
      </c>
      <c r="B212" s="5">
        <v>45366</v>
      </c>
      <c r="C212" s="5">
        <v>45369</v>
      </c>
      <c r="D212" s="6">
        <f>IF(AND(C212&lt;&gt;"",B212&lt;&gt;""), C212-B212, "Missing Date")</f>
        <v>3</v>
      </c>
      <c r="E212" s="6" t="str">
        <f>IF(OR(B212="",C212=""), "Missing Date",
    IF(C212&lt;B212, "Invalid: Ship before Order",
      "OK"))</f>
        <v>OK</v>
      </c>
      <c r="F212" t="s">
        <v>738</v>
      </c>
      <c r="G212" t="s">
        <v>264</v>
      </c>
      <c r="H212" t="s">
        <v>95</v>
      </c>
      <c r="I212" t="s">
        <v>54</v>
      </c>
      <c r="J212" t="s">
        <v>175</v>
      </c>
      <c r="K212" t="s">
        <v>176</v>
      </c>
      <c r="L212" t="s">
        <v>74</v>
      </c>
      <c r="M212" t="s">
        <v>274</v>
      </c>
      <c r="N212" t="s">
        <v>739</v>
      </c>
      <c r="O212" t="s">
        <v>31</v>
      </c>
      <c r="P212">
        <v>1</v>
      </c>
      <c r="Q212">
        <v>4131.3599999999997</v>
      </c>
      <c r="R212">
        <v>0</v>
      </c>
      <c r="S212">
        <v>4131.3599999999997</v>
      </c>
      <c r="T212">
        <v>2937.07</v>
      </c>
      <c r="U212">
        <v>1194.29</v>
      </c>
      <c r="V212" t="s">
        <v>155</v>
      </c>
      <c r="W212" t="s">
        <v>103</v>
      </c>
      <c r="X212" t="str">
        <f>_xlfn.TEXTJOIN("|", TRUE, A212:W212)</f>
        <v>ORD-2024-10211|45366|45369|3|OK|CUST-3076|Kabir Singh|Home Office|South|Karnataka|Bengaluru|Technology|Machines|Classic Machines 944|Second Class|1|4131.36|0|4131.36|2937.07|1194.29|Failed|Returned</v>
      </c>
      <c r="Y212">
        <f>COUNTIF($X$2:$X$1000, X212)</f>
        <v>1</v>
      </c>
      <c r="Z212">
        <f>COUNTIF($A$2:$A$1000, A212)</f>
        <v>1</v>
      </c>
      <c r="AA212" t="str">
        <f>IF(Y212&gt;1, "Exact Duplicate",
  IF(Z212&gt;1, "Conflicting Duplicate - Review",
    "Unique"))</f>
        <v>Unique</v>
      </c>
      <c r="AB212" s="2">
        <f>IF(ISBLANK(R212), 0, IF(ISTEXT(R212), VALUE(SUBSTITUTE(R212, "%", ""))/100, IF(OR(R212&lt;0, R212&gt;1), "Invalid", R212)))</f>
        <v>0</v>
      </c>
      <c r="AC212" s="4">
        <f>IF(AB212="Invalid", "Error", P212 * Q212 * (1 - AB212))</f>
        <v>4131.3599999999997</v>
      </c>
      <c r="AD212" s="4">
        <f>IF(AC212="Error", "Error", AC212 - T212)</f>
        <v>1194.2899999999995</v>
      </c>
      <c r="AE212" s="2">
        <f>IF(AC212="Error", "Error", IF(AC212=0, 0, AD212 / AC212))</f>
        <v>0.28907914100925591</v>
      </c>
      <c r="AF212" s="7">
        <f>C212-B212</f>
        <v>3</v>
      </c>
      <c r="AG212" s="2" t="str">
        <f>TEXT(B212, "mmmm")</f>
        <v>March</v>
      </c>
      <c r="AH212" s="4">
        <f>YEAR(B212)</f>
        <v>2024</v>
      </c>
      <c r="AI212" s="2" t="str">
        <f t="shared" si="17"/>
        <v>Excluded from Sales</v>
      </c>
      <c r="AJ212">
        <f>COUNTIFS($A$2:$A$1000,A212,$B$2:$B$1000,B212,$C$2:$C$1000,C212,$D$2:$D$1000,D212,$E$2:$E$1000,E212,$F$2:$F$1000,F212)</f>
        <v>1</v>
      </c>
      <c r="AK212">
        <f>COUNTIF($A$2:$A$1000, A212)</f>
        <v>1</v>
      </c>
    </row>
    <row r="213" spans="1:37">
      <c r="A213" t="s">
        <v>740</v>
      </c>
      <c r="B213" s="5">
        <v>45428</v>
      </c>
      <c r="C213" s="5">
        <v>45429</v>
      </c>
      <c r="D213" s="6">
        <f>IF(AND(C213&lt;&gt;"",B213&lt;&gt;""), C213-B213, "Missing Date")</f>
        <v>1</v>
      </c>
      <c r="E213" s="6" t="str">
        <f>IF(OR(B213="",C213=""), "Missing Date",
    IF(C213&lt;B213, "Invalid: Ship before Order",
      "OK"))</f>
        <v>OK</v>
      </c>
      <c r="F213" t="s">
        <v>741</v>
      </c>
      <c r="G213" t="s">
        <v>141</v>
      </c>
      <c r="H213" t="s">
        <v>90</v>
      </c>
      <c r="I213" t="s">
        <v>38</v>
      </c>
      <c r="J213" t="s">
        <v>99</v>
      </c>
      <c r="K213" t="s">
        <v>100</v>
      </c>
      <c r="L213" t="s">
        <v>74</v>
      </c>
      <c r="M213" t="s">
        <v>80</v>
      </c>
      <c r="N213" t="s">
        <v>742</v>
      </c>
      <c r="O213" t="s">
        <v>31</v>
      </c>
      <c r="P213">
        <v>8</v>
      </c>
      <c r="Q213">
        <v>4221.95</v>
      </c>
      <c r="R213">
        <v>0.2</v>
      </c>
      <c r="S213">
        <v>27020.48</v>
      </c>
      <c r="T213">
        <v>22885.24</v>
      </c>
      <c r="U213">
        <v>4135.24</v>
      </c>
      <c r="V213" t="s">
        <v>32</v>
      </c>
      <c r="W213" t="s">
        <v>33</v>
      </c>
      <c r="X213" t="str">
        <f>_xlfn.TEXTJOIN("|", TRUE, A213:W213)</f>
        <v>ORD-2024-10212|45428|45429|1|OK|CUST-2222|Rohan Mehta|Corporate|East|West Bengal|Kolkata|Technology|Copiers|Basic Copiers 222|Second Class|8|4221.95|0.2|27020.48|22885.24|4135.24|Paid|Completed</v>
      </c>
      <c r="Y213">
        <f>COUNTIF($X$2:$X$1000, X213)</f>
        <v>1</v>
      </c>
      <c r="Z213">
        <f>COUNTIF($A$2:$A$1000, A213)</f>
        <v>1</v>
      </c>
      <c r="AA213" t="str">
        <f>IF(Y213&gt;1, "Exact Duplicate",
  IF(Z213&gt;1, "Conflicting Duplicate - Review",
    "Unique"))</f>
        <v>Unique</v>
      </c>
      <c r="AB213" s="2">
        <f>IF(ISBLANK(R213), 0, IF(ISTEXT(R213), VALUE(SUBSTITUTE(R213, "%", ""))/100, IF(OR(R213&lt;0, R213&gt;1), "Invalid", R213)))</f>
        <v>0.2</v>
      </c>
      <c r="AC213" s="4">
        <f>IF(AB213="Invalid", "Error", P213 * Q213 * (1 - AB213))</f>
        <v>27020.48</v>
      </c>
      <c r="AD213" s="4">
        <f>IF(AC213="Error", "Error", AC213 - T213)</f>
        <v>4135.239999999998</v>
      </c>
      <c r="AE213" s="2">
        <f>IF(AC213="Error", "Error", IF(AC213=0, 0, AD213 / AC213))</f>
        <v>0.15304095264036752</v>
      </c>
      <c r="AF213" s="7">
        <f>C213-B213</f>
        <v>1</v>
      </c>
      <c r="AG213" s="2" t="str">
        <f>TEXT(B213, "mmmm")</f>
        <v>May</v>
      </c>
      <c r="AH213" s="4">
        <f>YEAR(B213)</f>
        <v>2024</v>
      </c>
      <c r="AI213" s="2" t="str">
        <f t="shared" si="17"/>
        <v>Clean</v>
      </c>
      <c r="AJ213">
        <f>COUNTIFS($A$2:$A$1000,A213,$B$2:$B$1000,B213,$C$2:$C$1000,C213,$D$2:$D$1000,D213,$E$2:$E$1000,E213,$F$2:$F$1000,F213)</f>
        <v>1</v>
      </c>
      <c r="AK213">
        <f>COUNTIF($A$2:$A$1000, A213)</f>
        <v>1</v>
      </c>
    </row>
    <row r="214" spans="1:37">
      <c r="A214" t="s">
        <v>743</v>
      </c>
      <c r="B214" s="5">
        <v>45556</v>
      </c>
      <c r="C214" s="5">
        <v>45556</v>
      </c>
      <c r="D214" s="6">
        <f>IF(AND(C214&lt;&gt;"",B214&lt;&gt;""), C214-B214, "Missing Date")</f>
        <v>0</v>
      </c>
      <c r="E214" s="6" t="str">
        <f>IF(OR(B214="",C214=""), "Missing Date",
    IF(C214&lt;B214, "Invalid: Ship before Order",
      "OK"))</f>
        <v>OK</v>
      </c>
      <c r="F214" t="s">
        <v>744</v>
      </c>
      <c r="G214" t="s">
        <v>62</v>
      </c>
      <c r="H214" t="s">
        <v>37</v>
      </c>
      <c r="I214" t="s">
        <v>38</v>
      </c>
      <c r="J214" t="s">
        <v>39</v>
      </c>
      <c r="K214" t="s">
        <v>40</v>
      </c>
      <c r="L214" t="s">
        <v>74</v>
      </c>
      <c r="M214" t="s">
        <v>171</v>
      </c>
      <c r="N214" t="s">
        <v>745</v>
      </c>
      <c r="O214" t="s">
        <v>44</v>
      </c>
      <c r="P214">
        <v>2</v>
      </c>
      <c r="Q214">
        <v>214.5</v>
      </c>
      <c r="R214">
        <v>0.15</v>
      </c>
      <c r="S214">
        <v>364.65</v>
      </c>
      <c r="T214">
        <v>280.74</v>
      </c>
      <c r="U214">
        <v>83.91</v>
      </c>
      <c r="V214" t="s">
        <v>32</v>
      </c>
      <c r="W214" t="s">
        <v>33</v>
      </c>
      <c r="X214" t="str">
        <f>_xlfn.TEXTJOIN("|", TRUE, A214:W214)</f>
        <v>ORD-2024-10213|45556|45556|0|OK|CUST-3610|Ananya Rao|Small Business|East|Odisha|Bhubaneswar|Technology|Phones|Max Phones 329|Same Day|2|214.5|0.15|364.65|280.74|83.91|Paid|Completed</v>
      </c>
      <c r="Y214">
        <f>COUNTIF($X$2:$X$1000, X214)</f>
        <v>1</v>
      </c>
      <c r="Z214">
        <f>COUNTIF($A$2:$A$1000, A214)</f>
        <v>1</v>
      </c>
      <c r="AA214" t="str">
        <f>IF(Y214&gt;1, "Exact Duplicate",
  IF(Z214&gt;1, "Conflicting Duplicate - Review",
    "Unique"))</f>
        <v>Unique</v>
      </c>
      <c r="AB214" s="2">
        <f>IF(ISBLANK(R214), 0, IF(ISTEXT(R214), VALUE(SUBSTITUTE(R214, "%", ""))/100, IF(OR(R214&lt;0, R214&gt;1), "Invalid", R214)))</f>
        <v>0.15</v>
      </c>
      <c r="AC214" s="4">
        <f>IF(AB214="Invalid", "Error", P214 * Q214 * (1 - AB214))</f>
        <v>364.65</v>
      </c>
      <c r="AD214" s="4">
        <f>IF(AC214="Error", "Error", AC214 - T214)</f>
        <v>83.909999999999968</v>
      </c>
      <c r="AE214" s="2">
        <f>IF(AC214="Error", "Error", IF(AC214=0, 0, AD214 / AC214))</f>
        <v>0.23011106540518297</v>
      </c>
      <c r="AF214" s="7">
        <f>C214-B214</f>
        <v>0</v>
      </c>
      <c r="AG214" s="2" t="str">
        <f>TEXT(B214, "mmmm")</f>
        <v>September</v>
      </c>
      <c r="AH214" s="4">
        <f>YEAR(B214)</f>
        <v>2024</v>
      </c>
      <c r="AI214" s="2" t="str">
        <f t="shared" si="17"/>
        <v>Clean</v>
      </c>
      <c r="AJ214">
        <f>COUNTIFS($A$2:$A$1000,A214,$B$2:$B$1000,B214,$C$2:$C$1000,C214,$D$2:$D$1000,D214,$E$2:$E$1000,E214,$F$2:$F$1000,F214)</f>
        <v>1</v>
      </c>
      <c r="AK214">
        <f>COUNTIF($A$2:$A$1000, A214)</f>
        <v>1</v>
      </c>
    </row>
    <row r="215" spans="1:37">
      <c r="A215" t="s">
        <v>746</v>
      </c>
      <c r="B215" s="5">
        <v>45427</v>
      </c>
      <c r="C215" s="5">
        <v>45433</v>
      </c>
      <c r="D215" s="6">
        <f>IF(AND(C215&lt;&gt;"",B215&lt;&gt;""), C215-B215, "Missing Date")</f>
        <v>6</v>
      </c>
      <c r="E215" s="6" t="str">
        <f>IF(OR(B215="",C215=""), "Missing Date",
    IF(C215&lt;B215, "Invalid: Ship before Order",
      "OK"))</f>
        <v>OK</v>
      </c>
      <c r="F215" t="s">
        <v>747</v>
      </c>
      <c r="G215" t="s">
        <v>47</v>
      </c>
      <c r="H215" t="s">
        <v>37</v>
      </c>
      <c r="I215" t="s">
        <v>38</v>
      </c>
      <c r="J215" t="s">
        <v>145</v>
      </c>
      <c r="K215" t="s">
        <v>146</v>
      </c>
      <c r="L215" t="s">
        <v>74</v>
      </c>
      <c r="M215" t="s">
        <v>75</v>
      </c>
      <c r="N215" t="s">
        <v>748</v>
      </c>
      <c r="O215" t="s">
        <v>31</v>
      </c>
      <c r="P215">
        <v>4</v>
      </c>
      <c r="Q215">
        <v>4332.7299999999996</v>
      </c>
      <c r="R215">
        <v>0.2</v>
      </c>
      <c r="S215">
        <v>13864.74</v>
      </c>
      <c r="T215">
        <v>11294.06</v>
      </c>
      <c r="U215">
        <v>2570.6799999999998</v>
      </c>
      <c r="V215" t="s">
        <v>32</v>
      </c>
      <c r="W215" t="s">
        <v>33</v>
      </c>
      <c r="X215" t="str">
        <f>_xlfn.TEXTJOIN("|", TRUE, A215:W215)</f>
        <v>ORD-2024-10214|45427|45433|6|OK|CUST-9136|Isha Nair|Small Business|East|Bihar|Patna|Technology|Accessories|Classic Accessories 840|Second Class|4|4332.73|0.2|13864.74|11294.06|2570.68|Paid|Completed</v>
      </c>
      <c r="Y215">
        <f>COUNTIF($X$2:$X$1000, X215)</f>
        <v>1</v>
      </c>
      <c r="Z215">
        <f>COUNTIF($A$2:$A$1000, A215)</f>
        <v>1</v>
      </c>
      <c r="AA215" t="str">
        <f>IF(Y215&gt;1, "Exact Duplicate",
  IF(Z215&gt;1, "Conflicting Duplicate - Review",
    "Unique"))</f>
        <v>Unique</v>
      </c>
      <c r="AB215" s="2">
        <f>IF(ISBLANK(R215), 0, IF(ISTEXT(R215), VALUE(SUBSTITUTE(R215, "%", ""))/100, IF(OR(R215&lt;0, R215&gt;1), "Invalid", R215)))</f>
        <v>0.2</v>
      </c>
      <c r="AC215" s="4">
        <f>IF(AB215="Invalid", "Error", P215 * Q215 * (1 - AB215))</f>
        <v>13864.735999999999</v>
      </c>
      <c r="AD215" s="4">
        <f>IF(AC215="Error", "Error", AC215 - T215)</f>
        <v>2570.6759999999995</v>
      </c>
      <c r="AE215" s="2">
        <f>IF(AC215="Error", "Error", IF(AC215=0, 0, AD215 / AC215))</f>
        <v>0.18541110339208763</v>
      </c>
      <c r="AF215" s="7">
        <f>C215-B215</f>
        <v>6</v>
      </c>
      <c r="AG215" s="2" t="str">
        <f>TEXT(B215, "mmmm")</f>
        <v>May</v>
      </c>
      <c r="AH215" s="4">
        <f>YEAR(B215)</f>
        <v>2024</v>
      </c>
      <c r="AI215" s="2" t="str">
        <f t="shared" si="17"/>
        <v>Clean</v>
      </c>
      <c r="AJ215">
        <f>COUNTIFS($A$2:$A$1000,A215,$B$2:$B$1000,B215,$C$2:$C$1000,C215,$D$2:$D$1000,D215,$E$2:$E$1000,E215,$F$2:$F$1000,F215)</f>
        <v>1</v>
      </c>
      <c r="AK215">
        <f>COUNTIF($A$2:$A$1000, A215)</f>
        <v>1</v>
      </c>
    </row>
    <row r="216" spans="1:37">
      <c r="A216" t="s">
        <v>749</v>
      </c>
      <c r="B216" s="5">
        <v>45368</v>
      </c>
      <c r="C216" s="5">
        <v>45374</v>
      </c>
      <c r="D216" s="6">
        <f>IF(AND(C216&lt;&gt;"",B216&lt;&gt;""), C216-B216, "Missing Date")</f>
        <v>6</v>
      </c>
      <c r="E216" s="6" t="str">
        <f>IF(OR(B216="",C216=""), "Missing Date",
    IF(C216&lt;B216, "Invalid: Ship before Order",
      "OK"))</f>
        <v>OK</v>
      </c>
      <c r="F216" t="s">
        <v>750</v>
      </c>
      <c r="G216" t="s">
        <v>118</v>
      </c>
      <c r="H216" t="s">
        <v>24</v>
      </c>
      <c r="I216" t="s">
        <v>25</v>
      </c>
      <c r="J216" t="s">
        <v>236</v>
      </c>
      <c r="K216" t="s">
        <v>237</v>
      </c>
      <c r="L216" t="s">
        <v>74</v>
      </c>
      <c r="M216" t="s">
        <v>75</v>
      </c>
      <c r="N216" t="s">
        <v>751</v>
      </c>
      <c r="O216" t="s">
        <v>50</v>
      </c>
      <c r="P216">
        <v>3</v>
      </c>
      <c r="Q216">
        <v>248.18</v>
      </c>
      <c r="R216">
        <v>0.05</v>
      </c>
      <c r="S216">
        <v>707.31</v>
      </c>
      <c r="T216">
        <v>569</v>
      </c>
      <c r="U216">
        <v>138.31</v>
      </c>
      <c r="V216" t="s">
        <v>32</v>
      </c>
      <c r="W216" t="s">
        <v>33</v>
      </c>
      <c r="X216" t="str">
        <f>_xlfn.TEXTJOIN("|", TRUE, A216:W216)</f>
        <v>ORD-2024-10215|45368|45374|6|OK|CUST-1301|Rahul Verma|Consumer|North|Haryana|Gurugram|Technology|Accessories|Classic Accessories 757|First Class|3|248.18|0.05|707.31|569|138.31|Paid|Completed</v>
      </c>
      <c r="Y216">
        <f>COUNTIF($X$2:$X$1000, X216)</f>
        <v>1</v>
      </c>
      <c r="Z216">
        <f>COUNTIF($A$2:$A$1000, A216)</f>
        <v>1</v>
      </c>
      <c r="AA216" t="str">
        <f>IF(Y216&gt;1, "Exact Duplicate",
  IF(Z216&gt;1, "Conflicting Duplicate - Review",
    "Unique"))</f>
        <v>Unique</v>
      </c>
      <c r="AB216" s="2">
        <f>IF(ISBLANK(R216), 0, IF(ISTEXT(R216), VALUE(SUBSTITUTE(R216, "%", ""))/100, IF(OR(R216&lt;0, R216&gt;1), "Invalid", R216)))</f>
        <v>0.05</v>
      </c>
      <c r="AC216" s="4">
        <f>IF(AB216="Invalid", "Error", P216 * Q216 * (1 - AB216))</f>
        <v>707.31299999999999</v>
      </c>
      <c r="AD216" s="4">
        <f>IF(AC216="Error", "Error", AC216 - T216)</f>
        <v>138.31299999999999</v>
      </c>
      <c r="AE216" s="2">
        <f>IF(AC216="Error", "Error", IF(AC216=0, 0, AD216 / AC216))</f>
        <v>0.19554709159876885</v>
      </c>
      <c r="AF216" s="7">
        <f>C216-B216</f>
        <v>6</v>
      </c>
      <c r="AG216" s="2" t="str">
        <f>TEXT(B216, "mmmm")</f>
        <v>March</v>
      </c>
      <c r="AH216" s="4">
        <f>YEAR(B216)</f>
        <v>2024</v>
      </c>
      <c r="AI216" s="2" t="str">
        <f t="shared" si="17"/>
        <v>Clean</v>
      </c>
      <c r="AJ216">
        <f>COUNTIFS($A$2:$A$1000,A216,$B$2:$B$1000,B216,$C$2:$C$1000,C216,$D$2:$D$1000,D216,$E$2:$E$1000,E216,$F$2:$F$1000,F216)</f>
        <v>1</v>
      </c>
      <c r="AK216">
        <f>COUNTIF($A$2:$A$1000, A216)</f>
        <v>1</v>
      </c>
    </row>
    <row r="217" spans="1:37">
      <c r="A217" t="s">
        <v>752</v>
      </c>
      <c r="B217" s="5">
        <v>45352</v>
      </c>
      <c r="C217" s="5">
        <v>45355</v>
      </c>
      <c r="D217" s="6">
        <f>IF(AND(C217&lt;&gt;"",B217&lt;&gt;""), C217-B217, "Missing Date")</f>
        <v>3</v>
      </c>
      <c r="E217" s="6" t="str">
        <f>IF(OR(B217="",C217=""), "Missing Date",
    IF(C217&lt;B217, "Invalid: Ship before Order",
      "OK"))</f>
        <v>OK</v>
      </c>
      <c r="F217" t="s">
        <v>753</v>
      </c>
      <c r="G217" t="s">
        <v>36</v>
      </c>
      <c r="H217" t="s">
        <v>24</v>
      </c>
      <c r="I217" t="s">
        <v>63</v>
      </c>
      <c r="J217" t="s">
        <v>72</v>
      </c>
      <c r="K217" t="s">
        <v>73</v>
      </c>
      <c r="L217" t="s">
        <v>28</v>
      </c>
      <c r="M217" t="s">
        <v>29</v>
      </c>
      <c r="N217" t="s">
        <v>754</v>
      </c>
      <c r="O217" t="s">
        <v>50</v>
      </c>
      <c r="P217">
        <v>8</v>
      </c>
      <c r="Q217">
        <v>3202.4</v>
      </c>
      <c r="R217">
        <v>0.25</v>
      </c>
      <c r="S217">
        <v>19214.400000000001</v>
      </c>
      <c r="T217">
        <v>10916.01</v>
      </c>
      <c r="U217">
        <v>8298.39</v>
      </c>
      <c r="V217" t="s">
        <v>32</v>
      </c>
      <c r="W217" t="s">
        <v>33</v>
      </c>
      <c r="X217" t="str">
        <f>_xlfn.TEXTJOIN("|", TRUE, A217:W217)</f>
        <v>ORD-2024-10216|45352|45355|3|OK|CUST-8603|Mira Das|Consumer|West|Madhya Pradesh|Indore|Office Supplies|Paper|Prime Paper 286|First Class|8|3202.4|0.25|19214.4|10916.01|8298.39|Paid|Completed</v>
      </c>
      <c r="Y217">
        <f>COUNTIF($X$2:$X$1000, X217)</f>
        <v>1</v>
      </c>
      <c r="Z217">
        <f>COUNTIF($A$2:$A$1000, A217)</f>
        <v>1</v>
      </c>
      <c r="AA217" t="str">
        <f>IF(Y217&gt;1, "Exact Duplicate",
  IF(Z217&gt;1, "Conflicting Duplicate - Review",
    "Unique"))</f>
        <v>Unique</v>
      </c>
      <c r="AB217" s="2">
        <f>IF(ISBLANK(R217), 0, IF(ISTEXT(R217), VALUE(SUBSTITUTE(R217, "%", ""))/100, IF(OR(R217&lt;0, R217&gt;1), "Invalid", R217)))</f>
        <v>0.25</v>
      </c>
      <c r="AC217" s="4">
        <f>IF(AB217="Invalid", "Error", P217 * Q217 * (1 - AB217))</f>
        <v>19214.400000000001</v>
      </c>
      <c r="AD217" s="4">
        <f>IF(AC217="Error", "Error", AC217 - T217)</f>
        <v>8298.3900000000012</v>
      </c>
      <c r="AE217" s="2">
        <f>IF(AC217="Error", "Error", IF(AC217=0, 0, AD217 / AC217))</f>
        <v>0.43188389957531853</v>
      </c>
      <c r="AF217" s="7">
        <f>C217-B217</f>
        <v>3</v>
      </c>
      <c r="AG217" s="2" t="str">
        <f>TEXT(B217, "mmmm")</f>
        <v>March</v>
      </c>
      <c r="AH217" s="4">
        <f>YEAR(B217)</f>
        <v>2024</v>
      </c>
      <c r="AI217" s="2" t="str">
        <f t="shared" si="17"/>
        <v>Clean</v>
      </c>
      <c r="AJ217">
        <f>COUNTIFS($A$2:$A$1000,A217,$B$2:$B$1000,B217,$C$2:$C$1000,C217,$D$2:$D$1000,D217,$E$2:$E$1000,E217,$F$2:$F$1000,F217)</f>
        <v>1</v>
      </c>
      <c r="AK217">
        <f>COUNTIF($A$2:$A$1000, A217)</f>
        <v>1</v>
      </c>
    </row>
    <row r="218" spans="1:37">
      <c r="A218" t="s">
        <v>755</v>
      </c>
      <c r="B218" s="5">
        <v>45934</v>
      </c>
      <c r="C218" s="5">
        <v>45762</v>
      </c>
      <c r="D218" s="6">
        <f>IF(AND(C218&lt;&gt;"",B218&lt;&gt;""), C218-B218, "Missing Date")</f>
        <v>-172</v>
      </c>
      <c r="E218" s="6" t="str">
        <f>IF(OR(B218="",C218=""), "Missing Date",
    IF(C218&lt;B218, "Invalid: Ship before Order",
      "OK"))</f>
        <v>Invalid: Ship before Order</v>
      </c>
      <c r="F218" t="s">
        <v>756</v>
      </c>
      <c r="G218" t="s">
        <v>47</v>
      </c>
      <c r="H218" t="s">
        <v>24</v>
      </c>
      <c r="I218" t="s">
        <v>63</v>
      </c>
      <c r="J218" t="s">
        <v>180</v>
      </c>
      <c r="K218" t="s">
        <v>181</v>
      </c>
      <c r="L218" t="s">
        <v>41</v>
      </c>
      <c r="M218" t="s">
        <v>42</v>
      </c>
      <c r="N218" t="s">
        <v>757</v>
      </c>
      <c r="O218" t="s">
        <v>59</v>
      </c>
      <c r="P218">
        <v>8</v>
      </c>
      <c r="Q218">
        <v>1839.87</v>
      </c>
      <c r="R218">
        <v>0.25</v>
      </c>
      <c r="S218">
        <v>11039.22</v>
      </c>
      <c r="T218">
        <v>7642.91</v>
      </c>
      <c r="U218">
        <v>3396.31</v>
      </c>
      <c r="V218" t="s">
        <v>155</v>
      </c>
      <c r="W218" t="s">
        <v>103</v>
      </c>
      <c r="X218" t="str">
        <f>_xlfn.TEXTJOIN("|", TRUE, A218:W218)</f>
        <v>ORD-2025-10217|45934|45762|-172|Invalid: Ship before Order|CUST-4330|Isha Nair|Consumer|West|Gujarat|Ahmedabad|Furniture|Tables|Basic Tables 400|Standard Class|8|1839.87|0.25|11039.22|7642.91|3396.31|Failed|Returned</v>
      </c>
      <c r="Y218">
        <f>COUNTIF($X$2:$X$1000, X218)</f>
        <v>1</v>
      </c>
      <c r="Z218">
        <f>COUNTIF($A$2:$A$1000, A218)</f>
        <v>1</v>
      </c>
      <c r="AA218" t="str">
        <f>IF(Y218&gt;1, "Exact Duplicate",
  IF(Z218&gt;1, "Conflicting Duplicate - Review",
    "Unique"))</f>
        <v>Unique</v>
      </c>
      <c r="AB218" s="2">
        <f>IF(ISBLANK(R218), 0, IF(ISTEXT(R218), VALUE(SUBSTITUTE(R218, "%", ""))/100, IF(OR(R218&lt;0, R218&gt;1), "Invalid", R218)))</f>
        <v>0.25</v>
      </c>
      <c r="AC218" s="4">
        <f>IF(AB218="Invalid", "Error", P218 * Q218 * (1 - AB218))</f>
        <v>11039.22</v>
      </c>
      <c r="AD218" s="4">
        <f>IF(AC218="Error", "Error", AC218 - T218)</f>
        <v>3396.3099999999995</v>
      </c>
      <c r="AE218" s="2">
        <f>IF(AC218="Error", "Error", IF(AC218=0, 0, AD218 / AC218))</f>
        <v>0.30765851210502188</v>
      </c>
      <c r="AF218" s="7">
        <f>C218-B218</f>
        <v>-172</v>
      </c>
      <c r="AG218" s="2" t="str">
        <f>TEXT(B218, "mmmm")</f>
        <v>October</v>
      </c>
      <c r="AH218" s="4">
        <f>YEAR(B218)</f>
        <v>2025</v>
      </c>
      <c r="AI218" s="2" t="str">
        <f t="shared" si="17"/>
        <v>Excluded from Sales</v>
      </c>
      <c r="AJ218">
        <f>COUNTIFS($A$2:$A$1000,A218,$B$2:$B$1000,B218,$C$2:$C$1000,C218,$D$2:$D$1000,D218,$E$2:$E$1000,E218,$F$2:$F$1000,F218)</f>
        <v>1</v>
      </c>
      <c r="AK218">
        <f>COUNTIF($A$2:$A$1000, A218)</f>
        <v>1</v>
      </c>
    </row>
    <row r="219" spans="1:37">
      <c r="A219" t="s">
        <v>758</v>
      </c>
      <c r="B219" s="5">
        <v>45748</v>
      </c>
      <c r="C219" s="5">
        <v>45873</v>
      </c>
      <c r="D219" s="6">
        <f>IF(AND(C219&lt;&gt;"",B219&lt;&gt;""), C219-B219, "Missing Date")</f>
        <v>125</v>
      </c>
      <c r="E219" s="6" t="str">
        <f>IF(OR(B219="",C219=""), "Missing Date",
    IF(C219&lt;B219, "Invalid: Ship before Order",
      "OK"))</f>
        <v>OK</v>
      </c>
      <c r="F219" t="s">
        <v>759</v>
      </c>
      <c r="G219" t="s">
        <v>89</v>
      </c>
      <c r="H219" t="s">
        <v>24</v>
      </c>
      <c r="I219" t="s">
        <v>38</v>
      </c>
      <c r="J219" t="s">
        <v>39</v>
      </c>
      <c r="K219" t="s">
        <v>40</v>
      </c>
      <c r="L219" t="s">
        <v>41</v>
      </c>
      <c r="M219" t="s">
        <v>158</v>
      </c>
      <c r="N219" t="s">
        <v>760</v>
      </c>
      <c r="O219" t="s">
        <v>31</v>
      </c>
      <c r="P219">
        <v>5</v>
      </c>
      <c r="Q219">
        <v>1021.28</v>
      </c>
      <c r="R219">
        <v>0.1</v>
      </c>
      <c r="S219">
        <v>4595.76</v>
      </c>
      <c r="T219">
        <v>3396.8</v>
      </c>
      <c r="U219">
        <v>1198.96</v>
      </c>
      <c r="V219" t="s">
        <v>102</v>
      </c>
      <c r="W219" t="s">
        <v>68</v>
      </c>
      <c r="X219" t="str">
        <f>_xlfn.TEXTJOIN("|", TRUE, A219:W219)</f>
        <v>ORD-2025-10218|45748|45873|125|OK|CUST-4533|Aditi Sen|Consumer|East|Odisha|Bhubaneswar|Furniture|Bookcases|Basic Bookcases 405|Second Class|5|1021.28|0.1|4595.76|3396.8|1198.96|Refunded|Cancelled</v>
      </c>
      <c r="Y219">
        <f>COUNTIF($X$2:$X$1000, X219)</f>
        <v>1</v>
      </c>
      <c r="Z219">
        <f>COUNTIF($A$2:$A$1000, A219)</f>
        <v>1</v>
      </c>
      <c r="AA219" t="str">
        <f>IF(Y219&gt;1, "Exact Duplicate",
  IF(Z219&gt;1, "Conflicting Duplicate - Review",
    "Unique"))</f>
        <v>Unique</v>
      </c>
      <c r="AB219" s="2">
        <f>IF(ISBLANK(R219), 0, IF(ISTEXT(R219), VALUE(SUBSTITUTE(R219, "%", ""))/100, IF(OR(R219&lt;0, R219&gt;1), "Invalid", R219)))</f>
        <v>0.1</v>
      </c>
      <c r="AC219" s="4">
        <f>IF(AB219="Invalid", "Error", P219 * Q219 * (1 - AB219))</f>
        <v>4595.76</v>
      </c>
      <c r="AD219" s="4">
        <f>IF(AC219="Error", "Error", AC219 - T219)</f>
        <v>1198.96</v>
      </c>
      <c r="AE219" s="2">
        <f>IF(AC219="Error", "Error", IF(AC219=0, 0, AD219 / AC219))</f>
        <v>0.26088394520166414</v>
      </c>
      <c r="AF219" s="7">
        <f>C219-B219</f>
        <v>125</v>
      </c>
      <c r="AG219" s="2" t="str">
        <f>TEXT(B219, "mmmm")</f>
        <v>April</v>
      </c>
      <c r="AH219" s="4">
        <f>YEAR(B219)</f>
        <v>2025</v>
      </c>
      <c r="AI219" s="2" t="str">
        <f t="shared" si="17"/>
        <v>Excluded from Sales</v>
      </c>
      <c r="AJ219">
        <f>COUNTIFS($A$2:$A$1000,A219,$B$2:$B$1000,B219,$C$2:$C$1000,C219,$D$2:$D$1000,D219,$E$2:$E$1000,E219,$F$2:$F$1000,F219)</f>
        <v>1</v>
      </c>
      <c r="AK219">
        <f>COUNTIF($A$2:$A$1000, A219)</f>
        <v>1</v>
      </c>
    </row>
    <row r="220" spans="1:37">
      <c r="A220" t="s">
        <v>761</v>
      </c>
      <c r="B220" s="5">
        <v>45714</v>
      </c>
      <c r="C220" s="5">
        <v>45715</v>
      </c>
      <c r="D220" s="6">
        <f>IF(AND(C220&lt;&gt;"",B220&lt;&gt;""), C220-B220, "Missing Date")</f>
        <v>1</v>
      </c>
      <c r="E220" s="6" t="str">
        <f>IF(OR(B220="",C220=""), "Missing Date",
    IF(C220&lt;B220, "Invalid: Ship before Order",
      "OK"))</f>
        <v>OK</v>
      </c>
      <c r="F220" t="s">
        <v>762</v>
      </c>
      <c r="G220" t="s">
        <v>114</v>
      </c>
      <c r="H220" t="s">
        <v>90</v>
      </c>
      <c r="I220" t="s">
        <v>63</v>
      </c>
      <c r="J220" t="s">
        <v>180</v>
      </c>
      <c r="K220" t="s">
        <v>181</v>
      </c>
      <c r="L220" t="s">
        <v>41</v>
      </c>
      <c r="M220" t="s">
        <v>158</v>
      </c>
      <c r="N220" t="s">
        <v>763</v>
      </c>
      <c r="O220" t="s">
        <v>59</v>
      </c>
      <c r="P220">
        <v>5</v>
      </c>
      <c r="Q220">
        <v>258.27999999999997</v>
      </c>
      <c r="R220">
        <v>0</v>
      </c>
      <c r="S220">
        <v>1291.4000000000001</v>
      </c>
      <c r="T220">
        <v>756.93</v>
      </c>
      <c r="U220">
        <v>534.47</v>
      </c>
      <c r="V220" t="s">
        <v>32</v>
      </c>
      <c r="W220" t="s">
        <v>33</v>
      </c>
      <c r="X220" t="str">
        <f>_xlfn.TEXTJOIN("|", TRUE, A220:W220)</f>
        <v>ORD-2025-10219|45714|45715|1|OK|CUST-8270|Priya Menon|Corporate|West|Gujarat|Ahmedabad|Furniture|Bookcases|Classic Bookcases 139|Standard Class|5|258.28|0|1291.4|756.93|534.47|Paid|Completed</v>
      </c>
      <c r="Y220">
        <f>COUNTIF($X$2:$X$1000, X220)</f>
        <v>1</v>
      </c>
      <c r="Z220">
        <f>COUNTIF($A$2:$A$1000, A220)</f>
        <v>1</v>
      </c>
      <c r="AA220" t="str">
        <f>IF(Y220&gt;1, "Exact Duplicate",
  IF(Z220&gt;1, "Conflicting Duplicate - Review",
    "Unique"))</f>
        <v>Unique</v>
      </c>
      <c r="AB220" s="2">
        <f>IF(ISBLANK(R220), 0, IF(ISTEXT(R220), VALUE(SUBSTITUTE(R220, "%", ""))/100, IF(OR(R220&lt;0, R220&gt;1), "Invalid", R220)))</f>
        <v>0</v>
      </c>
      <c r="AC220" s="4">
        <f>IF(AB220="Invalid", "Error", P220 * Q220 * (1 - AB220))</f>
        <v>1291.3999999999999</v>
      </c>
      <c r="AD220" s="4">
        <f>IF(AC220="Error", "Error", AC220 - T220)</f>
        <v>534.46999999999991</v>
      </c>
      <c r="AE220" s="2">
        <f>IF(AC220="Error", "Error", IF(AC220=0, 0, AD220 / AC220))</f>
        <v>0.41386866966083319</v>
      </c>
      <c r="AF220" s="7">
        <f>C220-B220</f>
        <v>1</v>
      </c>
      <c r="AG220" s="2" t="str">
        <f>TEXT(B220, "mmmm")</f>
        <v>February</v>
      </c>
      <c r="AH220" s="4">
        <f>YEAR(B220)</f>
        <v>2025</v>
      </c>
      <c r="AI220" s="2" t="str">
        <f t="shared" si="17"/>
        <v>Clean</v>
      </c>
      <c r="AJ220">
        <f>COUNTIFS($A$2:$A$1000,A220,$B$2:$B$1000,B220,$C$2:$C$1000,C220,$D$2:$D$1000,D220,$E$2:$E$1000,E220,$F$2:$F$1000,F220)</f>
        <v>1</v>
      </c>
      <c r="AK220">
        <f>COUNTIF($A$2:$A$1000, A220)</f>
        <v>1</v>
      </c>
    </row>
    <row r="221" spans="1:37">
      <c r="A221" t="s">
        <v>764</v>
      </c>
      <c r="B221" s="5">
        <v>45461</v>
      </c>
      <c r="C221" s="5">
        <v>45462</v>
      </c>
      <c r="D221" s="6">
        <f>IF(AND(C221&lt;&gt;"",B221&lt;&gt;""), C221-B221, "Missing Date")</f>
        <v>1</v>
      </c>
      <c r="E221" s="6" t="str">
        <f>IF(OR(B221="",C221=""), "Missing Date",
    IF(C221&lt;B221, "Invalid: Ship before Order",
      "OK"))</f>
        <v>OK</v>
      </c>
      <c r="F221" t="s">
        <v>765</v>
      </c>
      <c r="G221" t="s">
        <v>118</v>
      </c>
      <c r="H221" t="s">
        <v>24</v>
      </c>
      <c r="I221" t="s">
        <v>38</v>
      </c>
      <c r="J221" t="s">
        <v>145</v>
      </c>
      <c r="K221" t="s">
        <v>146</v>
      </c>
      <c r="L221" t="s">
        <v>74</v>
      </c>
      <c r="M221" t="s">
        <v>274</v>
      </c>
      <c r="N221" t="s">
        <v>766</v>
      </c>
      <c r="O221" t="s">
        <v>50</v>
      </c>
      <c r="P221">
        <v>2</v>
      </c>
      <c r="Q221">
        <v>121.49</v>
      </c>
      <c r="R221" s="9">
        <v>0.85</v>
      </c>
      <c r="S221">
        <v>242.98</v>
      </c>
      <c r="T221">
        <v>161.41999999999999</v>
      </c>
      <c r="U221">
        <v>81.56</v>
      </c>
      <c r="V221" t="s">
        <v>32</v>
      </c>
      <c r="W221" t="s">
        <v>33</v>
      </c>
      <c r="X221" t="str">
        <f>_xlfn.TEXTJOIN("|", TRUE, A221:W221)</f>
        <v>ORD-2024-10220|45461|45462|1|OK|CUST-1472|Rahul Verma|Consumer|East|Bihar|Patna|Technology|Machines|Elite Machines 290|First Class|2|121.49|0.85|242.98|161.42|81.56|Paid|Completed</v>
      </c>
      <c r="Y221">
        <f>COUNTIF($X$2:$X$1000, X221)</f>
        <v>1</v>
      </c>
      <c r="Z221">
        <f>COUNTIF($A$2:$A$1000, A221)</f>
        <v>1</v>
      </c>
      <c r="AA221" t="str">
        <f>IF(Y221&gt;1, "Exact Duplicate",
  IF(Z221&gt;1, "Conflicting Duplicate - Review",
    "Unique"))</f>
        <v>Unique</v>
      </c>
      <c r="AB221" s="2">
        <f>IF(ISBLANK(R221), 0, IF(ISTEXT(R221), VALUE(SUBSTITUTE(R221, "%", ""))/100, IF(OR(R221&lt;0, R221&gt;1), "Invalid", R221)))</f>
        <v>0.85</v>
      </c>
      <c r="AC221" s="4">
        <f>IF(AB221="Invalid", "Error", P221 * Q221 * (1 - AB221))</f>
        <v>36.447000000000003</v>
      </c>
      <c r="AD221" s="4">
        <f>IF(AC221="Error", "Error", AC221 - T221)</f>
        <v>-124.97299999999998</v>
      </c>
      <c r="AE221" s="2">
        <f>IF(AC221="Error", "Error", IF(AC221=0, 0, AD221 / AC221))</f>
        <v>-3.4288967541910162</v>
      </c>
      <c r="AF221" s="7">
        <f>C221-B221</f>
        <v>1</v>
      </c>
      <c r="AG221" s="2" t="str">
        <f>TEXT(B221, "mmmm")</f>
        <v>June</v>
      </c>
      <c r="AH221" s="4">
        <f>YEAR(B221)</f>
        <v>2024</v>
      </c>
      <c r="AI221" s="2" t="str">
        <f t="shared" si="17"/>
        <v>Clean</v>
      </c>
      <c r="AJ221">
        <f>COUNTIFS($A$2:$A$1000,A221,$B$2:$B$1000,B221,$C$2:$C$1000,C221,$D$2:$D$1000,D221,$E$2:$E$1000,E221,$F$2:$F$1000,F221)</f>
        <v>1</v>
      </c>
      <c r="AK221">
        <f>COUNTIF($A$2:$A$1000, A221)</f>
        <v>1</v>
      </c>
    </row>
    <row r="222" spans="1:37">
      <c r="A222" t="s">
        <v>767</v>
      </c>
      <c r="B222" s="5">
        <v>45360</v>
      </c>
      <c r="C222" s="5">
        <v>45360</v>
      </c>
      <c r="D222" s="6">
        <f>IF(AND(C222&lt;&gt;"",B222&lt;&gt;""), C222-B222, "Missing Date")</f>
        <v>0</v>
      </c>
      <c r="E222" s="6" t="str">
        <f>IF(OR(B222="",C222=""), "Missing Date",
    IF(C222&lt;B222, "Invalid: Ship before Order",
      "OK"))</f>
        <v>OK</v>
      </c>
      <c r="F222" t="s">
        <v>768</v>
      </c>
      <c r="G222" t="s">
        <v>132</v>
      </c>
      <c r="H222" t="s">
        <v>24</v>
      </c>
      <c r="I222" t="s">
        <v>54</v>
      </c>
      <c r="J222" t="s">
        <v>185</v>
      </c>
      <c r="K222" t="s">
        <v>186</v>
      </c>
      <c r="L222" t="s">
        <v>28</v>
      </c>
      <c r="M222" t="s">
        <v>124</v>
      </c>
      <c r="N222" t="s">
        <v>769</v>
      </c>
      <c r="O222" t="s">
        <v>50</v>
      </c>
      <c r="P222">
        <v>4</v>
      </c>
      <c r="Q222">
        <v>2810.17</v>
      </c>
      <c r="R222">
        <v>0.15</v>
      </c>
      <c r="S222">
        <v>9554.58</v>
      </c>
      <c r="T222">
        <v>6068.47</v>
      </c>
      <c r="U222">
        <v>3486.11</v>
      </c>
      <c r="V222" t="s">
        <v>102</v>
      </c>
      <c r="W222" t="s">
        <v>68</v>
      </c>
      <c r="X222" t="str">
        <f>_xlfn.TEXTJOIN("|", TRUE, A222:W222)</f>
        <v>ORD-2024-10221|45360|45360|0|OK|CUST-1031|Sneha Kapoor|Consumer|South|Kerala|Kochi|Office Supplies|Storage|Elite Storage 925|First Class|4|2810.17|0.15|9554.58|6068.47|3486.11|Refunded|Cancelled</v>
      </c>
      <c r="Y222">
        <f>COUNTIF($X$2:$X$1000, X222)</f>
        <v>1</v>
      </c>
      <c r="Z222">
        <f>COUNTIF($A$2:$A$1000, A222)</f>
        <v>1</v>
      </c>
      <c r="AA222" t="str">
        <f>IF(Y222&gt;1, "Exact Duplicate",
  IF(Z222&gt;1, "Conflicting Duplicate - Review",
    "Unique"))</f>
        <v>Unique</v>
      </c>
      <c r="AB222" s="2">
        <f>IF(ISBLANK(R222), 0, IF(ISTEXT(R222), VALUE(SUBSTITUTE(R222, "%", ""))/100, IF(OR(R222&lt;0, R222&gt;1), "Invalid", R222)))</f>
        <v>0.15</v>
      </c>
      <c r="AC222" s="4">
        <f>IF(AB222="Invalid", "Error", P222 * Q222 * (1 - AB222))</f>
        <v>9554.5779999999995</v>
      </c>
      <c r="AD222" s="4">
        <f>IF(AC222="Error", "Error", AC222 - T222)</f>
        <v>3486.1079999999993</v>
      </c>
      <c r="AE222" s="2">
        <f>IF(AC222="Error", "Error", IF(AC222=0, 0, AD222 / AC222))</f>
        <v>0.36486258210462036</v>
      </c>
      <c r="AF222" s="7">
        <f>C222-B222</f>
        <v>0</v>
      </c>
      <c r="AG222" s="2" t="str">
        <f>TEXT(B222, "mmmm")</f>
        <v>March</v>
      </c>
      <c r="AH222" s="4">
        <f>YEAR(B222)</f>
        <v>2024</v>
      </c>
      <c r="AI222" s="2" t="str">
        <f t="shared" si="17"/>
        <v>Excluded from Sales</v>
      </c>
      <c r="AJ222">
        <f>COUNTIFS($A$2:$A$1000,A222,$B$2:$B$1000,B222,$C$2:$C$1000,C222,$D$2:$D$1000,D222,$E$2:$E$1000,E222,$F$2:$F$1000,F222)</f>
        <v>1</v>
      </c>
      <c r="AK222">
        <f>COUNTIF($A$2:$A$1000, A222)</f>
        <v>1</v>
      </c>
    </row>
    <row r="223" spans="1:37">
      <c r="A223" t="s">
        <v>770</v>
      </c>
      <c r="B223" s="5">
        <v>45669</v>
      </c>
      <c r="C223" s="5">
        <v>45672</v>
      </c>
      <c r="D223" s="6">
        <f>IF(AND(C223&lt;&gt;"",B223&lt;&gt;""), C223-B223, "Missing Date")</f>
        <v>3</v>
      </c>
      <c r="E223" s="6" t="str">
        <f>IF(OR(B223="",C223=""), "Missing Date",
    IF(C223&lt;B223, "Invalid: Ship before Order",
      "OK"))</f>
        <v>OK</v>
      </c>
      <c r="F223" t="s">
        <v>771</v>
      </c>
      <c r="G223" t="s">
        <v>36</v>
      </c>
      <c r="H223" t="s">
        <v>90</v>
      </c>
      <c r="I223" t="s">
        <v>54</v>
      </c>
      <c r="J223" t="s">
        <v>175</v>
      </c>
      <c r="K223" t="s">
        <v>176</v>
      </c>
      <c r="L223" t="s">
        <v>41</v>
      </c>
      <c r="M223" t="s">
        <v>66</v>
      </c>
      <c r="N223" t="s">
        <v>772</v>
      </c>
      <c r="O223" t="s">
        <v>44</v>
      </c>
      <c r="P223">
        <v>4</v>
      </c>
      <c r="Q223">
        <v>1531.53</v>
      </c>
      <c r="R223">
        <v>0.2</v>
      </c>
      <c r="S223">
        <v>4900.8999999999996</v>
      </c>
      <c r="T223">
        <v>3552.69</v>
      </c>
      <c r="U223">
        <v>1348.21</v>
      </c>
      <c r="V223" t="s">
        <v>32</v>
      </c>
      <c r="W223" t="s">
        <v>33</v>
      </c>
      <c r="X223" t="str">
        <f>_xlfn.TEXTJOIN("|", TRUE, A223:W223)</f>
        <v>ORD-2025-10222|45669|45672|3|OK|CUST-2495|Mira Das|Corporate|South|Karnataka|Bengaluru|Furniture|Chairs|Classic Chairs 231|Same Day|4|1531.53|0.2|4900.9|3552.69|1348.21|Paid|Completed</v>
      </c>
      <c r="Y223">
        <f>COUNTIF($X$2:$X$1000, X223)</f>
        <v>1</v>
      </c>
      <c r="Z223">
        <f>COUNTIF($A$2:$A$1000, A223)</f>
        <v>1</v>
      </c>
      <c r="AA223" t="str">
        <f>IF(Y223&gt;1, "Exact Duplicate",
  IF(Z223&gt;1, "Conflicting Duplicate - Review",
    "Unique"))</f>
        <v>Unique</v>
      </c>
      <c r="AB223" s="2">
        <f>IF(ISBLANK(R223), 0, IF(ISTEXT(R223), VALUE(SUBSTITUTE(R223, "%", ""))/100, IF(OR(R223&lt;0, R223&gt;1), "Invalid", R223)))</f>
        <v>0.2</v>
      </c>
      <c r="AC223" s="4">
        <f>IF(AB223="Invalid", "Error", P223 * Q223 * (1 - AB223))</f>
        <v>4900.8959999999997</v>
      </c>
      <c r="AD223" s="4">
        <f>IF(AC223="Error", "Error", AC223 - T223)</f>
        <v>1348.2059999999997</v>
      </c>
      <c r="AE223" s="2">
        <f>IF(AC223="Error", "Error", IF(AC223=0, 0, AD223 / AC223))</f>
        <v>0.27509377877024932</v>
      </c>
      <c r="AF223" s="7">
        <f>C223-B223</f>
        <v>3</v>
      </c>
      <c r="AG223" s="2" t="str">
        <f>TEXT(B223, "mmmm")</f>
        <v>January</v>
      </c>
      <c r="AH223" s="4">
        <f>YEAR(B223)</f>
        <v>2025</v>
      </c>
      <c r="AI223" s="2" t="str">
        <f t="shared" si="17"/>
        <v>Clean</v>
      </c>
      <c r="AJ223">
        <f>COUNTIFS($A$2:$A$1000,A223,$B$2:$B$1000,B223,$C$2:$C$1000,C223,$D$2:$D$1000,D223,$E$2:$E$1000,E223,$F$2:$F$1000,F223)</f>
        <v>1</v>
      </c>
      <c r="AK223">
        <f>COUNTIF($A$2:$A$1000, A223)</f>
        <v>1</v>
      </c>
    </row>
    <row r="224" spans="1:37">
      <c r="A224" t="s">
        <v>773</v>
      </c>
      <c r="B224" s="5">
        <v>45776</v>
      </c>
      <c r="C224" s="5">
        <v>45779</v>
      </c>
      <c r="D224" s="6">
        <f>IF(AND(C224&lt;&gt;"",B224&lt;&gt;""), C224-B224, "Missing Date")</f>
        <v>3</v>
      </c>
      <c r="E224" s="6" t="str">
        <f>IF(OR(B224="",C224=""), "Missing Date",
    IF(C224&lt;B224, "Invalid: Ship before Order",
      "OK"))</f>
        <v>OK</v>
      </c>
      <c r="F224" t="s">
        <v>774</v>
      </c>
      <c r="G224" t="s">
        <v>71</v>
      </c>
      <c r="H224" t="s">
        <v>37</v>
      </c>
      <c r="I224" t="s">
        <v>63</v>
      </c>
      <c r="J224" t="s">
        <v>190</v>
      </c>
      <c r="K224" t="s">
        <v>191</v>
      </c>
      <c r="L224" t="s">
        <v>28</v>
      </c>
      <c r="M224" t="s">
        <v>124</v>
      </c>
      <c r="N224" t="s">
        <v>775</v>
      </c>
      <c r="O224" t="s">
        <v>50</v>
      </c>
      <c r="P224">
        <v>6</v>
      </c>
      <c r="Q224">
        <v>4308.09</v>
      </c>
      <c r="R224">
        <v>0</v>
      </c>
      <c r="S224">
        <v>25848.54</v>
      </c>
      <c r="T224">
        <v>17729.09</v>
      </c>
      <c r="U224">
        <v>8119.45</v>
      </c>
      <c r="V224" t="s">
        <v>32</v>
      </c>
      <c r="W224" t="s">
        <v>33</v>
      </c>
      <c r="X224" t="str">
        <f>_xlfn.TEXTJOIN("|", TRUE, A224:W224)</f>
        <v>ORD-2025-10223|45776|45779|3|OK|CUST-4583|Vikram Iyer|Small Business|West|Goa|Panaji|Office Supplies|Storage|Prime Storage 818|First Class|6|4308.09|0|25848.54|17729.09|8119.45|Paid|Completed</v>
      </c>
      <c r="Y224">
        <f>COUNTIF($X$2:$X$1000, X224)</f>
        <v>1</v>
      </c>
      <c r="Z224">
        <f>COUNTIF($A$2:$A$1000, A224)</f>
        <v>1</v>
      </c>
      <c r="AA224" t="str">
        <f>IF(Y224&gt;1, "Exact Duplicate",
  IF(Z224&gt;1, "Conflicting Duplicate - Review",
    "Unique"))</f>
        <v>Unique</v>
      </c>
      <c r="AB224" s="2">
        <f>IF(ISBLANK(R224), 0, IF(ISTEXT(R224), VALUE(SUBSTITUTE(R224, "%", ""))/100, IF(OR(R224&lt;0, R224&gt;1), "Invalid", R224)))</f>
        <v>0</v>
      </c>
      <c r="AC224" s="4">
        <f>IF(AB224="Invalid", "Error", P224 * Q224 * (1 - AB224))</f>
        <v>25848.54</v>
      </c>
      <c r="AD224" s="4">
        <f>IF(AC224="Error", "Error", AC224 - T224)</f>
        <v>8119.4500000000007</v>
      </c>
      <c r="AE224" s="2">
        <f>IF(AC224="Error", "Error", IF(AC224=0, 0, AD224 / AC224))</f>
        <v>0.31411638723115504</v>
      </c>
      <c r="AF224" s="7">
        <f>C224-B224</f>
        <v>3</v>
      </c>
      <c r="AG224" s="2" t="str">
        <f>TEXT(B224, "mmmm")</f>
        <v>April</v>
      </c>
      <c r="AH224" s="4">
        <f>YEAR(B224)</f>
        <v>2025</v>
      </c>
      <c r="AI224" s="2" t="str">
        <f t="shared" si="17"/>
        <v>Clean</v>
      </c>
      <c r="AJ224">
        <f>COUNTIFS($A$2:$A$1000,A224,$B$2:$B$1000,B224,$C$2:$C$1000,C224,$D$2:$D$1000,D224,$E$2:$E$1000,E224,$F$2:$F$1000,F224)</f>
        <v>1</v>
      </c>
      <c r="AK224">
        <f>COUNTIF($A$2:$A$1000, A224)</f>
        <v>1</v>
      </c>
    </row>
    <row r="225" spans="1:37">
      <c r="A225" t="s">
        <v>776</v>
      </c>
      <c r="B225" s="5">
        <v>45707</v>
      </c>
      <c r="C225" s="5">
        <v>45714</v>
      </c>
      <c r="D225" s="6">
        <f>IF(AND(C225&lt;&gt;"",B225&lt;&gt;""), C225-B225, "Missing Date")</f>
        <v>7</v>
      </c>
      <c r="E225" s="6" t="str">
        <f>IF(OR(B225="",C225=""), "Missing Date",
    IF(C225&lt;B225, "Invalid: Ship before Order",
      "OK"))</f>
        <v>OK</v>
      </c>
      <c r="F225" t="s">
        <v>777</v>
      </c>
      <c r="G225" t="s">
        <v>36</v>
      </c>
      <c r="H225" t="s">
        <v>90</v>
      </c>
      <c r="I225" t="s">
        <v>63</v>
      </c>
      <c r="J225" t="s">
        <v>64</v>
      </c>
      <c r="K225" t="s">
        <v>65</v>
      </c>
      <c r="L225" t="s">
        <v>41</v>
      </c>
      <c r="M225" t="s">
        <v>57</v>
      </c>
      <c r="N225" t="s">
        <v>778</v>
      </c>
      <c r="O225" t="s">
        <v>50</v>
      </c>
      <c r="P225">
        <v>3</v>
      </c>
      <c r="Q225">
        <v>490.3</v>
      </c>
      <c r="R225">
        <v>0.2</v>
      </c>
      <c r="S225">
        <v>1176.72</v>
      </c>
      <c r="T225">
        <v>654.33000000000004</v>
      </c>
      <c r="U225">
        <v>522.39</v>
      </c>
      <c r="V225" t="s">
        <v>111</v>
      </c>
      <c r="W225" t="s">
        <v>103</v>
      </c>
      <c r="X225" t="str">
        <f>_xlfn.TEXTJOIN("|", TRUE, A225:W225)</f>
        <v>ORD-2025-10224|45707|45714|7|OK|CUST-5319|Mira Das|Corporate|West|Maharashtra|Mumbai|Furniture|Furnishings|Elite Furnishings 449|First Class|3|490.3|0.2|1176.72|654.33|522.39|Pending|Returned</v>
      </c>
      <c r="Y225">
        <f>COUNTIF($X$2:$X$1000, X225)</f>
        <v>1</v>
      </c>
      <c r="Z225">
        <f>COUNTIF($A$2:$A$1000, A225)</f>
        <v>1</v>
      </c>
      <c r="AA225" t="str">
        <f>IF(Y225&gt;1, "Exact Duplicate",
  IF(Z225&gt;1, "Conflicting Duplicate - Review",
    "Unique"))</f>
        <v>Unique</v>
      </c>
      <c r="AB225" s="2">
        <f>IF(ISBLANK(R225), 0, IF(ISTEXT(R225), VALUE(SUBSTITUTE(R225, "%", ""))/100, IF(OR(R225&lt;0, R225&gt;1), "Invalid", R225)))</f>
        <v>0.2</v>
      </c>
      <c r="AC225" s="4">
        <f>IF(AB225="Invalid", "Error", P225 * Q225 * (1 - AB225))</f>
        <v>1176.72</v>
      </c>
      <c r="AD225" s="4">
        <f>IF(AC225="Error", "Error", AC225 - T225)</f>
        <v>522.39</v>
      </c>
      <c r="AE225" s="2">
        <f>IF(AC225="Error", "Error", IF(AC225=0, 0, AD225 / AC225))</f>
        <v>0.44393738527432181</v>
      </c>
      <c r="AF225" s="7">
        <f>C225-B225</f>
        <v>7</v>
      </c>
      <c r="AG225" s="2" t="str">
        <f>TEXT(B225, "mmmm")</f>
        <v>February</v>
      </c>
      <c r="AH225" s="4">
        <f>YEAR(B225)</f>
        <v>2025</v>
      </c>
      <c r="AI225" s="2" t="str">
        <f t="shared" si="17"/>
        <v>Clean</v>
      </c>
      <c r="AJ225">
        <f>COUNTIFS($A$2:$A$1000,A225,$B$2:$B$1000,B225,$C$2:$C$1000,C225,$D$2:$D$1000,D225,$E$2:$E$1000,E225,$F$2:$F$1000,F225)</f>
        <v>1</v>
      </c>
      <c r="AK225">
        <f>COUNTIF($A$2:$A$1000, A225)</f>
        <v>1</v>
      </c>
    </row>
    <row r="226" spans="1:37">
      <c r="A226" t="s">
        <v>779</v>
      </c>
      <c r="B226" s="5">
        <v>45698</v>
      </c>
      <c r="C226" s="5">
        <v>45938</v>
      </c>
      <c r="D226" s="6">
        <f>IF(AND(C226&lt;&gt;"",B226&lt;&gt;""), C226-B226, "Missing Date")</f>
        <v>240</v>
      </c>
      <c r="E226" s="6" t="str">
        <f>IF(OR(B226="",C226=""), "Missing Date",
    IF(C226&lt;B226, "Invalid: Ship before Order",
      "OK"))</f>
        <v>OK</v>
      </c>
      <c r="F226" t="s">
        <v>780</v>
      </c>
      <c r="G226" t="s">
        <v>47</v>
      </c>
      <c r="H226" t="s">
        <v>37</v>
      </c>
      <c r="I226" t="s">
        <v>25</v>
      </c>
      <c r="J226" t="s">
        <v>122</v>
      </c>
      <c r="K226" t="s">
        <v>123</v>
      </c>
      <c r="L226" t="s">
        <v>41</v>
      </c>
      <c r="M226" t="s">
        <v>57</v>
      </c>
      <c r="N226" t="s">
        <v>781</v>
      </c>
      <c r="O226" t="s">
        <v>59</v>
      </c>
      <c r="P226">
        <v>4</v>
      </c>
      <c r="Q226">
        <v>3944.64</v>
      </c>
      <c r="R226">
        <v>0.25</v>
      </c>
      <c r="S226">
        <v>11833.92</v>
      </c>
      <c r="T226">
        <v>6682.92</v>
      </c>
      <c r="U226">
        <v>5151</v>
      </c>
      <c r="V226" t="s">
        <v>32</v>
      </c>
      <c r="W226" t="s">
        <v>68</v>
      </c>
      <c r="X226" t="str">
        <f>_xlfn.TEXTJOIN("|", TRUE, A226:W226)</f>
        <v>ORD-2025-10225|45698|45938|240|OK|CUST-9871|Isha Nair|Small Business|North|Punjab|Ludhiana|Furniture|Furnishings|Classic Furnishings 109|Standard Class|4|3944.64|0.25|11833.92|6682.92|5151|Paid|Cancelled</v>
      </c>
      <c r="Y226">
        <f>COUNTIF($X$2:$X$1000, X226)</f>
        <v>1</v>
      </c>
      <c r="Z226">
        <f>COUNTIF($A$2:$A$1000, A226)</f>
        <v>2</v>
      </c>
      <c r="AA226" t="str">
        <f>IF(Y226&gt;1, "Exact Duplicate",
  IF(Z226&gt;1, "Conflicting Duplicate - Review",
    "Unique"))</f>
        <v>Conflicting Duplicate - Review</v>
      </c>
      <c r="AB226" s="2">
        <f>IF(ISBLANK(R226), 0, IF(ISTEXT(R226), VALUE(SUBSTITUTE(R226, "%", ""))/100, IF(OR(R226&lt;0, R226&gt;1), "Invalid", R226)))</f>
        <v>0.25</v>
      </c>
      <c r="AC226" s="4">
        <f>IF(AB226="Invalid", "Error", P226 * Q226 * (1 - AB226))</f>
        <v>11833.92</v>
      </c>
      <c r="AD226" s="4">
        <f>IF(AC226="Error", "Error", AC226 - T226)</f>
        <v>5151</v>
      </c>
      <c r="AE226" s="2">
        <f>IF(AC226="Error", "Error", IF(AC226=0, 0, AD226 / AC226))</f>
        <v>0.43527419485681834</v>
      </c>
      <c r="AF226" s="7">
        <f>C226-B226</f>
        <v>240</v>
      </c>
      <c r="AG226" s="2" t="str">
        <f>TEXT(B226, "mmmm")</f>
        <v>February</v>
      </c>
      <c r="AH226" s="4">
        <f>YEAR(B226)</f>
        <v>2025</v>
      </c>
      <c r="AI226" s="2" t="str">
        <f t="shared" si="17"/>
        <v>Excluded from Sales</v>
      </c>
      <c r="AJ226">
        <f>COUNTIFS($A$2:$A$1000,A226,$B$2:$B$1000,B226,$C$2:$C$1000,C226,$D$2:$D$1000,D226,$E$2:$E$1000,E226,$F$2:$F$1000,F226)</f>
        <v>2</v>
      </c>
      <c r="AK226">
        <f>COUNTIF($A$2:$A$1000, A226)</f>
        <v>2</v>
      </c>
    </row>
    <row r="227" spans="1:37">
      <c r="A227" t="s">
        <v>782</v>
      </c>
      <c r="B227" s="5">
        <v>45537</v>
      </c>
      <c r="C227" s="5">
        <v>45545</v>
      </c>
      <c r="D227" s="6">
        <f>IF(AND(C227&lt;&gt;"",B227&lt;&gt;""), C227-B227, "Missing Date")</f>
        <v>8</v>
      </c>
      <c r="E227" s="6" t="str">
        <f>IF(OR(B227="",C227=""), "Missing Date",
    IF(C227&lt;B227, "Invalid: Ship before Order",
      "OK"))</f>
        <v>OK</v>
      </c>
      <c r="F227" t="s">
        <v>783</v>
      </c>
      <c r="G227" t="s">
        <v>36</v>
      </c>
      <c r="H227" t="s">
        <v>90</v>
      </c>
      <c r="I227" t="s">
        <v>63</v>
      </c>
      <c r="J227" t="s">
        <v>190</v>
      </c>
      <c r="K227" t="s">
        <v>191</v>
      </c>
      <c r="L227" t="s">
        <v>74</v>
      </c>
      <c r="M227" t="s">
        <v>171</v>
      </c>
      <c r="N227" t="s">
        <v>784</v>
      </c>
      <c r="O227" t="s">
        <v>59</v>
      </c>
      <c r="P227">
        <v>6</v>
      </c>
      <c r="Q227">
        <v>1032.47</v>
      </c>
      <c r="R227">
        <v>0.15</v>
      </c>
      <c r="S227">
        <v>5265.6</v>
      </c>
      <c r="T227">
        <v>4293.1099999999997</v>
      </c>
      <c r="U227">
        <v>787.57</v>
      </c>
      <c r="V227" t="s">
        <v>32</v>
      </c>
      <c r="W227" t="s">
        <v>33</v>
      </c>
      <c r="X227" t="str">
        <f>_xlfn.TEXTJOIN("|", TRUE, A227:W227)</f>
        <v>ORD-2024-10226|45537|45545|8|OK|CUST-1266|Mira Das|Corporate|West|Goa|Panaji|Technology|Phones|Classic Phones 548|Standard Class|6|1032.47|0.15|5265.6|4293.11|787.57|Paid|Completed</v>
      </c>
      <c r="Y227">
        <f>COUNTIF($X$2:$X$1000, X227)</f>
        <v>1</v>
      </c>
      <c r="Z227">
        <f>COUNTIF($A$2:$A$1000, A227)</f>
        <v>1</v>
      </c>
      <c r="AA227" t="str">
        <f>IF(Y227&gt;1, "Exact Duplicate",
  IF(Z227&gt;1, "Conflicting Duplicate - Review",
    "Unique"))</f>
        <v>Unique</v>
      </c>
      <c r="AB227" s="2">
        <f>IF(ISBLANK(R227), 0, IF(ISTEXT(R227), VALUE(SUBSTITUTE(R227, "%", ""))/100, IF(OR(R227&lt;0, R227&gt;1), "Invalid", R227)))</f>
        <v>0.15</v>
      </c>
      <c r="AC227" s="4">
        <f>IF(AB227="Invalid", "Error", P227 * Q227 * (1 - AB227))</f>
        <v>5265.5969999999998</v>
      </c>
      <c r="AD227" s="4">
        <f>IF(AC227="Error", "Error", AC227 - T227)</f>
        <v>972.48700000000008</v>
      </c>
      <c r="AE227" s="2">
        <f>IF(AC227="Error", "Error", IF(AC227=0, 0, AD227 / AC227))</f>
        <v>0.18468694053114967</v>
      </c>
      <c r="AF227" s="7">
        <f>C227-B227</f>
        <v>8</v>
      </c>
      <c r="AG227" s="2" t="str">
        <f>TEXT(B227, "mmmm")</f>
        <v>September</v>
      </c>
      <c r="AH227" s="4">
        <f>YEAR(B227)</f>
        <v>2024</v>
      </c>
      <c r="AI227" s="2" t="str">
        <f t="shared" si="17"/>
        <v>Clean</v>
      </c>
      <c r="AJ227">
        <f>COUNTIFS($A$2:$A$1000,A227,$B$2:$B$1000,B227,$C$2:$C$1000,C227,$D$2:$D$1000,D227,$E$2:$E$1000,E227,$F$2:$F$1000,F227)</f>
        <v>1</v>
      </c>
      <c r="AK227">
        <f>COUNTIF($A$2:$A$1000, A227)</f>
        <v>1</v>
      </c>
    </row>
    <row r="228" spans="1:37">
      <c r="A228" t="s">
        <v>785</v>
      </c>
      <c r="B228" s="5">
        <v>45757</v>
      </c>
      <c r="C228" s="5">
        <v>45762</v>
      </c>
      <c r="D228" s="6">
        <f>IF(AND(C228&lt;&gt;"",B228&lt;&gt;""), C228-B228, "Missing Date")</f>
        <v>5</v>
      </c>
      <c r="E228" s="6" t="str">
        <f>IF(OR(B228="",C228=""), "Missing Date",
    IF(C228&lt;B228, "Invalid: Ship before Order",
      "OK"))</f>
        <v>OK</v>
      </c>
      <c r="F228" t="s">
        <v>786</v>
      </c>
      <c r="G228" t="s">
        <v>162</v>
      </c>
      <c r="H228" t="s">
        <v>95</v>
      </c>
      <c r="I228" t="s">
        <v>2762</v>
      </c>
      <c r="J228" t="s">
        <v>185</v>
      </c>
      <c r="K228" t="s">
        <v>186</v>
      </c>
      <c r="L228" t="s">
        <v>74</v>
      </c>
      <c r="M228" t="s">
        <v>80</v>
      </c>
      <c r="N228" t="s">
        <v>787</v>
      </c>
      <c r="O228" t="s">
        <v>44</v>
      </c>
      <c r="P228">
        <v>1</v>
      </c>
      <c r="Q228">
        <v>2208.27</v>
      </c>
      <c r="R228">
        <v>0.1</v>
      </c>
      <c r="S228">
        <v>1987.44</v>
      </c>
      <c r="T228">
        <v>1110.23</v>
      </c>
      <c r="U228">
        <v>877.21</v>
      </c>
      <c r="V228" t="s">
        <v>32</v>
      </c>
      <c r="W228" t="s">
        <v>33</v>
      </c>
      <c r="X228" t="str">
        <f>_xlfn.TEXTJOIN("|", TRUE, A228:W228)</f>
        <v>ORD-2025-10227|45757|45762|5|OK|CUST-2545|Diya Patel|Home Office|Unknown|Kerala|Kochi|Technology|Copiers|Max Copiers 363|Same Day|1|2208.27|0.1|1987.44|1110.23|877.21|Paid|Completed</v>
      </c>
      <c r="Y228">
        <f>COUNTIF($X$2:$X$1000, X228)</f>
        <v>1</v>
      </c>
      <c r="Z228">
        <f>COUNTIF($A$2:$A$1000, A228)</f>
        <v>1</v>
      </c>
      <c r="AA228" t="str">
        <f>IF(Y228&gt;1, "Exact Duplicate",
  IF(Z228&gt;1, "Conflicting Duplicate - Review",
    "Unique"))</f>
        <v>Unique</v>
      </c>
      <c r="AB228" s="2">
        <f>IF(ISBLANK(R228), 0, IF(ISTEXT(R228), VALUE(SUBSTITUTE(R228, "%", ""))/100, IF(OR(R228&lt;0, R228&gt;1), "Invalid", R228)))</f>
        <v>0.1</v>
      </c>
      <c r="AC228" s="4">
        <f>IF(AB228="Invalid", "Error", P228 * Q228 * (1 - AB228))</f>
        <v>1987.443</v>
      </c>
      <c r="AD228" s="4">
        <f>IF(AC228="Error", "Error", AC228 - T228)</f>
        <v>877.21299999999997</v>
      </c>
      <c r="AE228" s="2">
        <f>IF(AC228="Error", "Error", IF(AC228=0, 0, AD228 / AC228))</f>
        <v>0.44137768982556985</v>
      </c>
      <c r="AF228" s="7">
        <f>C228-B228</f>
        <v>5</v>
      </c>
      <c r="AG228" s="2" t="str">
        <f>TEXT(B228, "mmmm")</f>
        <v>April</v>
      </c>
      <c r="AH228" s="4">
        <f>YEAR(B228)</f>
        <v>2025</v>
      </c>
      <c r="AI228" s="2" t="str">
        <f t="shared" si="17"/>
        <v>Warning: Missing Region</v>
      </c>
      <c r="AJ228">
        <f>COUNTIFS($A$2:$A$1000,A228,$B$2:$B$1000,B228,$C$2:$C$1000,C228,$D$2:$D$1000,D228,$E$2:$E$1000,E228,$F$2:$F$1000,F228)</f>
        <v>1</v>
      </c>
      <c r="AK228">
        <f>COUNTIF($A$2:$A$1000, A228)</f>
        <v>1</v>
      </c>
    </row>
    <row r="229" spans="1:37">
      <c r="A229" t="s">
        <v>788</v>
      </c>
      <c r="B229" s="5">
        <v>45478</v>
      </c>
      <c r="C229" s="5">
        <v>45485</v>
      </c>
      <c r="D229" s="6">
        <f>IF(AND(C229&lt;&gt;"",B229&lt;&gt;""), C229-B229, "Missing Date")</f>
        <v>7</v>
      </c>
      <c r="E229" s="6" t="str">
        <f>IF(OR(B229="",C229=""), "Missing Date",
    IF(C229&lt;B229, "Invalid: Ship before Order",
      "OK"))</f>
        <v>OK</v>
      </c>
      <c r="F229" t="s">
        <v>789</v>
      </c>
      <c r="G229" t="s">
        <v>62</v>
      </c>
      <c r="H229" t="s">
        <v>37</v>
      </c>
      <c r="I229" t="s">
        <v>63</v>
      </c>
      <c r="J229" t="s">
        <v>190</v>
      </c>
      <c r="K229" t="s">
        <v>191</v>
      </c>
      <c r="L229" t="s">
        <v>28</v>
      </c>
      <c r="M229" t="s">
        <v>153</v>
      </c>
      <c r="N229" t="s">
        <v>790</v>
      </c>
      <c r="O229" t="s">
        <v>50</v>
      </c>
      <c r="P229">
        <v>3</v>
      </c>
      <c r="Q229">
        <v>577.75</v>
      </c>
      <c r="R229">
        <v>0.15</v>
      </c>
      <c r="S229">
        <v>1473.26</v>
      </c>
      <c r="T229">
        <v>899.86</v>
      </c>
      <c r="U229">
        <v>573.4</v>
      </c>
      <c r="V229" t="s">
        <v>32</v>
      </c>
      <c r="W229" t="s">
        <v>33</v>
      </c>
      <c r="X229" t="str">
        <f>_xlfn.TEXTJOIN("|", TRUE, A229:W229)</f>
        <v>ORD-2024-10228|45478|45485|7|OK|CUST-2819|Ananya Rao|Small Business|West|Goa|Panaji|Office Supplies|Binders|Prime Binders 507|First Class|3|577.75|0.15|1473.26|899.86|573.4|Paid|Completed</v>
      </c>
      <c r="Y229">
        <f>COUNTIF($X$2:$X$1000, X229)</f>
        <v>1</v>
      </c>
      <c r="Z229">
        <f>COUNTIF($A$2:$A$1000, A229)</f>
        <v>1</v>
      </c>
      <c r="AA229" t="str">
        <f>IF(Y229&gt;1, "Exact Duplicate",
  IF(Z229&gt;1, "Conflicting Duplicate - Review",
    "Unique"))</f>
        <v>Unique</v>
      </c>
      <c r="AB229" s="2">
        <f>IF(ISBLANK(R229), 0, IF(ISTEXT(R229), VALUE(SUBSTITUTE(R229, "%", ""))/100, IF(OR(R229&lt;0, R229&gt;1), "Invalid", R229)))</f>
        <v>0.15</v>
      </c>
      <c r="AC229" s="4">
        <f>IF(AB229="Invalid", "Error", P229 * Q229 * (1 - AB229))</f>
        <v>1473.2625</v>
      </c>
      <c r="AD229" s="4">
        <f>IF(AC229="Error", "Error", AC229 - T229)</f>
        <v>573.40250000000003</v>
      </c>
      <c r="AE229" s="2">
        <f>IF(AC229="Error", "Error", IF(AC229=0, 0, AD229 / AC229))</f>
        <v>0.38920592901808065</v>
      </c>
      <c r="AF229" s="7">
        <f>C229-B229</f>
        <v>7</v>
      </c>
      <c r="AG229" s="2" t="str">
        <f>TEXT(B229, "mmmm")</f>
        <v>July</v>
      </c>
      <c r="AH229" s="4">
        <f>YEAR(B229)</f>
        <v>2024</v>
      </c>
      <c r="AI229" s="2" t="str">
        <f t="shared" si="17"/>
        <v>Clean</v>
      </c>
      <c r="AJ229">
        <f>COUNTIFS($A$2:$A$1000,A229,$B$2:$B$1000,B229,$C$2:$C$1000,C229,$D$2:$D$1000,D229,$E$2:$E$1000,E229,$F$2:$F$1000,F229)</f>
        <v>1</v>
      </c>
      <c r="AK229">
        <f>COUNTIF($A$2:$A$1000, A229)</f>
        <v>1</v>
      </c>
    </row>
    <row r="230" spans="1:37">
      <c r="A230" t="s">
        <v>791</v>
      </c>
      <c r="B230" s="5">
        <v>45406</v>
      </c>
      <c r="C230" s="5">
        <v>45410</v>
      </c>
      <c r="D230" s="6">
        <f>IF(AND(C230&lt;&gt;"",B230&lt;&gt;""), C230-B230, "Missing Date")</f>
        <v>4</v>
      </c>
      <c r="E230" s="6" t="str">
        <f>IF(OR(B230="",C230=""), "Missing Date",
    IF(C230&lt;B230, "Invalid: Ship before Order",
      "OK"))</f>
        <v>OK</v>
      </c>
      <c r="F230" t="s">
        <v>792</v>
      </c>
      <c r="G230" t="s">
        <v>23</v>
      </c>
      <c r="H230" t="s">
        <v>37</v>
      </c>
      <c r="I230" t="s">
        <v>54</v>
      </c>
      <c r="J230" t="s">
        <v>55</v>
      </c>
      <c r="K230" t="s">
        <v>56</v>
      </c>
      <c r="L230" t="s">
        <v>28</v>
      </c>
      <c r="M230" t="s">
        <v>91</v>
      </c>
      <c r="N230" t="s">
        <v>793</v>
      </c>
      <c r="O230" t="s">
        <v>31</v>
      </c>
      <c r="P230">
        <v>1</v>
      </c>
      <c r="Q230">
        <v>3194.37</v>
      </c>
      <c r="R230">
        <v>0.15</v>
      </c>
      <c r="S230">
        <v>2715.21</v>
      </c>
      <c r="T230">
        <v>1551.55</v>
      </c>
      <c r="U230">
        <v>1163.6600000000001</v>
      </c>
      <c r="V230" t="s">
        <v>32</v>
      </c>
      <c r="W230" t="s">
        <v>33</v>
      </c>
      <c r="X230" t="str">
        <f>_xlfn.TEXTJOIN("|", TRUE, A230:W230)</f>
        <v>ORD-2024-10229|45406|45410|4|OK|CUST-1076|Karan Malhotra|Small Business|South|Telangana|Hyderabad|Office Supplies|Labels|Smart Labels 914|Second Class|1|3194.37|0.15|2715.21|1551.55|1163.66|Paid|Completed</v>
      </c>
      <c r="Y230">
        <f>COUNTIF($X$2:$X$1000, X230)</f>
        <v>1</v>
      </c>
      <c r="Z230">
        <f>COUNTIF($A$2:$A$1000, A230)</f>
        <v>1</v>
      </c>
      <c r="AA230" t="str">
        <f>IF(Y230&gt;1, "Exact Duplicate",
  IF(Z230&gt;1, "Conflicting Duplicate - Review",
    "Unique"))</f>
        <v>Unique</v>
      </c>
      <c r="AB230" s="2">
        <f>IF(ISBLANK(R230), 0, IF(ISTEXT(R230), VALUE(SUBSTITUTE(R230, "%", ""))/100, IF(OR(R230&lt;0, R230&gt;1), "Invalid", R230)))</f>
        <v>0.15</v>
      </c>
      <c r="AC230" s="4">
        <f>IF(AB230="Invalid", "Error", P230 * Q230 * (1 - AB230))</f>
        <v>2715.2145</v>
      </c>
      <c r="AD230" s="4">
        <f>IF(AC230="Error", "Error", AC230 - T230)</f>
        <v>1163.6645000000001</v>
      </c>
      <c r="AE230" s="2">
        <f>IF(AC230="Error", "Error", IF(AC230=0, 0, AD230 / AC230))</f>
        <v>0.42857184948003191</v>
      </c>
      <c r="AF230" s="7">
        <f>C230-B230</f>
        <v>4</v>
      </c>
      <c r="AG230" s="2" t="str">
        <f>TEXT(B230, "mmmm")</f>
        <v>April</v>
      </c>
      <c r="AH230" s="4">
        <f>YEAR(B230)</f>
        <v>2024</v>
      </c>
      <c r="AI230" s="2" t="str">
        <f t="shared" si="17"/>
        <v>Clean</v>
      </c>
      <c r="AJ230">
        <f>COUNTIFS($A$2:$A$1000,A230,$B$2:$B$1000,B230,$C$2:$C$1000,C230,$D$2:$D$1000,D230,$E$2:$E$1000,E230,$F$2:$F$1000,F230)</f>
        <v>1</v>
      </c>
      <c r="AK230">
        <f>COUNTIF($A$2:$A$1000, A230)</f>
        <v>1</v>
      </c>
    </row>
    <row r="231" spans="1:37">
      <c r="A231" t="s">
        <v>794</v>
      </c>
      <c r="B231" s="5">
        <v>45836</v>
      </c>
      <c r="C231" s="5">
        <v>45754</v>
      </c>
      <c r="D231" s="6">
        <f>IF(AND(C231&lt;&gt;"",B231&lt;&gt;""), C231-B231, "Missing Date")</f>
        <v>-82</v>
      </c>
      <c r="E231" s="6" t="str">
        <f>IF(OR(B231="",C231=""), "Missing Date",
    IF(C231&lt;B231, "Invalid: Ship before Order",
      "OK"))</f>
        <v>Invalid: Ship before Order</v>
      </c>
      <c r="F231" t="s">
        <v>795</v>
      </c>
      <c r="G231" t="s">
        <v>141</v>
      </c>
      <c r="H231" t="s">
        <v>24</v>
      </c>
      <c r="I231" t="s">
        <v>54</v>
      </c>
      <c r="J231" t="s">
        <v>55</v>
      </c>
      <c r="K231" t="s">
        <v>56</v>
      </c>
      <c r="L231" t="s">
        <v>41</v>
      </c>
      <c r="M231" t="s">
        <v>158</v>
      </c>
      <c r="N231" t="s">
        <v>796</v>
      </c>
      <c r="O231" t="s">
        <v>50</v>
      </c>
      <c r="P231">
        <v>3</v>
      </c>
      <c r="Q231">
        <v>2886.23</v>
      </c>
      <c r="R231">
        <v>0</v>
      </c>
      <c r="S231">
        <v>8658.69</v>
      </c>
      <c r="T231">
        <v>5535.94</v>
      </c>
      <c r="U231">
        <v>3122.75</v>
      </c>
      <c r="V231" t="s">
        <v>102</v>
      </c>
      <c r="W231" t="s">
        <v>103</v>
      </c>
      <c r="X231" t="str">
        <f>_xlfn.TEXTJOIN("|", TRUE, A231:W231)</f>
        <v>ORD-2025-10230|45836|45754|-82|Invalid: Ship before Order|CUST-1943|Rohan Mehta|Consumer|South|Telangana|Hyderabad|Furniture|Bookcases|Smart Bookcases 662|First Class|3|2886.23|0|8658.69|5535.94|3122.75|Refunded|Returned</v>
      </c>
      <c r="Y231">
        <f>COUNTIF($X$2:$X$1000, X231)</f>
        <v>1</v>
      </c>
      <c r="Z231">
        <f>COUNTIF($A$2:$A$1000, A231)</f>
        <v>1</v>
      </c>
      <c r="AA231" t="str">
        <f>IF(Y231&gt;1, "Exact Duplicate",
  IF(Z231&gt;1, "Conflicting Duplicate - Review",
    "Unique"))</f>
        <v>Unique</v>
      </c>
      <c r="AB231" s="2">
        <f>IF(ISBLANK(R231), 0, IF(ISTEXT(R231), VALUE(SUBSTITUTE(R231, "%", ""))/100, IF(OR(R231&lt;0, R231&gt;1), "Invalid", R231)))</f>
        <v>0</v>
      </c>
      <c r="AC231" s="4">
        <f>IF(AB231="Invalid", "Error", P231 * Q231 * (1 - AB231))</f>
        <v>8658.69</v>
      </c>
      <c r="AD231" s="4">
        <f>IF(AC231="Error", "Error", AC231 - T231)</f>
        <v>3122.7500000000009</v>
      </c>
      <c r="AE231" s="2">
        <f>IF(AC231="Error", "Error", IF(AC231=0, 0, AD231 / AC231))</f>
        <v>0.36064924370776652</v>
      </c>
      <c r="AF231" s="7">
        <f>C231-B231</f>
        <v>-82</v>
      </c>
      <c r="AG231" s="2" t="str">
        <f>TEXT(B231, "mmmm")</f>
        <v>June</v>
      </c>
      <c r="AH231" s="4">
        <f>YEAR(B231)</f>
        <v>2025</v>
      </c>
      <c r="AI231" s="2" t="str">
        <f t="shared" si="17"/>
        <v>Invalid Shipping Record</v>
      </c>
      <c r="AJ231">
        <f>COUNTIFS($A$2:$A$1000,A231,$B$2:$B$1000,B231,$C$2:$C$1000,C231,$D$2:$D$1000,D231,$E$2:$E$1000,E231,$F$2:$F$1000,F231)</f>
        <v>1</v>
      </c>
      <c r="AK231">
        <f>COUNTIF($A$2:$A$1000, A231)</f>
        <v>1</v>
      </c>
    </row>
    <row r="232" spans="1:37">
      <c r="A232" t="s">
        <v>797</v>
      </c>
      <c r="B232" s="5">
        <v>45440</v>
      </c>
      <c r="C232" s="5">
        <v>45446</v>
      </c>
      <c r="D232" s="6">
        <f>IF(AND(C232&lt;&gt;"",B232&lt;&gt;""), C232-B232, "Missing Date")</f>
        <v>6</v>
      </c>
      <c r="E232" s="6" t="str">
        <f>IF(OR(B232="",C232=""), "Missing Date",
    IF(C232&lt;B232, "Invalid: Ship before Order",
      "OK"))</f>
        <v>OK</v>
      </c>
      <c r="F232" t="s">
        <v>798</v>
      </c>
      <c r="G232" t="s">
        <v>79</v>
      </c>
      <c r="H232" t="s">
        <v>37</v>
      </c>
      <c r="I232" t="s">
        <v>25</v>
      </c>
      <c r="J232" t="s">
        <v>26</v>
      </c>
      <c r="K232" t="s">
        <v>27</v>
      </c>
      <c r="L232" t="s">
        <v>28</v>
      </c>
      <c r="M232" t="s">
        <v>29</v>
      </c>
      <c r="N232" t="s">
        <v>799</v>
      </c>
      <c r="O232" t="s">
        <v>59</v>
      </c>
      <c r="P232">
        <v>8</v>
      </c>
      <c r="Q232">
        <v>1540.33</v>
      </c>
      <c r="R232">
        <v>0.1</v>
      </c>
      <c r="S232">
        <v>11090.38</v>
      </c>
      <c r="T232">
        <v>8840.9500000000007</v>
      </c>
      <c r="U232">
        <v>2249.4299999999998</v>
      </c>
      <c r="V232" t="s">
        <v>32</v>
      </c>
      <c r="W232" t="s">
        <v>33</v>
      </c>
      <c r="X232" t="str">
        <f>_xlfn.TEXTJOIN("|", TRUE, A232:W232)</f>
        <v>ORD-2024-10231|45440|45446|6|OK|CUST-3434|Neha Gupta|Small Business|North|Rajasthan|Jaipur|Office Supplies|Paper|Eco Paper 937|Standard Class|8|1540.33|0.1|11090.38|8840.95|2249.43|Paid|Completed</v>
      </c>
      <c r="Y232">
        <f>COUNTIF($X$2:$X$1000, X232)</f>
        <v>1</v>
      </c>
      <c r="Z232">
        <f>COUNTIF($A$2:$A$1000, A232)</f>
        <v>1</v>
      </c>
      <c r="AA232" t="str">
        <f>IF(Y232&gt;1, "Exact Duplicate",
  IF(Z232&gt;1, "Conflicting Duplicate - Review",
    "Unique"))</f>
        <v>Unique</v>
      </c>
      <c r="AB232" s="2">
        <f>IF(ISBLANK(R232), 0, IF(ISTEXT(R232), VALUE(SUBSTITUTE(R232, "%", ""))/100, IF(OR(R232&lt;0, R232&gt;1), "Invalid", R232)))</f>
        <v>0.1</v>
      </c>
      <c r="AC232" s="4">
        <f>IF(AB232="Invalid", "Error", P232 * Q232 * (1 - AB232))</f>
        <v>11090.376</v>
      </c>
      <c r="AD232" s="4">
        <f>IF(AC232="Error", "Error", AC232 - T232)</f>
        <v>2249.4259999999995</v>
      </c>
      <c r="AE232" s="2">
        <f>IF(AC232="Error", "Error", IF(AC232=0, 0, AD232 / AC232))</f>
        <v>0.20282684734944958</v>
      </c>
      <c r="AF232" s="7">
        <f>C232-B232</f>
        <v>6</v>
      </c>
      <c r="AG232" s="2" t="str">
        <f>TEXT(B232, "mmmm")</f>
        <v>May</v>
      </c>
      <c r="AH232" s="4">
        <f>YEAR(B232)</f>
        <v>2024</v>
      </c>
      <c r="AI232" s="2" t="str">
        <f t="shared" si="17"/>
        <v>Clean</v>
      </c>
      <c r="AJ232">
        <f>COUNTIFS($A$2:$A$1000,A232,$B$2:$B$1000,B232,$C$2:$C$1000,C232,$D$2:$D$1000,D232,$E$2:$E$1000,E232,$F$2:$F$1000,F232)</f>
        <v>1</v>
      </c>
      <c r="AK232">
        <f>COUNTIF($A$2:$A$1000, A232)</f>
        <v>1</v>
      </c>
    </row>
    <row r="233" spans="1:37">
      <c r="A233" t="s">
        <v>800</v>
      </c>
      <c r="B233" s="5">
        <v>45414</v>
      </c>
      <c r="C233" s="5">
        <v>45327</v>
      </c>
      <c r="D233" s="6">
        <f>IF(AND(C233&lt;&gt;"",B233&lt;&gt;""), C233-B233, "Missing Date")</f>
        <v>-87</v>
      </c>
      <c r="E233" s="6" t="str">
        <f>IF(OR(B233="",C233=""), "Missing Date",
    IF(C233&lt;B233, "Invalid: Ship before Order",
      "OK"))</f>
        <v>Invalid: Ship before Order</v>
      </c>
      <c r="F233" t="s">
        <v>801</v>
      </c>
      <c r="G233" t="s">
        <v>62</v>
      </c>
      <c r="H233" t="s">
        <v>90</v>
      </c>
      <c r="I233" t="s">
        <v>25</v>
      </c>
      <c r="J233" t="s">
        <v>26</v>
      </c>
      <c r="K233" t="s">
        <v>27</v>
      </c>
      <c r="L233" t="s">
        <v>28</v>
      </c>
      <c r="M233" t="s">
        <v>91</v>
      </c>
      <c r="N233" t="s">
        <v>802</v>
      </c>
      <c r="O233" t="s">
        <v>50</v>
      </c>
      <c r="P233">
        <v>7</v>
      </c>
      <c r="Q233">
        <v>2183.38</v>
      </c>
      <c r="R233">
        <v>0.25</v>
      </c>
      <c r="S233">
        <v>11462.74</v>
      </c>
      <c r="T233">
        <v>7163.54</v>
      </c>
      <c r="U233">
        <v>4299.2</v>
      </c>
      <c r="V233" t="s">
        <v>102</v>
      </c>
      <c r="W233" t="s">
        <v>68</v>
      </c>
      <c r="X233" t="str">
        <f>_xlfn.TEXTJOIN("|", TRUE, A233:W233)</f>
        <v>ORD-2024-10232|45414|45327|-87|Invalid: Ship before Order|CUST-9139|Ananya Rao|Corporate|North|Rajasthan|Jaipur|Office Supplies|Labels|Max Labels 370|First Class|7|2183.38|0.25|11462.74|7163.54|4299.2|Refunded|Cancelled</v>
      </c>
      <c r="Y233">
        <f>COUNTIF($X$2:$X$1000, X233)</f>
        <v>1</v>
      </c>
      <c r="Z233">
        <f>COUNTIF($A$2:$A$1000, A233)</f>
        <v>1</v>
      </c>
      <c r="AA233" t="str">
        <f>IF(Y233&gt;1, "Exact Duplicate",
  IF(Z233&gt;1, "Conflicting Duplicate - Review",
    "Unique"))</f>
        <v>Unique</v>
      </c>
      <c r="AB233" s="2">
        <f>IF(ISBLANK(R233), 0, IF(ISTEXT(R233), VALUE(SUBSTITUTE(R233, "%", ""))/100, IF(OR(R233&lt;0, R233&gt;1), "Invalid", R233)))</f>
        <v>0.25</v>
      </c>
      <c r="AC233" s="4">
        <f>IF(AB233="Invalid", "Error", P233 * Q233 * (1 - AB233))</f>
        <v>11462.744999999999</v>
      </c>
      <c r="AD233" s="4">
        <f>IF(AC233="Error", "Error", AC233 - T233)</f>
        <v>4299.204999999999</v>
      </c>
      <c r="AE233" s="2">
        <f>IF(AC233="Error", "Error", IF(AC233=0, 0, AD233 / AC233))</f>
        <v>0.37505894094302888</v>
      </c>
      <c r="AF233" s="7">
        <f>C233-B233</f>
        <v>-87</v>
      </c>
      <c r="AG233" s="2" t="str">
        <f>TEXT(B233, "mmmm")</f>
        <v>May</v>
      </c>
      <c r="AH233" s="4">
        <f>YEAR(B233)</f>
        <v>2024</v>
      </c>
      <c r="AI233" s="2" t="str">
        <f t="shared" si="17"/>
        <v>Excluded from Sales</v>
      </c>
      <c r="AJ233">
        <f>COUNTIFS($A$2:$A$1000,A233,$B$2:$B$1000,B233,$C$2:$C$1000,C233,$D$2:$D$1000,D233,$E$2:$E$1000,E233,$F$2:$F$1000,F233)</f>
        <v>1</v>
      </c>
      <c r="AK233">
        <f>COUNTIF($A$2:$A$1000, A233)</f>
        <v>1</v>
      </c>
    </row>
    <row r="234" spans="1:37">
      <c r="A234" t="s">
        <v>803</v>
      </c>
      <c r="B234" s="5">
        <v>45812</v>
      </c>
      <c r="C234" s="5">
        <v>45818</v>
      </c>
      <c r="D234" s="6">
        <f>IF(AND(C234&lt;&gt;"",B234&lt;&gt;""), C234-B234, "Missing Date")</f>
        <v>6</v>
      </c>
      <c r="E234" s="6" t="str">
        <f>IF(OR(B234="",C234=""), "Missing Date",
    IF(C234&lt;B234, "Invalid: Ship before Order",
      "OK"))</f>
        <v>OK</v>
      </c>
      <c r="F234" t="s">
        <v>804</v>
      </c>
      <c r="G234" t="s">
        <v>118</v>
      </c>
      <c r="H234" t="s">
        <v>24</v>
      </c>
      <c r="I234" t="s">
        <v>54</v>
      </c>
      <c r="J234" t="s">
        <v>84</v>
      </c>
      <c r="K234" t="s">
        <v>85</v>
      </c>
      <c r="L234" t="s">
        <v>74</v>
      </c>
      <c r="M234" t="s">
        <v>171</v>
      </c>
      <c r="N234" t="s">
        <v>805</v>
      </c>
      <c r="O234" t="s">
        <v>59</v>
      </c>
      <c r="P234">
        <v>4</v>
      </c>
      <c r="Q234">
        <v>223.37</v>
      </c>
      <c r="R234">
        <v>0.25</v>
      </c>
      <c r="S234">
        <v>670.11</v>
      </c>
      <c r="T234">
        <v>559.57000000000005</v>
      </c>
      <c r="U234">
        <v>110.54</v>
      </c>
      <c r="V234" t="s">
        <v>32</v>
      </c>
      <c r="W234" t="s">
        <v>33</v>
      </c>
      <c r="X234" t="str">
        <f>_xlfn.TEXTJOIN("|", TRUE, A234:W234)</f>
        <v>ORD-2025-10233|45812|45818|6|OK|CUST-5341|Rahul Verma|Consumer|South|Andhra Pradesh|Vijayawada|Technology|Phones|Classic Phones 530|Standard Class|4|223.37|0.25|670.11|559.57|110.54|Paid|Completed</v>
      </c>
      <c r="Y234">
        <f>COUNTIF($X$2:$X$1000, X234)</f>
        <v>1</v>
      </c>
      <c r="Z234">
        <f>COUNTIF($A$2:$A$1000, A234)</f>
        <v>1</v>
      </c>
      <c r="AA234" t="str">
        <f>IF(Y234&gt;1, "Exact Duplicate",
  IF(Z234&gt;1, "Conflicting Duplicate - Review",
    "Unique"))</f>
        <v>Unique</v>
      </c>
      <c r="AB234" s="2">
        <f>IF(ISBLANK(R234), 0, IF(ISTEXT(R234), VALUE(SUBSTITUTE(R234, "%", ""))/100, IF(OR(R234&lt;0, R234&gt;1), "Invalid", R234)))</f>
        <v>0.25</v>
      </c>
      <c r="AC234" s="4">
        <f>IF(AB234="Invalid", "Error", P234 * Q234 * (1 - AB234))</f>
        <v>670.11</v>
      </c>
      <c r="AD234" s="4">
        <f>IF(AC234="Error", "Error", AC234 - T234)</f>
        <v>110.53999999999996</v>
      </c>
      <c r="AE234" s="2">
        <f>IF(AC234="Error", "Error", IF(AC234=0, 0, AD234 / AC234))</f>
        <v>0.16495799197146732</v>
      </c>
      <c r="AF234" s="7">
        <f>C234-B234</f>
        <v>6</v>
      </c>
      <c r="AG234" s="2" t="str">
        <f>TEXT(B234, "mmmm")</f>
        <v>June</v>
      </c>
      <c r="AH234" s="4">
        <f>YEAR(B234)</f>
        <v>2025</v>
      </c>
      <c r="AI234" s="2" t="str">
        <f t="shared" si="17"/>
        <v>Clean</v>
      </c>
      <c r="AJ234">
        <f>COUNTIFS($A$2:$A$1000,A234,$B$2:$B$1000,B234,$C$2:$C$1000,C234,$D$2:$D$1000,D234,$E$2:$E$1000,E234,$F$2:$F$1000,F234)</f>
        <v>1</v>
      </c>
      <c r="AK234">
        <f>COUNTIF($A$2:$A$1000, A234)</f>
        <v>1</v>
      </c>
    </row>
    <row r="235" spans="1:37">
      <c r="A235" t="s">
        <v>806</v>
      </c>
      <c r="B235" s="5">
        <v>45579</v>
      </c>
      <c r="C235" s="5">
        <v>45579</v>
      </c>
      <c r="D235" s="6">
        <f>IF(AND(C235&lt;&gt;"",B235&lt;&gt;""), C235-B235, "Missing Date")</f>
        <v>0</v>
      </c>
      <c r="E235" s="6" t="str">
        <f>IF(OR(B235="",C235=""), "Missing Date",
    IF(C235&lt;B235, "Invalid: Ship before Order",
      "OK"))</f>
        <v>OK</v>
      </c>
      <c r="F235" t="s">
        <v>807</v>
      </c>
      <c r="G235" t="s">
        <v>71</v>
      </c>
      <c r="H235" t="s">
        <v>90</v>
      </c>
      <c r="I235" t="s">
        <v>54</v>
      </c>
      <c r="J235" t="s">
        <v>175</v>
      </c>
      <c r="K235" t="s">
        <v>176</v>
      </c>
      <c r="L235" t="s">
        <v>41</v>
      </c>
      <c r="M235" t="s">
        <v>158</v>
      </c>
      <c r="N235" t="s">
        <v>808</v>
      </c>
      <c r="O235" t="s">
        <v>2762</v>
      </c>
      <c r="P235">
        <v>8</v>
      </c>
      <c r="Q235">
        <v>3904.59</v>
      </c>
      <c r="R235">
        <v>0</v>
      </c>
      <c r="S235">
        <v>31236.720000000001</v>
      </c>
      <c r="T235">
        <v>26377.7</v>
      </c>
      <c r="U235">
        <v>4859.0200000000004</v>
      </c>
      <c r="V235" t="s">
        <v>32</v>
      </c>
      <c r="W235" t="s">
        <v>33</v>
      </c>
      <c r="X235" t="str">
        <f>_xlfn.TEXTJOIN("|", TRUE, A235:W235)</f>
        <v>ORD-2024-10234|45579|45579|0|OK|CUST-3710|Vikram Iyer|Corporate|South|Karnataka|Bengaluru|Furniture|Bookcases|Smart Bookcases 328|Unknown|8|3904.59|0|31236.72|26377.7|4859.02|Paid|Completed</v>
      </c>
      <c r="Y235">
        <f>COUNTIF($X$2:$X$1000, X235)</f>
        <v>1</v>
      </c>
      <c r="Z235">
        <f>COUNTIF($A$2:$A$1000, A235)</f>
        <v>1</v>
      </c>
      <c r="AA235" t="str">
        <f>IF(Y235&gt;1, "Exact Duplicate",
  IF(Z235&gt;1, "Conflicting Duplicate - Review",
    "Unique"))</f>
        <v>Unique</v>
      </c>
      <c r="AB235" s="2">
        <f>IF(ISBLANK(R235), 0, IF(ISTEXT(R235), VALUE(SUBSTITUTE(R235, "%", ""))/100, IF(OR(R235&lt;0, R235&gt;1), "Invalid", R235)))</f>
        <v>0</v>
      </c>
      <c r="AC235" s="4">
        <f>IF(AB235="Invalid", "Error", P235 * Q235 * (1 - AB235))</f>
        <v>31236.720000000001</v>
      </c>
      <c r="AD235" s="4">
        <f>IF(AC235="Error", "Error", AC235 - T235)</f>
        <v>4859.0200000000004</v>
      </c>
      <c r="AE235" s="2">
        <f>IF(AC235="Error", "Error", IF(AC235=0, 0, AD235 / AC235))</f>
        <v>0.15555474454424154</v>
      </c>
      <c r="AF235" s="7">
        <f>C235-B235</f>
        <v>0</v>
      </c>
      <c r="AG235" s="2" t="str">
        <f>TEXT(B235, "mmmm")</f>
        <v>October</v>
      </c>
      <c r="AH235" s="4">
        <f>YEAR(B235)</f>
        <v>2024</v>
      </c>
      <c r="AI235" s="2" t="str">
        <f t="shared" si="17"/>
        <v>Warning: Missing Shipping Mode</v>
      </c>
      <c r="AJ235">
        <f>COUNTIFS($A$2:$A$1000,A235,$B$2:$B$1000,B235,$C$2:$C$1000,C235,$D$2:$D$1000,D235,$E$2:$E$1000,E235,$F$2:$F$1000,F235)</f>
        <v>1</v>
      </c>
      <c r="AK235">
        <f>COUNTIF($A$2:$A$1000, A235)</f>
        <v>1</v>
      </c>
    </row>
    <row r="236" spans="1:37">
      <c r="A236" t="s">
        <v>809</v>
      </c>
      <c r="B236" s="5">
        <v>45331</v>
      </c>
      <c r="C236" s="5">
        <v>45538</v>
      </c>
      <c r="D236" s="6">
        <f>IF(AND(C236&lt;&gt;"",B236&lt;&gt;""), C236-B236, "Missing Date")</f>
        <v>207</v>
      </c>
      <c r="E236" s="6" t="str">
        <f>IF(OR(B236="",C236=""), "Missing Date",
    IF(C236&lt;B236, "Invalid: Ship before Order",
      "OK"))</f>
        <v>OK</v>
      </c>
      <c r="F236" t="s">
        <v>810</v>
      </c>
      <c r="G236" t="s">
        <v>264</v>
      </c>
      <c r="H236" t="s">
        <v>95</v>
      </c>
      <c r="I236" t="s">
        <v>25</v>
      </c>
      <c r="J236" t="s">
        <v>350</v>
      </c>
      <c r="K236" t="s">
        <v>351</v>
      </c>
      <c r="L236" t="s">
        <v>41</v>
      </c>
      <c r="M236" t="s">
        <v>57</v>
      </c>
      <c r="N236" t="s">
        <v>811</v>
      </c>
      <c r="O236" t="s">
        <v>50</v>
      </c>
      <c r="P236">
        <v>9</v>
      </c>
      <c r="Q236">
        <v>1353.61</v>
      </c>
      <c r="R236">
        <v>0.1</v>
      </c>
      <c r="S236">
        <v>10964.24</v>
      </c>
      <c r="T236">
        <v>9262.4699999999993</v>
      </c>
      <c r="U236">
        <v>1701.77</v>
      </c>
      <c r="V236" t="s">
        <v>32</v>
      </c>
      <c r="W236" t="s">
        <v>33</v>
      </c>
      <c r="X236" t="str">
        <f>_xlfn.TEXTJOIN("|", TRUE, A236:W236)</f>
        <v>ORD-2024-10235|45331|45538|207|OK|CUST-9754|Kabir Singh|Home Office|North|Delhi|New Delhi|Furniture|Furnishings|Eco Furnishings 981|First Class|9|1353.61|0.1|10964.24|9262.47|1701.77|Paid|Completed</v>
      </c>
      <c r="Y236">
        <f>COUNTIF($X$2:$X$1000, X236)</f>
        <v>1</v>
      </c>
      <c r="Z236">
        <f>COUNTIF($A$2:$A$1000, A236)</f>
        <v>1</v>
      </c>
      <c r="AA236" t="str">
        <f>IF(Y236&gt;1, "Exact Duplicate",
  IF(Z236&gt;1, "Conflicting Duplicate - Review",
    "Unique"))</f>
        <v>Unique</v>
      </c>
      <c r="AB236" s="2">
        <f>IF(ISBLANK(R236), 0, IF(ISTEXT(R236), VALUE(SUBSTITUTE(R236, "%", ""))/100, IF(OR(R236&lt;0, R236&gt;1), "Invalid", R236)))</f>
        <v>0.1</v>
      </c>
      <c r="AC236" s="4">
        <f>IF(AB236="Invalid", "Error", P236 * Q236 * (1 - AB236))</f>
        <v>10964.241</v>
      </c>
      <c r="AD236" s="4">
        <f>IF(AC236="Error", "Error", AC236 - T236)</f>
        <v>1701.7710000000006</v>
      </c>
      <c r="AE236" s="2">
        <f>IF(AC236="Error", "Error", IF(AC236=0, 0, AD236 / AC236))</f>
        <v>0.15521101734265058</v>
      </c>
      <c r="AF236" s="7">
        <f>C236-B236</f>
        <v>207</v>
      </c>
      <c r="AG236" s="2" t="str">
        <f>TEXT(B236, "mmmm")</f>
        <v>February</v>
      </c>
      <c r="AH236" s="4">
        <f>YEAR(B236)</f>
        <v>2024</v>
      </c>
      <c r="AI236" s="2" t="str">
        <f t="shared" si="17"/>
        <v>Clean</v>
      </c>
      <c r="AJ236">
        <f>COUNTIFS($A$2:$A$1000,A236,$B$2:$B$1000,B236,$C$2:$C$1000,C236,$D$2:$D$1000,D236,$E$2:$E$1000,E236,$F$2:$F$1000,F236)</f>
        <v>1</v>
      </c>
      <c r="AK236">
        <f>COUNTIF($A$2:$A$1000, A236)</f>
        <v>1</v>
      </c>
    </row>
    <row r="237" spans="1:37">
      <c r="A237" t="s">
        <v>812</v>
      </c>
      <c r="B237" s="5">
        <v>45333</v>
      </c>
      <c r="C237" s="5">
        <v>45362</v>
      </c>
      <c r="D237" s="6">
        <f>IF(AND(C237&lt;&gt;"",B237&lt;&gt;""), C237-B237, "Missing Date")</f>
        <v>29</v>
      </c>
      <c r="E237" s="6" t="str">
        <f>IF(OR(B237="",C237=""), "Missing Date",
    IF(C237&lt;B237, "Invalid: Ship before Order",
      "OK"))</f>
        <v>OK</v>
      </c>
      <c r="F237" t="s">
        <v>813</v>
      </c>
      <c r="G237" t="s">
        <v>118</v>
      </c>
      <c r="H237" t="s">
        <v>37</v>
      </c>
      <c r="I237" t="s">
        <v>63</v>
      </c>
      <c r="J237" t="s">
        <v>26</v>
      </c>
      <c r="K237" t="s">
        <v>109</v>
      </c>
      <c r="L237" t="s">
        <v>28</v>
      </c>
      <c r="M237" t="s">
        <v>124</v>
      </c>
      <c r="N237" t="s">
        <v>814</v>
      </c>
      <c r="O237" t="s">
        <v>59</v>
      </c>
      <c r="P237">
        <v>6</v>
      </c>
      <c r="Q237">
        <v>2671.29</v>
      </c>
      <c r="R237">
        <v>0.05</v>
      </c>
      <c r="S237">
        <v>15226.35</v>
      </c>
      <c r="T237">
        <v>11145.28</v>
      </c>
      <c r="U237">
        <v>4081.07</v>
      </c>
      <c r="V237" t="s">
        <v>32</v>
      </c>
      <c r="W237" t="s">
        <v>33</v>
      </c>
      <c r="X237" t="str">
        <f>_xlfn.TEXTJOIN("|", TRUE, A237:W237)</f>
        <v>ORD-2024-10236|45333|45362|29|OK|CUST-6256|Rahul Verma|Small Business|West|Rajasthan|Udaipur|Office Supplies|Storage|Basic Storage 195|Standard Class|6|2671.29|0.05|15226.35|11145.28|4081.07|Paid|Completed</v>
      </c>
      <c r="Y237">
        <f>COUNTIF($X$2:$X$1000, X237)</f>
        <v>1</v>
      </c>
      <c r="Z237">
        <f>COUNTIF($A$2:$A$1000, A237)</f>
        <v>1</v>
      </c>
      <c r="AA237" t="str">
        <f>IF(Y237&gt;1, "Exact Duplicate",
  IF(Z237&gt;1, "Conflicting Duplicate - Review",
    "Unique"))</f>
        <v>Unique</v>
      </c>
      <c r="AB237" s="2">
        <f>IF(ISBLANK(R237), 0, IF(ISTEXT(R237), VALUE(SUBSTITUTE(R237, "%", ""))/100, IF(OR(R237&lt;0, R237&gt;1), "Invalid", R237)))</f>
        <v>0.05</v>
      </c>
      <c r="AC237" s="4">
        <f>IF(AB237="Invalid", "Error", P237 * Q237 * (1 - AB237))</f>
        <v>15226.352999999999</v>
      </c>
      <c r="AD237" s="4">
        <f>IF(AC237="Error", "Error", AC237 - T237)</f>
        <v>4081.0729999999985</v>
      </c>
      <c r="AE237" s="2">
        <f>IF(AC237="Error", "Error", IF(AC237=0, 0, AD237 / AC237))</f>
        <v>0.26802695300706603</v>
      </c>
      <c r="AF237" s="7">
        <f>C237-B237</f>
        <v>29</v>
      </c>
      <c r="AG237" s="2" t="str">
        <f>TEXT(B237, "mmmm")</f>
        <v>February</v>
      </c>
      <c r="AH237" s="4">
        <f>YEAR(B237)</f>
        <v>2024</v>
      </c>
      <c r="AI237" s="2" t="str">
        <f t="shared" si="17"/>
        <v>Clean</v>
      </c>
      <c r="AJ237">
        <f>COUNTIFS($A$2:$A$1000,A237,$B$2:$B$1000,B237,$C$2:$C$1000,C237,$D$2:$D$1000,D237,$E$2:$E$1000,E237,$F$2:$F$1000,F237)</f>
        <v>1</v>
      </c>
      <c r="AK237">
        <f>COUNTIF($A$2:$A$1000, A237)</f>
        <v>1</v>
      </c>
    </row>
    <row r="238" spans="1:37">
      <c r="A238" t="s">
        <v>815</v>
      </c>
      <c r="B238" s="5">
        <v>45579</v>
      </c>
      <c r="C238" s="5">
        <v>45586</v>
      </c>
      <c r="D238" s="6">
        <f>IF(AND(C238&lt;&gt;"",B238&lt;&gt;""), C238-B238, "Missing Date")</f>
        <v>7</v>
      </c>
      <c r="E238" s="6" t="str">
        <f>IF(OR(B238="",C238=""), "Missing Date",
    IF(C238&lt;B238, "Invalid: Ship before Order",
      "OK"))</f>
        <v>OK</v>
      </c>
      <c r="F238" t="s">
        <v>816</v>
      </c>
      <c r="G238" t="s">
        <v>114</v>
      </c>
      <c r="H238" t="s">
        <v>90</v>
      </c>
      <c r="I238" t="s">
        <v>25</v>
      </c>
      <c r="J238" t="s">
        <v>136</v>
      </c>
      <c r="K238" t="s">
        <v>137</v>
      </c>
      <c r="L238" t="s">
        <v>41</v>
      </c>
      <c r="M238" t="s">
        <v>158</v>
      </c>
      <c r="N238" t="s">
        <v>817</v>
      </c>
      <c r="O238" t="s">
        <v>50</v>
      </c>
      <c r="P238">
        <v>6</v>
      </c>
      <c r="Q238">
        <v>4062.78</v>
      </c>
      <c r="R238">
        <v>0</v>
      </c>
      <c r="S238">
        <v>24376.68</v>
      </c>
      <c r="T238">
        <v>18533.39</v>
      </c>
      <c r="U238">
        <v>5843.29</v>
      </c>
      <c r="V238" t="s">
        <v>32</v>
      </c>
      <c r="W238" t="s">
        <v>33</v>
      </c>
      <c r="X238" t="str">
        <f>_xlfn.TEXTJOIN("|", TRUE, A238:W238)</f>
        <v>ORD-2024-10237|45579|45586|7|OK|CUST-7113|Priya Menon|Corporate|North|Uttar Pradesh|Noida|Furniture|Bookcases|Elite Bookcases 907|First Class|6|4062.78|0|24376.68|18533.39|5843.29|Paid|Completed</v>
      </c>
      <c r="Y238">
        <f>COUNTIF($X$2:$X$1000, X238)</f>
        <v>1</v>
      </c>
      <c r="Z238">
        <f>COUNTIF($A$2:$A$1000, A238)</f>
        <v>1</v>
      </c>
      <c r="AA238" t="str">
        <f>IF(Y238&gt;1, "Exact Duplicate",
  IF(Z238&gt;1, "Conflicting Duplicate - Review",
    "Unique"))</f>
        <v>Unique</v>
      </c>
      <c r="AB238" s="2">
        <f>IF(ISBLANK(R238), 0, IF(ISTEXT(R238), VALUE(SUBSTITUTE(R238, "%", ""))/100, IF(OR(R238&lt;0, R238&gt;1), "Invalid", R238)))</f>
        <v>0</v>
      </c>
      <c r="AC238" s="4">
        <f>IF(AB238="Invalid", "Error", P238 * Q238 * (1 - AB238))</f>
        <v>24376.68</v>
      </c>
      <c r="AD238" s="4">
        <f>IF(AC238="Error", "Error", AC238 - T238)</f>
        <v>5843.2900000000009</v>
      </c>
      <c r="AE238" s="2">
        <f>IF(AC238="Error", "Error", IF(AC238=0, 0, AD238 / AC238))</f>
        <v>0.23970819652224998</v>
      </c>
      <c r="AF238" s="7">
        <f>C238-B238</f>
        <v>7</v>
      </c>
      <c r="AG238" s="2" t="str">
        <f>TEXT(B238, "mmmm")</f>
        <v>October</v>
      </c>
      <c r="AH238" s="4">
        <f>YEAR(B238)</f>
        <v>2024</v>
      </c>
      <c r="AI238" s="2" t="str">
        <f t="shared" si="17"/>
        <v>Clean</v>
      </c>
      <c r="AJ238">
        <f>COUNTIFS($A$2:$A$1000,A238,$B$2:$B$1000,B238,$C$2:$C$1000,C238,$D$2:$D$1000,D238,$E$2:$E$1000,E238,$F$2:$F$1000,F238)</f>
        <v>1</v>
      </c>
      <c r="AK238">
        <f>COUNTIF($A$2:$A$1000, A238)</f>
        <v>1</v>
      </c>
    </row>
    <row r="239" spans="1:37">
      <c r="A239" t="s">
        <v>818</v>
      </c>
      <c r="B239" s="5">
        <v>45531</v>
      </c>
      <c r="C239" s="5">
        <v>45531</v>
      </c>
      <c r="D239" s="6">
        <f>IF(AND(C239&lt;&gt;"",B239&lt;&gt;""), C239-B239, "Missing Date")</f>
        <v>0</v>
      </c>
      <c r="E239" s="6" t="str">
        <f>IF(OR(B239="",C239=""), "Missing Date",
    IF(C239&lt;B239, "Invalid: Ship before Order",
      "OK"))</f>
        <v>OK</v>
      </c>
      <c r="F239" t="s">
        <v>819</v>
      </c>
      <c r="G239" t="s">
        <v>36</v>
      </c>
      <c r="H239" t="s">
        <v>24</v>
      </c>
      <c r="I239" t="s">
        <v>25</v>
      </c>
      <c r="J239" t="s">
        <v>236</v>
      </c>
      <c r="K239" t="s">
        <v>237</v>
      </c>
      <c r="L239" t="s">
        <v>74</v>
      </c>
      <c r="M239" t="s">
        <v>80</v>
      </c>
      <c r="N239" t="s">
        <v>820</v>
      </c>
      <c r="O239" t="s">
        <v>59</v>
      </c>
      <c r="P239">
        <v>9</v>
      </c>
      <c r="Q239">
        <v>2330.3000000000002</v>
      </c>
      <c r="R239">
        <v>0</v>
      </c>
      <c r="S239">
        <v>20972.7</v>
      </c>
      <c r="T239">
        <v>13504.88</v>
      </c>
      <c r="U239">
        <v>7467.82</v>
      </c>
      <c r="V239" t="s">
        <v>32</v>
      </c>
      <c r="W239" t="s">
        <v>33</v>
      </c>
      <c r="X239" t="str">
        <f>_xlfn.TEXTJOIN("|", TRUE, A239:W239)</f>
        <v>ORD-2024-10238|45531|45531|0|OK|CUST-3827|Mira Das|Consumer|North|Haryana|Gurugram|Technology|Copiers|Smart Copiers 471|Standard Class|9|2330.3|0|20972.7|13504.88|7467.82|Paid|Completed</v>
      </c>
      <c r="Y239">
        <f>COUNTIF($X$2:$X$1000, X239)</f>
        <v>1</v>
      </c>
      <c r="Z239">
        <f>COUNTIF($A$2:$A$1000, A239)</f>
        <v>1</v>
      </c>
      <c r="AA239" t="str">
        <f>IF(Y239&gt;1, "Exact Duplicate",
  IF(Z239&gt;1, "Conflicting Duplicate - Review",
    "Unique"))</f>
        <v>Unique</v>
      </c>
      <c r="AB239" s="2">
        <f>IF(ISBLANK(R239), 0, IF(ISTEXT(R239), VALUE(SUBSTITUTE(R239, "%", ""))/100, IF(OR(R239&lt;0, R239&gt;1), "Invalid", R239)))</f>
        <v>0</v>
      </c>
      <c r="AC239" s="4">
        <f>IF(AB239="Invalid", "Error", P239 * Q239 * (1 - AB239))</f>
        <v>20972.7</v>
      </c>
      <c r="AD239" s="4">
        <f>IF(AC239="Error", "Error", AC239 - T239)</f>
        <v>7467.8200000000015</v>
      </c>
      <c r="AE239" s="2">
        <f>IF(AC239="Error", "Error", IF(AC239=0, 0, AD239 / AC239))</f>
        <v>0.35607337157352181</v>
      </c>
      <c r="AF239" s="7">
        <f>C239-B239</f>
        <v>0</v>
      </c>
      <c r="AG239" s="2" t="str">
        <f>TEXT(B239, "mmmm")</f>
        <v>August</v>
      </c>
      <c r="AH239" s="4">
        <f>YEAR(B239)</f>
        <v>2024</v>
      </c>
      <c r="AI239" s="2" t="str">
        <f t="shared" si="17"/>
        <v>Clean</v>
      </c>
      <c r="AJ239">
        <f>COUNTIFS($A$2:$A$1000,A239,$B$2:$B$1000,B239,$C$2:$C$1000,C239,$D$2:$D$1000,D239,$E$2:$E$1000,E239,$F$2:$F$1000,F239)</f>
        <v>1</v>
      </c>
      <c r="AK239">
        <f>COUNTIF($A$2:$A$1000, A239)</f>
        <v>1</v>
      </c>
    </row>
    <row r="240" spans="1:37">
      <c r="A240" t="s">
        <v>821</v>
      </c>
      <c r="B240" s="5">
        <v>45627</v>
      </c>
      <c r="C240" s="5">
        <v>45308</v>
      </c>
      <c r="D240" s="6">
        <f>IF(AND(C240&lt;&gt;"",B240&lt;&gt;""), C240-B240, "Missing Date")</f>
        <v>-319</v>
      </c>
      <c r="E240" s="6" t="str">
        <f>IF(OR(B240="",C240=""), "Missing Date",
    IF(C240&lt;B240, "Invalid: Ship before Order",
      "OK"))</f>
        <v>Invalid: Ship before Order</v>
      </c>
      <c r="F240" t="s">
        <v>822</v>
      </c>
      <c r="G240" t="s">
        <v>53</v>
      </c>
      <c r="H240" t="s">
        <v>24</v>
      </c>
      <c r="I240" t="s">
        <v>54</v>
      </c>
      <c r="J240" t="s">
        <v>84</v>
      </c>
      <c r="K240" t="s">
        <v>85</v>
      </c>
      <c r="L240" t="s">
        <v>28</v>
      </c>
      <c r="M240" t="s">
        <v>124</v>
      </c>
      <c r="N240" t="s">
        <v>823</v>
      </c>
      <c r="O240" t="s">
        <v>50</v>
      </c>
      <c r="P240">
        <v>7</v>
      </c>
      <c r="Q240">
        <v>4005.05</v>
      </c>
      <c r="R240">
        <v>0.55000000000000004</v>
      </c>
      <c r="S240">
        <v>26633.58</v>
      </c>
      <c r="T240">
        <v>18838.75</v>
      </c>
      <c r="U240">
        <v>7794.83</v>
      </c>
      <c r="V240" t="s">
        <v>32</v>
      </c>
      <c r="W240" t="s">
        <v>33</v>
      </c>
      <c r="X240" t="str">
        <f>_xlfn.TEXTJOIN("|", TRUE, A240:W240)</f>
        <v>ORD-2024-10239|45627|45308|-319|Invalid: Ship before Order|CUST-2375|Arjun Bose|Consumer|South|Andhra Pradesh|Vijayawada|Office Supplies|Storage|Prime Storage 625|First Class|7|4005.05|0.55|26633.58|18838.75|7794.83|Paid|Completed</v>
      </c>
      <c r="Y240">
        <f>COUNTIF($X$2:$X$1000, X240)</f>
        <v>1</v>
      </c>
      <c r="Z240">
        <f>COUNTIF($A$2:$A$1000, A240)</f>
        <v>1</v>
      </c>
      <c r="AA240" t="str">
        <f>IF(Y240&gt;1, "Exact Duplicate",
  IF(Z240&gt;1, "Conflicting Duplicate - Review",
    "Unique"))</f>
        <v>Unique</v>
      </c>
      <c r="AB240" s="2">
        <f>IF(ISBLANK(R240), 0, IF(ISTEXT(R240), VALUE(SUBSTITUTE(R240, "%", ""))/100, IF(OR(R240&lt;0, R240&gt;1), "Invalid", R240)))</f>
        <v>0.55000000000000004</v>
      </c>
      <c r="AC240" s="4">
        <f>IF(AB240="Invalid", "Error", P240 * Q240 * (1 - AB240))</f>
        <v>12615.907499999999</v>
      </c>
      <c r="AD240" s="4">
        <f>IF(AC240="Error", "Error", AC240 - T240)</f>
        <v>-6222.8425000000007</v>
      </c>
      <c r="AE240" s="2">
        <f>IF(AC240="Error", "Error", IF(AC240=0, 0, AD240 / AC240))</f>
        <v>-0.4932536561480021</v>
      </c>
      <c r="AF240" s="7">
        <f>C240-B240</f>
        <v>-319</v>
      </c>
      <c r="AG240" s="2" t="str">
        <f>TEXT(B240, "mmmm")</f>
        <v>December</v>
      </c>
      <c r="AH240" s="4">
        <f>YEAR(B240)</f>
        <v>2024</v>
      </c>
      <c r="AI240" s="2" t="str">
        <f t="shared" si="17"/>
        <v>Invalid Shipping Record</v>
      </c>
      <c r="AJ240">
        <f>COUNTIFS($A$2:$A$1000,A240,$B$2:$B$1000,B240,$C$2:$C$1000,C240,$D$2:$D$1000,D240,$E$2:$E$1000,E240,$F$2:$F$1000,F240)</f>
        <v>1</v>
      </c>
      <c r="AK240">
        <f>COUNTIF($A$2:$A$1000, A240)</f>
        <v>1</v>
      </c>
    </row>
    <row r="241" spans="1:37">
      <c r="A241" t="s">
        <v>824</v>
      </c>
      <c r="B241" s="5">
        <v>45556</v>
      </c>
      <c r="C241" s="5">
        <v>45556</v>
      </c>
      <c r="D241" s="6">
        <f>IF(AND(C241&lt;&gt;"",B241&lt;&gt;""), C241-B241, "Missing Date")</f>
        <v>0</v>
      </c>
      <c r="E241" s="6" t="str">
        <f>IF(OR(B241="",C241=""), "Missing Date",
    IF(C241&lt;B241, "Invalid: Ship before Order",
      "OK"))</f>
        <v>OK</v>
      </c>
      <c r="F241" t="s">
        <v>825</v>
      </c>
      <c r="G241" t="s">
        <v>264</v>
      </c>
      <c r="H241" t="s">
        <v>90</v>
      </c>
      <c r="I241" t="s">
        <v>54</v>
      </c>
      <c r="J241" t="s">
        <v>175</v>
      </c>
      <c r="K241" t="s">
        <v>176</v>
      </c>
      <c r="L241" t="s">
        <v>74</v>
      </c>
      <c r="M241" t="s">
        <v>274</v>
      </c>
      <c r="N241" t="s">
        <v>826</v>
      </c>
      <c r="O241" t="s">
        <v>50</v>
      </c>
      <c r="P241">
        <v>2</v>
      </c>
      <c r="Q241">
        <v>1960.06</v>
      </c>
      <c r="R241">
        <v>0.2</v>
      </c>
      <c r="S241">
        <v>3136.1</v>
      </c>
      <c r="T241">
        <v>2279.4899999999998</v>
      </c>
      <c r="U241">
        <v>856.61</v>
      </c>
      <c r="V241" t="s">
        <v>32</v>
      </c>
      <c r="W241" t="s">
        <v>33</v>
      </c>
      <c r="X241" t="str">
        <f>_xlfn.TEXTJOIN("|", TRUE, A241:W241)</f>
        <v>ORD-2024-10240|45556|45556|0|OK|CUST-2233|Kabir Singh|Corporate|South|Karnataka|Bengaluru|Technology|Machines|Smart Machines 801|First Class|2|1960.06|0.2|3136.1|2279.49|856.61|Paid|Completed</v>
      </c>
      <c r="Y241">
        <f>COUNTIF($X$2:$X$1000, X241)</f>
        <v>1</v>
      </c>
      <c r="Z241">
        <f>COUNTIF($A$2:$A$1000, A241)</f>
        <v>1</v>
      </c>
      <c r="AA241" t="str">
        <f>IF(Y241&gt;1, "Exact Duplicate",
  IF(Z241&gt;1, "Conflicting Duplicate - Review",
    "Unique"))</f>
        <v>Unique</v>
      </c>
      <c r="AB241" s="2">
        <f>IF(ISBLANK(R241), 0, IF(ISTEXT(R241), VALUE(SUBSTITUTE(R241, "%", ""))/100, IF(OR(R241&lt;0, R241&gt;1), "Invalid", R241)))</f>
        <v>0.2</v>
      </c>
      <c r="AC241" s="4">
        <f>IF(AB241="Invalid", "Error", P241 * Q241 * (1 - AB241))</f>
        <v>3136.096</v>
      </c>
      <c r="AD241" s="4">
        <f>IF(AC241="Error", "Error", AC241 - T241)</f>
        <v>856.60600000000022</v>
      </c>
      <c r="AE241" s="2">
        <f>IF(AC241="Error", "Error", IF(AC241=0, 0, AD241 / AC241))</f>
        <v>0.273144061916472</v>
      </c>
      <c r="AF241" s="7">
        <f>C241-B241</f>
        <v>0</v>
      </c>
      <c r="AG241" s="2" t="str">
        <f>TEXT(B241, "mmmm")</f>
        <v>September</v>
      </c>
      <c r="AH241" s="4">
        <f>YEAR(B241)</f>
        <v>2024</v>
      </c>
      <c r="AI241" s="2" t="str">
        <f t="shared" si="17"/>
        <v>Clean</v>
      </c>
      <c r="AJ241">
        <f>COUNTIFS($A$2:$A$1000,A241,$B$2:$B$1000,B241,$C$2:$C$1000,C241,$D$2:$D$1000,D241,$E$2:$E$1000,E241,$F$2:$F$1000,F241)</f>
        <v>1</v>
      </c>
      <c r="AK241">
        <f>COUNTIF($A$2:$A$1000, A241)</f>
        <v>1</v>
      </c>
    </row>
    <row r="242" spans="1:37">
      <c r="A242" t="s">
        <v>827</v>
      </c>
      <c r="B242" s="5">
        <v>45643</v>
      </c>
      <c r="C242" s="5">
        <v>45649</v>
      </c>
      <c r="D242" s="6">
        <f>IF(AND(C242&lt;&gt;"",B242&lt;&gt;""), C242-B242, "Missing Date")</f>
        <v>6</v>
      </c>
      <c r="E242" s="6" t="str">
        <f>IF(OR(B242="",C242=""), "Missing Date",
    IF(C242&lt;B242, "Invalid: Ship before Order",
      "OK"))</f>
        <v>OK</v>
      </c>
      <c r="F242" t="s">
        <v>828</v>
      </c>
      <c r="G242" t="s">
        <v>128</v>
      </c>
      <c r="H242" t="s">
        <v>90</v>
      </c>
      <c r="I242" t="s">
        <v>54</v>
      </c>
      <c r="J242" t="s">
        <v>55</v>
      </c>
      <c r="K242" t="s">
        <v>56</v>
      </c>
      <c r="L242" t="s">
        <v>28</v>
      </c>
      <c r="M242" t="s">
        <v>153</v>
      </c>
      <c r="N242" t="s">
        <v>829</v>
      </c>
      <c r="O242" t="s">
        <v>50</v>
      </c>
      <c r="P242">
        <v>9</v>
      </c>
      <c r="Q242">
        <v>2315.1</v>
      </c>
      <c r="R242">
        <v>0</v>
      </c>
      <c r="S242">
        <v>20835.900000000001</v>
      </c>
      <c r="T242">
        <v>13928.19</v>
      </c>
      <c r="U242">
        <v>6907.71</v>
      </c>
      <c r="V242" t="s">
        <v>32</v>
      </c>
      <c r="W242" t="s">
        <v>33</v>
      </c>
      <c r="X242" t="str">
        <f>_xlfn.TEXTJOIN("|", TRUE, A242:W242)</f>
        <v>ORD-2024-10241|45643|45649|6|OK|CUST-9778|Aarav Sharma|Corporate|South|Telangana|Hyderabad|Office Supplies|Binders|Max Binders 170|First Class|9|2315.1|0|20835.9|13928.19|6907.71|Paid|Completed</v>
      </c>
      <c r="Y242">
        <f>COUNTIF($X$2:$X$1000, X242)</f>
        <v>1</v>
      </c>
      <c r="Z242">
        <f>COUNTIF($A$2:$A$1000, A242)</f>
        <v>1</v>
      </c>
      <c r="AA242" t="str">
        <f>IF(Y242&gt;1, "Exact Duplicate",
  IF(Z242&gt;1, "Conflicting Duplicate - Review",
    "Unique"))</f>
        <v>Unique</v>
      </c>
      <c r="AB242" s="2">
        <f>IF(ISBLANK(R242), 0, IF(ISTEXT(R242), VALUE(SUBSTITUTE(R242, "%", ""))/100, IF(OR(R242&lt;0, R242&gt;1), "Invalid", R242)))</f>
        <v>0</v>
      </c>
      <c r="AC242" s="4">
        <f>IF(AB242="Invalid", "Error", P242 * Q242 * (1 - AB242))</f>
        <v>20835.899999999998</v>
      </c>
      <c r="AD242" s="4">
        <f>IF(AC242="Error", "Error", AC242 - T242)</f>
        <v>6907.7099999999973</v>
      </c>
      <c r="AE242" s="2">
        <f>IF(AC242="Error", "Error", IF(AC242=0, 0, AD242 / AC242))</f>
        <v>0.33152923559817421</v>
      </c>
      <c r="AF242" s="7">
        <f>C242-B242</f>
        <v>6</v>
      </c>
      <c r="AG242" s="2" t="str">
        <f>TEXT(B242, "mmmm")</f>
        <v>December</v>
      </c>
      <c r="AH242" s="4">
        <f>YEAR(B242)</f>
        <v>2024</v>
      </c>
      <c r="AI242" s="2" t="str">
        <f t="shared" si="17"/>
        <v>Clean</v>
      </c>
      <c r="AJ242">
        <f>COUNTIFS($A$2:$A$1000,A242,$B$2:$B$1000,B242,$C$2:$C$1000,C242,$D$2:$D$1000,D242,$E$2:$E$1000,E242,$F$2:$F$1000,F242)</f>
        <v>1</v>
      </c>
      <c r="AK242">
        <f>COUNTIF($A$2:$A$1000, A242)</f>
        <v>1</v>
      </c>
    </row>
    <row r="243" spans="1:37">
      <c r="A243" t="s">
        <v>830</v>
      </c>
      <c r="B243" s="5">
        <v>45815</v>
      </c>
      <c r="C243" s="5">
        <v>45844</v>
      </c>
      <c r="D243" s="6">
        <f>IF(AND(C243&lt;&gt;"",B243&lt;&gt;""), C243-B243, "Missing Date")</f>
        <v>29</v>
      </c>
      <c r="E243" s="6" t="str">
        <f>IF(OR(B243="",C243=""), "Missing Date",
    IF(C243&lt;B243, "Invalid: Ship before Order",
      "OK"))</f>
        <v>OK</v>
      </c>
      <c r="F243" t="s">
        <v>831</v>
      </c>
      <c r="G243" t="s">
        <v>132</v>
      </c>
      <c r="H243" t="s">
        <v>90</v>
      </c>
      <c r="I243" t="s">
        <v>25</v>
      </c>
      <c r="J243" t="s">
        <v>236</v>
      </c>
      <c r="K243" t="s">
        <v>237</v>
      </c>
      <c r="L243" t="s">
        <v>28</v>
      </c>
      <c r="M243" t="s">
        <v>124</v>
      </c>
      <c r="N243" t="s">
        <v>832</v>
      </c>
      <c r="O243" t="s">
        <v>59</v>
      </c>
      <c r="P243">
        <v>1</v>
      </c>
      <c r="Q243">
        <v>1617.2</v>
      </c>
      <c r="R243">
        <v>0.25</v>
      </c>
      <c r="S243">
        <v>1212.9000000000001</v>
      </c>
      <c r="T243">
        <v>690.52</v>
      </c>
      <c r="U243">
        <v>522.38</v>
      </c>
      <c r="V243" t="s">
        <v>111</v>
      </c>
      <c r="W243" t="s">
        <v>103</v>
      </c>
      <c r="X243" t="str">
        <f>_xlfn.TEXTJOIN("|", TRUE, A243:W243)</f>
        <v>ORD-2025-10242|45815|45844|29|OK|CUST-6949|Sneha Kapoor|Corporate|North|Haryana|Gurugram|Office Supplies|Storage|Basic Storage 737|Standard Class|1|1617.2|0.25|1212.9|690.52|522.38|Pending|Returned</v>
      </c>
      <c r="Y243">
        <f>COUNTIF($X$2:$X$1000, X243)</f>
        <v>1</v>
      </c>
      <c r="Z243">
        <f>COUNTIF($A$2:$A$1000, A243)</f>
        <v>1</v>
      </c>
      <c r="AA243" t="str">
        <f>IF(Y243&gt;1, "Exact Duplicate",
  IF(Z243&gt;1, "Conflicting Duplicate - Review",
    "Unique"))</f>
        <v>Unique</v>
      </c>
      <c r="AB243" s="2">
        <f>IF(ISBLANK(R243), 0, IF(ISTEXT(R243), VALUE(SUBSTITUTE(R243, "%", ""))/100, IF(OR(R243&lt;0, R243&gt;1), "Invalid", R243)))</f>
        <v>0.25</v>
      </c>
      <c r="AC243" s="4">
        <f>IF(AB243="Invalid", "Error", P243 * Q243 * (1 - AB243))</f>
        <v>1212.9000000000001</v>
      </c>
      <c r="AD243" s="4">
        <f>IF(AC243="Error", "Error", AC243 - T243)</f>
        <v>522.38000000000011</v>
      </c>
      <c r="AE243" s="2">
        <f>IF(AC243="Error", "Error", IF(AC243=0, 0, AD243 / AC243))</f>
        <v>0.4306867837414462</v>
      </c>
      <c r="AF243" s="7">
        <f>C243-B243</f>
        <v>29</v>
      </c>
      <c r="AG243" s="2" t="str">
        <f>TEXT(B243, "mmmm")</f>
        <v>June</v>
      </c>
      <c r="AH243" s="4">
        <f>YEAR(B243)</f>
        <v>2025</v>
      </c>
      <c r="AI243" s="2" t="str">
        <f t="shared" si="17"/>
        <v>Clean</v>
      </c>
      <c r="AJ243">
        <f>COUNTIFS($A$2:$A$1000,A243,$B$2:$B$1000,B243,$C$2:$C$1000,C243,$D$2:$D$1000,D243,$E$2:$E$1000,E243,$F$2:$F$1000,F243)</f>
        <v>1</v>
      </c>
      <c r="AK243">
        <f>COUNTIF($A$2:$A$1000, A243)</f>
        <v>1</v>
      </c>
    </row>
    <row r="244" spans="1:37">
      <c r="A244" t="s">
        <v>833</v>
      </c>
      <c r="B244" s="5">
        <v>45695</v>
      </c>
      <c r="C244" s="5">
        <v>45695</v>
      </c>
      <c r="D244" s="6">
        <f>IF(AND(C244&lt;&gt;"",B244&lt;&gt;""), C244-B244, "Missing Date")</f>
        <v>0</v>
      </c>
      <c r="E244" s="6" t="str">
        <f>IF(OR(B244="",C244=""), "Missing Date",
    IF(C244&lt;B244, "Invalid: Ship before Order",
      "OK"))</f>
        <v>OK</v>
      </c>
      <c r="F244" t="s">
        <v>834</v>
      </c>
      <c r="G244" t="s">
        <v>53</v>
      </c>
      <c r="H244" t="s">
        <v>24</v>
      </c>
      <c r="I244" t="s">
        <v>25</v>
      </c>
      <c r="J244" t="s">
        <v>136</v>
      </c>
      <c r="K244" t="s">
        <v>137</v>
      </c>
      <c r="L244" t="s">
        <v>28</v>
      </c>
      <c r="M244" t="s">
        <v>48</v>
      </c>
      <c r="N244" t="s">
        <v>835</v>
      </c>
      <c r="O244" t="s">
        <v>31</v>
      </c>
      <c r="P244">
        <v>3</v>
      </c>
      <c r="Q244">
        <v>1999.24</v>
      </c>
      <c r="R244">
        <v>0.05</v>
      </c>
      <c r="S244">
        <v>5697.83</v>
      </c>
      <c r="T244">
        <v>4251.5</v>
      </c>
      <c r="U244">
        <v>1446.33</v>
      </c>
      <c r="V244" t="s">
        <v>32</v>
      </c>
      <c r="W244" t="s">
        <v>33</v>
      </c>
      <c r="X244" t="str">
        <f>_xlfn.TEXTJOIN("|", TRUE, A244:W244)</f>
        <v>ORD-2025-10243|45695|45695|0|OK|CUST-3430|Arjun Bose|Consumer|North|Uttar Pradesh|Noida|Office Supplies|Art|Classic Art 126|Second Class|3|1999.24|0.05|5697.83|4251.5|1446.33|Paid|Completed</v>
      </c>
      <c r="Y244">
        <f>COUNTIF($X$2:$X$1000, X244)</f>
        <v>1</v>
      </c>
      <c r="Z244">
        <f>COUNTIF($A$2:$A$1000, A244)</f>
        <v>1</v>
      </c>
      <c r="AA244" t="str">
        <f>IF(Y244&gt;1, "Exact Duplicate",
  IF(Z244&gt;1, "Conflicting Duplicate - Review",
    "Unique"))</f>
        <v>Unique</v>
      </c>
      <c r="AB244" s="2">
        <f>IF(ISBLANK(R244), 0, IF(ISTEXT(R244), VALUE(SUBSTITUTE(R244, "%", ""))/100, IF(OR(R244&lt;0, R244&gt;1), "Invalid", R244)))</f>
        <v>0.05</v>
      </c>
      <c r="AC244" s="4">
        <f>IF(AB244="Invalid", "Error", P244 * Q244 * (1 - AB244))</f>
        <v>5697.8339999999998</v>
      </c>
      <c r="AD244" s="4">
        <f>IF(AC244="Error", "Error", AC244 - T244)</f>
        <v>1446.3339999999998</v>
      </c>
      <c r="AE244" s="2">
        <f>IF(AC244="Error", "Error", IF(AC244=0, 0, AD244 / AC244))</f>
        <v>0.25383926593860051</v>
      </c>
      <c r="AF244" s="7">
        <f>C244-B244</f>
        <v>0</v>
      </c>
      <c r="AG244" s="2" t="str">
        <f>TEXT(B244, "mmmm")</f>
        <v>February</v>
      </c>
      <c r="AH244" s="4">
        <f>YEAR(B244)</f>
        <v>2025</v>
      </c>
      <c r="AI244" s="2" t="str">
        <f t="shared" si="17"/>
        <v>Clean</v>
      </c>
      <c r="AJ244">
        <f>COUNTIFS($A$2:$A$1000,A244,$B$2:$B$1000,B244,$C$2:$C$1000,C244,$D$2:$D$1000,D244,$E$2:$E$1000,E244,$F$2:$F$1000,F244)</f>
        <v>1</v>
      </c>
      <c r="AK244">
        <f>COUNTIF($A$2:$A$1000, A244)</f>
        <v>1</v>
      </c>
    </row>
    <row r="245" spans="1:37">
      <c r="A245" t="s">
        <v>836</v>
      </c>
      <c r="B245" s="5">
        <v>45867</v>
      </c>
      <c r="C245" s="5">
        <v>45871</v>
      </c>
      <c r="D245" s="6">
        <f>IF(AND(C245&lt;&gt;"",B245&lt;&gt;""), C245-B245, "Missing Date")</f>
        <v>4</v>
      </c>
      <c r="E245" s="6" t="str">
        <f>IF(OR(B245="",C245=""), "Missing Date",
    IF(C245&lt;B245, "Invalid: Ship before Order",
      "OK"))</f>
        <v>OK</v>
      </c>
      <c r="F245" t="s">
        <v>837</v>
      </c>
      <c r="G245" t="s">
        <v>132</v>
      </c>
      <c r="H245" t="s">
        <v>37</v>
      </c>
      <c r="I245" t="s">
        <v>2762</v>
      </c>
      <c r="J245" t="s">
        <v>72</v>
      </c>
      <c r="K245" t="s">
        <v>73</v>
      </c>
      <c r="L245" t="s">
        <v>74</v>
      </c>
      <c r="M245" t="s">
        <v>75</v>
      </c>
      <c r="N245" t="s">
        <v>838</v>
      </c>
      <c r="O245" t="s">
        <v>50</v>
      </c>
      <c r="P245">
        <v>1</v>
      </c>
      <c r="Q245">
        <v>4499.46</v>
      </c>
      <c r="R245">
        <v>0.1</v>
      </c>
      <c r="S245">
        <v>4049.51</v>
      </c>
      <c r="T245">
        <v>2509.1999999999998</v>
      </c>
      <c r="U245">
        <v>1540.31</v>
      </c>
      <c r="V245" t="s">
        <v>32</v>
      </c>
      <c r="W245" t="s">
        <v>33</v>
      </c>
      <c r="X245" t="str">
        <f>_xlfn.TEXTJOIN("|", TRUE, A245:W245)</f>
        <v>ORD-2025-10244|45867|45871|4|OK|CUST-6310|Sneha Kapoor|Small Business|Unknown|Madhya Pradesh|Indore|Technology|Accessories|Prime Accessories 243|First Class|1|4499.46|0.1|4049.51|2509.2|1540.31|Paid|Completed</v>
      </c>
      <c r="Y245">
        <f>COUNTIF($X$2:$X$1000, X245)</f>
        <v>1</v>
      </c>
      <c r="Z245">
        <f>COUNTIF($A$2:$A$1000, A245)</f>
        <v>1</v>
      </c>
      <c r="AA245" t="str">
        <f>IF(Y245&gt;1, "Exact Duplicate",
  IF(Z245&gt;1, "Conflicting Duplicate - Review",
    "Unique"))</f>
        <v>Unique</v>
      </c>
      <c r="AB245" s="2">
        <f>IF(ISBLANK(R245), 0, IF(ISTEXT(R245), VALUE(SUBSTITUTE(R245, "%", ""))/100, IF(OR(R245&lt;0, R245&gt;1), "Invalid", R245)))</f>
        <v>0.1</v>
      </c>
      <c r="AC245" s="4">
        <f>IF(AB245="Invalid", "Error", P245 * Q245 * (1 - AB245))</f>
        <v>4049.5140000000001</v>
      </c>
      <c r="AD245" s="4">
        <f>IF(AC245="Error", "Error", AC245 - T245)</f>
        <v>1540.3140000000003</v>
      </c>
      <c r="AE245" s="2">
        <f>IF(AC245="Error", "Error", IF(AC245=0, 0, AD245 / AC245))</f>
        <v>0.38037008885510715</v>
      </c>
      <c r="AF245" s="7">
        <f>C245-B245</f>
        <v>4</v>
      </c>
      <c r="AG245" s="2" t="str">
        <f>TEXT(B245, "mmmm")</f>
        <v>July</v>
      </c>
      <c r="AH245" s="4">
        <f>YEAR(B245)</f>
        <v>2025</v>
      </c>
      <c r="AI245" s="2" t="str">
        <f t="shared" si="17"/>
        <v>Warning: Missing Region</v>
      </c>
      <c r="AJ245">
        <f>COUNTIFS($A$2:$A$1000,A245,$B$2:$B$1000,B245,$C$2:$C$1000,C245,$D$2:$D$1000,D245,$E$2:$E$1000,E245,$F$2:$F$1000,F245)</f>
        <v>1</v>
      </c>
      <c r="AK245">
        <f>COUNTIF($A$2:$A$1000, A245)</f>
        <v>1</v>
      </c>
    </row>
    <row r="246" spans="1:37">
      <c r="A246" t="s">
        <v>839</v>
      </c>
      <c r="B246" s="5">
        <v>45527</v>
      </c>
      <c r="C246" s="5">
        <v>45528</v>
      </c>
      <c r="D246" s="6">
        <f>IF(AND(C246&lt;&gt;"",B246&lt;&gt;""), C246-B246, "Missing Date")</f>
        <v>1</v>
      </c>
      <c r="E246" s="6" t="str">
        <f>IF(OR(B246="",C246=""), "Missing Date",
    IF(C246&lt;B246, "Invalid: Ship before Order",
      "OK"))</f>
        <v>OK</v>
      </c>
      <c r="F246" t="s">
        <v>840</v>
      </c>
      <c r="G246" t="s">
        <v>79</v>
      </c>
      <c r="H246" t="s">
        <v>24</v>
      </c>
      <c r="I246" t="s">
        <v>54</v>
      </c>
      <c r="J246" t="s">
        <v>55</v>
      </c>
      <c r="K246" t="s">
        <v>56</v>
      </c>
      <c r="L246" t="s">
        <v>41</v>
      </c>
      <c r="M246" t="s">
        <v>158</v>
      </c>
      <c r="N246" t="s">
        <v>841</v>
      </c>
      <c r="O246" t="s">
        <v>44</v>
      </c>
      <c r="P246">
        <v>6</v>
      </c>
      <c r="Q246">
        <v>1021.89</v>
      </c>
      <c r="R246">
        <v>0</v>
      </c>
      <c r="S246">
        <v>6131.34</v>
      </c>
      <c r="T246">
        <v>4060.88</v>
      </c>
      <c r="U246">
        <v>2070.46</v>
      </c>
      <c r="V246" t="s">
        <v>32</v>
      </c>
      <c r="W246" t="s">
        <v>33</v>
      </c>
      <c r="X246" t="str">
        <f>_xlfn.TEXTJOIN("|", TRUE, A246:W246)</f>
        <v>ORD-2024-10245|45527|45528|1|OK|CUST-6008|Neha Gupta|Consumer|South|Telangana|Hyderabad|Furniture|Bookcases|Eco Bookcases 768|Same Day|6|1021.89|0|6131.34|4060.88|2070.46|Paid|Completed</v>
      </c>
      <c r="Y246">
        <f>COUNTIF($X$2:$X$1000, X246)</f>
        <v>1</v>
      </c>
      <c r="Z246">
        <f>COUNTIF($A$2:$A$1000, A246)</f>
        <v>1</v>
      </c>
      <c r="AA246" t="str">
        <f>IF(Y246&gt;1, "Exact Duplicate",
  IF(Z246&gt;1, "Conflicting Duplicate - Review",
    "Unique"))</f>
        <v>Unique</v>
      </c>
      <c r="AB246" s="2">
        <f>IF(ISBLANK(R246), 0, IF(ISTEXT(R246), VALUE(SUBSTITUTE(R246, "%", ""))/100, IF(OR(R246&lt;0, R246&gt;1), "Invalid", R246)))</f>
        <v>0</v>
      </c>
      <c r="AC246" s="4">
        <f>IF(AB246="Invalid", "Error", P246 * Q246 * (1 - AB246))</f>
        <v>6131.34</v>
      </c>
      <c r="AD246" s="4">
        <f>IF(AC246="Error", "Error", AC246 - T246)</f>
        <v>2070.46</v>
      </c>
      <c r="AE246" s="2">
        <f>IF(AC246="Error", "Error", IF(AC246=0, 0, AD246 / AC246))</f>
        <v>0.33768474754295147</v>
      </c>
      <c r="AF246" s="7">
        <f>C246-B246</f>
        <v>1</v>
      </c>
      <c r="AG246" s="2" t="str">
        <f>TEXT(B246, "mmmm")</f>
        <v>August</v>
      </c>
      <c r="AH246" s="4">
        <f>YEAR(B246)</f>
        <v>2024</v>
      </c>
      <c r="AI246" s="2" t="str">
        <f t="shared" si="17"/>
        <v>Clean</v>
      </c>
      <c r="AJ246">
        <f>COUNTIFS($A$2:$A$1000,A246,$B$2:$B$1000,B246,$C$2:$C$1000,C246,$D$2:$D$1000,D246,$E$2:$E$1000,E246,$F$2:$F$1000,F246)</f>
        <v>1</v>
      </c>
      <c r="AK246">
        <f>COUNTIF($A$2:$A$1000, A246)</f>
        <v>1</v>
      </c>
    </row>
    <row r="247" spans="1:37">
      <c r="A247" t="s">
        <v>842</v>
      </c>
      <c r="B247" s="5">
        <v>45583</v>
      </c>
      <c r="C247" s="5">
        <v>45589</v>
      </c>
      <c r="D247" s="6">
        <f>IF(AND(C247&lt;&gt;"",B247&lt;&gt;""), C247-B247, "Missing Date")</f>
        <v>6</v>
      </c>
      <c r="E247" s="6" t="str">
        <f>IF(OR(B247="",C247=""), "Missing Date",
    IF(C247&lt;B247, "Invalid: Ship before Order",
      "OK"))</f>
        <v>OK</v>
      </c>
      <c r="F247" t="s">
        <v>843</v>
      </c>
      <c r="G247" t="s">
        <v>79</v>
      </c>
      <c r="H247" t="s">
        <v>95</v>
      </c>
      <c r="I247" t="s">
        <v>54</v>
      </c>
      <c r="J247" t="s">
        <v>185</v>
      </c>
      <c r="K247" t="s">
        <v>186</v>
      </c>
      <c r="L247" t="s">
        <v>41</v>
      </c>
      <c r="M247" t="s">
        <v>66</v>
      </c>
      <c r="N247" t="s">
        <v>844</v>
      </c>
      <c r="O247" t="s">
        <v>31</v>
      </c>
      <c r="P247">
        <v>3</v>
      </c>
      <c r="Q247">
        <v>3275.93</v>
      </c>
      <c r="R247">
        <v>0</v>
      </c>
      <c r="S247">
        <v>9827.7900000000009</v>
      </c>
      <c r="T247">
        <v>5478.28</v>
      </c>
      <c r="U247">
        <v>4349.51</v>
      </c>
      <c r="V247" t="s">
        <v>32</v>
      </c>
      <c r="W247" t="s">
        <v>33</v>
      </c>
      <c r="X247" t="str">
        <f>_xlfn.TEXTJOIN("|", TRUE, A247:W247)</f>
        <v>ORD-2024-10246|45583|45589|6|OK|CUST-1704|Neha Gupta|Home Office|South|Kerala|Kochi|Furniture|Chairs|Pro Chairs 316|Second Class|3|3275.93|0|9827.79|5478.28|4349.51|Paid|Completed</v>
      </c>
      <c r="Y247">
        <f>COUNTIF($X$2:$X$1000, X247)</f>
        <v>1</v>
      </c>
      <c r="Z247">
        <f>COUNTIF($A$2:$A$1000, A247)</f>
        <v>1</v>
      </c>
      <c r="AA247" t="str">
        <f>IF(Y247&gt;1, "Exact Duplicate",
  IF(Z247&gt;1, "Conflicting Duplicate - Review",
    "Unique"))</f>
        <v>Unique</v>
      </c>
      <c r="AB247" s="2">
        <f>IF(ISBLANK(R247), 0, IF(ISTEXT(R247), VALUE(SUBSTITUTE(R247, "%", ""))/100, IF(OR(R247&lt;0, R247&gt;1), "Invalid", R247)))</f>
        <v>0</v>
      </c>
      <c r="AC247" s="4">
        <f>IF(AB247="Invalid", "Error", P247 * Q247 * (1 - AB247))</f>
        <v>9827.7899999999991</v>
      </c>
      <c r="AD247" s="4">
        <f>IF(AC247="Error", "Error", AC247 - T247)</f>
        <v>4349.5099999999993</v>
      </c>
      <c r="AE247" s="2">
        <f>IF(AC247="Error", "Error", IF(AC247=0, 0, AD247 / AC247))</f>
        <v>0.44257254174132737</v>
      </c>
      <c r="AF247" s="7">
        <f>C247-B247</f>
        <v>6</v>
      </c>
      <c r="AG247" s="2" t="str">
        <f>TEXT(B247, "mmmm")</f>
        <v>October</v>
      </c>
      <c r="AH247" s="4">
        <f>YEAR(B247)</f>
        <v>2024</v>
      </c>
      <c r="AI247" s="2" t="str">
        <f t="shared" si="17"/>
        <v>Clean</v>
      </c>
      <c r="AJ247">
        <f>COUNTIFS($A$2:$A$1000,A247,$B$2:$B$1000,B247,$C$2:$C$1000,C247,$D$2:$D$1000,D247,$E$2:$E$1000,E247,$F$2:$F$1000,F247)</f>
        <v>1</v>
      </c>
      <c r="AK247">
        <f>COUNTIF($A$2:$A$1000, A247)</f>
        <v>1</v>
      </c>
    </row>
    <row r="248" spans="1:37">
      <c r="A248" t="s">
        <v>845</v>
      </c>
      <c r="B248" s="5">
        <v>45416</v>
      </c>
      <c r="C248" s="5">
        <v>45421</v>
      </c>
      <c r="D248" s="6">
        <f>IF(AND(C248&lt;&gt;"",B248&lt;&gt;""), C248-B248, "Missing Date")</f>
        <v>5</v>
      </c>
      <c r="E248" s="6" t="str">
        <f>IF(OR(B248="",C248=""), "Missing Date",
    IF(C248&lt;B248, "Invalid: Ship before Order",
      "OK"))</f>
        <v>OK</v>
      </c>
      <c r="F248" t="s">
        <v>846</v>
      </c>
      <c r="G248" t="s">
        <v>62</v>
      </c>
      <c r="H248" t="s">
        <v>90</v>
      </c>
      <c r="I248" t="s">
        <v>25</v>
      </c>
      <c r="J248" t="s">
        <v>122</v>
      </c>
      <c r="K248" t="s">
        <v>123</v>
      </c>
      <c r="L248" t="s">
        <v>74</v>
      </c>
      <c r="M248" t="s">
        <v>274</v>
      </c>
      <c r="N248" t="s">
        <v>847</v>
      </c>
      <c r="O248" t="s">
        <v>44</v>
      </c>
      <c r="P248">
        <v>3</v>
      </c>
      <c r="Q248">
        <v>231.95</v>
      </c>
      <c r="R248">
        <v>0.25</v>
      </c>
      <c r="S248">
        <v>521.89</v>
      </c>
      <c r="T248">
        <v>444.52</v>
      </c>
      <c r="U248">
        <v>77.37</v>
      </c>
      <c r="V248" t="s">
        <v>102</v>
      </c>
      <c r="W248" t="s">
        <v>68</v>
      </c>
      <c r="X248" t="str">
        <f>_xlfn.TEXTJOIN("|", TRUE, A248:W248)</f>
        <v>ORD-2024-10247|45416|45421|5|OK|CUST-1827|Ananya Rao|Corporate|North|Punjab|Ludhiana|Technology|Machines|Classic Machines 819|Same Day|3|231.95|0.25|521.89|444.52|77.37|Refunded|Cancelled</v>
      </c>
      <c r="Y248">
        <f>COUNTIF($X$2:$X$1000, X248)</f>
        <v>1</v>
      </c>
      <c r="Z248">
        <f>COUNTIF($A$2:$A$1000, A248)</f>
        <v>1</v>
      </c>
      <c r="AA248" t="str">
        <f>IF(Y248&gt;1, "Exact Duplicate",
  IF(Z248&gt;1, "Conflicting Duplicate - Review",
    "Unique"))</f>
        <v>Unique</v>
      </c>
      <c r="AB248" s="2">
        <f>IF(ISBLANK(R248), 0, IF(ISTEXT(R248), VALUE(SUBSTITUTE(R248, "%", ""))/100, IF(OR(R248&lt;0, R248&gt;1), "Invalid", R248)))</f>
        <v>0.25</v>
      </c>
      <c r="AC248" s="4">
        <f>IF(AB248="Invalid", "Error", P248 * Q248 * (1 - AB248))</f>
        <v>521.88749999999993</v>
      </c>
      <c r="AD248" s="4">
        <f>IF(AC248="Error", "Error", AC248 - T248)</f>
        <v>77.36749999999995</v>
      </c>
      <c r="AE248" s="2">
        <f>IF(AC248="Error", "Error", IF(AC248=0, 0, AD248 / AC248))</f>
        <v>0.14824555100476627</v>
      </c>
      <c r="AF248" s="7">
        <f>C248-B248</f>
        <v>5</v>
      </c>
      <c r="AG248" s="2" t="str">
        <f>TEXT(B248, "mmmm")</f>
        <v>May</v>
      </c>
      <c r="AH248" s="4">
        <f>YEAR(B248)</f>
        <v>2024</v>
      </c>
      <c r="AI248" s="2" t="str">
        <f t="shared" si="17"/>
        <v>Excluded from Sales</v>
      </c>
      <c r="AJ248">
        <f>COUNTIFS($A$2:$A$1000,A248,$B$2:$B$1000,B248,$C$2:$C$1000,C248,$D$2:$D$1000,D248,$E$2:$E$1000,E248,$F$2:$F$1000,F248)</f>
        <v>1</v>
      </c>
      <c r="AK248">
        <f>COUNTIF($A$2:$A$1000, A248)</f>
        <v>1</v>
      </c>
    </row>
    <row r="249" spans="1:37">
      <c r="A249" t="s">
        <v>848</v>
      </c>
      <c r="B249" s="5">
        <v>45498</v>
      </c>
      <c r="C249" s="5">
        <v>45505</v>
      </c>
      <c r="D249" s="6">
        <f>IF(AND(C249&lt;&gt;"",B249&lt;&gt;""), C249-B249, "Missing Date")</f>
        <v>7</v>
      </c>
      <c r="E249" s="6" t="str">
        <f>IF(OR(B249="",C249=""), "Missing Date",
    IF(C249&lt;B249, "Invalid: Ship before Order",
      "OK"))</f>
        <v>OK</v>
      </c>
      <c r="F249" t="s">
        <v>849</v>
      </c>
      <c r="G249" t="s">
        <v>118</v>
      </c>
      <c r="H249" t="s">
        <v>90</v>
      </c>
      <c r="I249" t="s">
        <v>25</v>
      </c>
      <c r="J249" t="s">
        <v>26</v>
      </c>
      <c r="K249" t="s">
        <v>27</v>
      </c>
      <c r="L249" t="s">
        <v>74</v>
      </c>
      <c r="M249" t="s">
        <v>75</v>
      </c>
      <c r="N249" t="s">
        <v>850</v>
      </c>
      <c r="O249" t="s">
        <v>31</v>
      </c>
      <c r="P249">
        <v>8</v>
      </c>
      <c r="Q249">
        <v>2493.4</v>
      </c>
      <c r="R249">
        <v>0.25</v>
      </c>
      <c r="S249">
        <v>14960.4</v>
      </c>
      <c r="T249">
        <v>12500.84</v>
      </c>
      <c r="U249">
        <v>2459.56</v>
      </c>
      <c r="V249" t="s">
        <v>32</v>
      </c>
      <c r="W249" t="s">
        <v>33</v>
      </c>
      <c r="X249" t="str">
        <f>_xlfn.TEXTJOIN("|", TRUE, A249:W249)</f>
        <v>ORD-2024-10248|45498|45505|7|OK|CUST-6663|Rahul Verma|Corporate|North|Rajasthan|Jaipur|Technology|Accessories|Smart Accessories 572|Second Class|8|2493.4|0.25|14960.4|12500.84|2459.56|Paid|Completed</v>
      </c>
      <c r="Y249">
        <f>COUNTIF($X$2:$X$1000, X249)</f>
        <v>1</v>
      </c>
      <c r="Z249">
        <f>COUNTIF($A$2:$A$1000, A249)</f>
        <v>1</v>
      </c>
      <c r="AA249" t="str">
        <f>IF(Y249&gt;1, "Exact Duplicate",
  IF(Z249&gt;1, "Conflicting Duplicate - Review",
    "Unique"))</f>
        <v>Unique</v>
      </c>
      <c r="AB249" s="2">
        <f>IF(ISBLANK(R249), 0, IF(ISTEXT(R249), VALUE(SUBSTITUTE(R249, "%", ""))/100, IF(OR(R249&lt;0, R249&gt;1), "Invalid", R249)))</f>
        <v>0.25</v>
      </c>
      <c r="AC249" s="4">
        <f>IF(AB249="Invalid", "Error", P249 * Q249 * (1 - AB249))</f>
        <v>14960.400000000001</v>
      </c>
      <c r="AD249" s="4">
        <f>IF(AC249="Error", "Error", AC249 - T249)</f>
        <v>2459.5600000000013</v>
      </c>
      <c r="AE249" s="2">
        <f>IF(AC249="Error", "Error", IF(AC249=0, 0, AD249 / AC249))</f>
        <v>0.16440469506162944</v>
      </c>
      <c r="AF249" s="7">
        <f>C249-B249</f>
        <v>7</v>
      </c>
      <c r="AG249" s="2" t="str">
        <f>TEXT(B249, "mmmm")</f>
        <v>July</v>
      </c>
      <c r="AH249" s="4">
        <f>YEAR(B249)</f>
        <v>2024</v>
      </c>
      <c r="AI249" s="2" t="str">
        <f t="shared" si="17"/>
        <v>Clean</v>
      </c>
      <c r="AJ249">
        <f>COUNTIFS($A$2:$A$1000,A249,$B$2:$B$1000,B249,$C$2:$C$1000,C249,$D$2:$D$1000,D249,$E$2:$E$1000,E249,$F$2:$F$1000,F249)</f>
        <v>1</v>
      </c>
      <c r="AK249">
        <f>COUNTIF($A$2:$A$1000, A249)</f>
        <v>1</v>
      </c>
    </row>
    <row r="250" spans="1:37">
      <c r="A250" t="s">
        <v>851</v>
      </c>
      <c r="B250" s="5">
        <v>45328</v>
      </c>
      <c r="C250" s="5">
        <v>45450</v>
      </c>
      <c r="D250" s="6">
        <f>IF(AND(C250&lt;&gt;"",B250&lt;&gt;""), C250-B250, "Missing Date")</f>
        <v>122</v>
      </c>
      <c r="E250" s="6" t="str">
        <f>IF(OR(B250="",C250=""), "Missing Date",
    IF(C250&lt;B250, "Invalid: Ship before Order",
      "OK"))</f>
        <v>OK</v>
      </c>
      <c r="F250" t="s">
        <v>852</v>
      </c>
      <c r="G250" t="s">
        <v>141</v>
      </c>
      <c r="H250" t="s">
        <v>95</v>
      </c>
      <c r="I250" t="s">
        <v>38</v>
      </c>
      <c r="J250" t="s">
        <v>39</v>
      </c>
      <c r="K250" t="s">
        <v>40</v>
      </c>
      <c r="L250" t="s">
        <v>28</v>
      </c>
      <c r="M250" t="s">
        <v>91</v>
      </c>
      <c r="N250" t="s">
        <v>853</v>
      </c>
      <c r="O250" t="s">
        <v>31</v>
      </c>
      <c r="P250">
        <v>9</v>
      </c>
      <c r="Q250">
        <v>787.91</v>
      </c>
      <c r="R250">
        <v>0.15</v>
      </c>
      <c r="S250">
        <v>6027.51</v>
      </c>
      <c r="T250">
        <v>4883.82</v>
      </c>
      <c r="U250">
        <v>1143.69</v>
      </c>
      <c r="V250" t="s">
        <v>32</v>
      </c>
      <c r="W250" t="s">
        <v>33</v>
      </c>
      <c r="X250" t="str">
        <f>_xlfn.TEXTJOIN("|", TRUE, A250:W250)</f>
        <v>ORD-2024-10249|45328|45450|122|OK|CUST-6278|Rohan Mehta|Home Office|East|Odisha|Bhubaneswar|Office Supplies|Labels|Basic Labels 432|Second Class|9|787.91|0.15|6027.51|4883.82|1143.69|Paid|Completed</v>
      </c>
      <c r="Y250">
        <f>COUNTIF($X$2:$X$1000, X250)</f>
        <v>1</v>
      </c>
      <c r="Z250">
        <f>COUNTIF($A$2:$A$1000, A250)</f>
        <v>1</v>
      </c>
      <c r="AA250" t="str">
        <f>IF(Y250&gt;1, "Exact Duplicate",
  IF(Z250&gt;1, "Conflicting Duplicate - Review",
    "Unique"))</f>
        <v>Unique</v>
      </c>
      <c r="AB250" s="2">
        <f>IF(ISBLANK(R250), 0, IF(ISTEXT(R250), VALUE(SUBSTITUTE(R250, "%", ""))/100, IF(OR(R250&lt;0, R250&gt;1), "Invalid", R250)))</f>
        <v>0.15</v>
      </c>
      <c r="AC250" s="4">
        <f>IF(AB250="Invalid", "Error", P250 * Q250 * (1 - AB250))</f>
        <v>6027.5114999999996</v>
      </c>
      <c r="AD250" s="4">
        <f>IF(AC250="Error", "Error", AC250 - T250)</f>
        <v>1143.6914999999999</v>
      </c>
      <c r="AE250" s="2">
        <f>IF(AC250="Error", "Error", IF(AC250=0, 0, AD250 / AC250))</f>
        <v>0.18974522072666306</v>
      </c>
      <c r="AF250" s="7">
        <f>C250-B250</f>
        <v>122</v>
      </c>
      <c r="AG250" s="2" t="str">
        <f>TEXT(B250, "mmmm")</f>
        <v>February</v>
      </c>
      <c r="AH250" s="4">
        <f>YEAR(B250)</f>
        <v>2024</v>
      </c>
      <c r="AI250" s="2" t="str">
        <f t="shared" si="17"/>
        <v>Clean</v>
      </c>
      <c r="AJ250">
        <f>COUNTIFS($A$2:$A$1000,A250,$B$2:$B$1000,B250,$C$2:$C$1000,C250,$D$2:$D$1000,D250,$E$2:$E$1000,E250,$F$2:$F$1000,F250)</f>
        <v>1</v>
      </c>
      <c r="AK250">
        <f>COUNTIF($A$2:$A$1000, A250)</f>
        <v>1</v>
      </c>
    </row>
    <row r="251" spans="1:37">
      <c r="A251" t="s">
        <v>854</v>
      </c>
      <c r="B251" s="5">
        <v>45665</v>
      </c>
      <c r="C251" s="5">
        <v>45696</v>
      </c>
      <c r="D251" s="6">
        <f>IF(AND(C251&lt;&gt;"",B251&lt;&gt;""), C251-B251, "Missing Date")</f>
        <v>31</v>
      </c>
      <c r="E251" s="6" t="str">
        <f>IF(OR(B251="",C251=""), "Missing Date",
    IF(C251&lt;B251, "Invalid: Ship before Order",
      "OK"))</f>
        <v>OK</v>
      </c>
      <c r="F251" t="s">
        <v>855</v>
      </c>
      <c r="G251" t="s">
        <v>36</v>
      </c>
      <c r="H251" t="s">
        <v>90</v>
      </c>
      <c r="I251" t="s">
        <v>25</v>
      </c>
      <c r="J251" t="s">
        <v>26</v>
      </c>
      <c r="K251" t="s">
        <v>27</v>
      </c>
      <c r="L251" t="s">
        <v>41</v>
      </c>
      <c r="M251" t="s">
        <v>57</v>
      </c>
      <c r="N251" t="s">
        <v>856</v>
      </c>
      <c r="O251" t="s">
        <v>50</v>
      </c>
      <c r="P251">
        <v>4</v>
      </c>
      <c r="Q251">
        <v>2790.29</v>
      </c>
      <c r="R251">
        <v>0.2</v>
      </c>
      <c r="S251">
        <v>8928.93</v>
      </c>
      <c r="T251">
        <v>5634.38</v>
      </c>
      <c r="U251">
        <v>3294.55</v>
      </c>
      <c r="V251" t="s">
        <v>32</v>
      </c>
      <c r="W251" t="s">
        <v>33</v>
      </c>
      <c r="X251" t="str">
        <f>_xlfn.TEXTJOIN("|", TRUE, A251:W251)</f>
        <v>ORD-2025-10250|45665|45696|31|OK|CUST-2305|Mira Das|Corporate|North|Rajasthan|Jaipur|Furniture|Furnishings|Classic Furnishings 378|First Class|4|2790.29|0.2|8928.93|5634.38|3294.55|Paid|Completed</v>
      </c>
      <c r="Y251">
        <f>COUNTIF($X$2:$X$1000, X251)</f>
        <v>1</v>
      </c>
      <c r="Z251">
        <f>COUNTIF($A$2:$A$1000, A251)</f>
        <v>1</v>
      </c>
      <c r="AA251" t="str">
        <f>IF(Y251&gt;1, "Exact Duplicate",
  IF(Z251&gt;1, "Conflicting Duplicate - Review",
    "Unique"))</f>
        <v>Unique</v>
      </c>
      <c r="AB251" s="2">
        <f>IF(ISBLANK(R251), 0, IF(ISTEXT(R251), VALUE(SUBSTITUTE(R251, "%", ""))/100, IF(OR(R251&lt;0, R251&gt;1), "Invalid", R251)))</f>
        <v>0.2</v>
      </c>
      <c r="AC251" s="4">
        <f>IF(AB251="Invalid", "Error", P251 * Q251 * (1 - AB251))</f>
        <v>8928.9279999999999</v>
      </c>
      <c r="AD251" s="4">
        <f>IF(AC251="Error", "Error", AC251 - T251)</f>
        <v>3294.5479999999998</v>
      </c>
      <c r="AE251" s="2">
        <f>IF(AC251="Error", "Error", IF(AC251=0, 0, AD251 / AC251))</f>
        <v>0.36897464062875185</v>
      </c>
      <c r="AF251" s="7">
        <f>C251-B251</f>
        <v>31</v>
      </c>
      <c r="AG251" s="2" t="str">
        <f>TEXT(B251, "mmmm")</f>
        <v>January</v>
      </c>
      <c r="AH251" s="4">
        <f>YEAR(B251)</f>
        <v>2025</v>
      </c>
      <c r="AI251" s="2" t="str">
        <f t="shared" si="17"/>
        <v>Clean</v>
      </c>
      <c r="AJ251">
        <f>COUNTIFS($A$2:$A$1000,A251,$B$2:$B$1000,B251,$C$2:$C$1000,C251,$D$2:$D$1000,D251,$E$2:$E$1000,E251,$F$2:$F$1000,F251)</f>
        <v>1</v>
      </c>
      <c r="AK251">
        <f>COUNTIF($A$2:$A$1000, A251)</f>
        <v>1</v>
      </c>
    </row>
    <row r="252" spans="1:37">
      <c r="A252" t="s">
        <v>857</v>
      </c>
      <c r="B252" s="5">
        <v>45343</v>
      </c>
      <c r="C252" s="5">
        <v>45349</v>
      </c>
      <c r="D252" s="6">
        <f>IF(AND(C252&lt;&gt;"",B252&lt;&gt;""), C252-B252, "Missing Date")</f>
        <v>6</v>
      </c>
      <c r="E252" s="6" t="str">
        <f>IF(OR(B252="",C252=""), "Missing Date",
    IF(C252&lt;B252, "Invalid: Ship before Order",
      "OK"))</f>
        <v>OK</v>
      </c>
      <c r="F252" t="s">
        <v>858</v>
      </c>
      <c r="G252" t="s">
        <v>53</v>
      </c>
      <c r="H252" t="s">
        <v>37</v>
      </c>
      <c r="I252" t="s">
        <v>38</v>
      </c>
      <c r="J252" t="s">
        <v>99</v>
      </c>
      <c r="K252" t="s">
        <v>100</v>
      </c>
      <c r="L252" t="s">
        <v>41</v>
      </c>
      <c r="M252" t="s">
        <v>57</v>
      </c>
      <c r="N252" t="s">
        <v>859</v>
      </c>
      <c r="O252" t="s">
        <v>59</v>
      </c>
      <c r="P252">
        <v>5</v>
      </c>
      <c r="Q252">
        <v>3373.86</v>
      </c>
      <c r="R252">
        <v>0.15</v>
      </c>
      <c r="S252">
        <v>14338.9</v>
      </c>
      <c r="T252">
        <v>11897.65</v>
      </c>
      <c r="U252">
        <v>2441.25</v>
      </c>
      <c r="V252" t="s">
        <v>111</v>
      </c>
      <c r="W252" t="s">
        <v>103</v>
      </c>
      <c r="X252" t="str">
        <f>_xlfn.TEXTJOIN("|", TRUE, A252:W252)</f>
        <v>ORD-2024-10251|45343|45349|6|OK|CUST-5351|Arjun Bose|Small Business|East|West Bengal|Kolkata|Furniture|Furnishings|Prime Furnishings 781|Standard Class|5|3373.86|0.15|14338.9|11897.65|2441.25|Pending|Returned</v>
      </c>
      <c r="Y252">
        <f>COUNTIF($X$2:$X$1000, X252)</f>
        <v>1</v>
      </c>
      <c r="Z252">
        <f>COUNTIF($A$2:$A$1000, A252)</f>
        <v>2</v>
      </c>
      <c r="AA252" t="str">
        <f>IF(Y252&gt;1, "Exact Duplicate",
  IF(Z252&gt;1, "Conflicting Duplicate - Review",
    "Unique"))</f>
        <v>Conflicting Duplicate - Review</v>
      </c>
      <c r="AB252" s="2">
        <f>IF(ISBLANK(R252), 0, IF(ISTEXT(R252), VALUE(SUBSTITUTE(R252, "%", ""))/100, IF(OR(R252&lt;0, R252&gt;1), "Invalid", R252)))</f>
        <v>0.15</v>
      </c>
      <c r="AC252" s="4">
        <f>IF(AB252="Invalid", "Error", P252 * Q252 * (1 - AB252))</f>
        <v>14338.904999999999</v>
      </c>
      <c r="AD252" s="4">
        <f>IF(AC252="Error", "Error", AC252 - T252)</f>
        <v>2441.2549999999992</v>
      </c>
      <c r="AE252" s="2">
        <f>IF(AC252="Error", "Error", IF(AC252=0, 0, AD252 / AC252))</f>
        <v>0.17025393501107647</v>
      </c>
      <c r="AF252" s="7">
        <f>C252-B252</f>
        <v>6</v>
      </c>
      <c r="AG252" s="2" t="str">
        <f>TEXT(B252, "mmmm")</f>
        <v>February</v>
      </c>
      <c r="AH252" s="4">
        <f>YEAR(B252)</f>
        <v>2024</v>
      </c>
      <c r="AI252" s="2" t="str">
        <f t="shared" si="17"/>
        <v>Clean</v>
      </c>
      <c r="AJ252">
        <f>COUNTIFS($A$2:$A$1000,A252,$B$2:$B$1000,B252,$C$2:$C$1000,C252,$D$2:$D$1000,D252,$E$2:$E$1000,E252,$F$2:$F$1000,F252)</f>
        <v>2</v>
      </c>
      <c r="AK252">
        <f>COUNTIF($A$2:$A$1000, A252)</f>
        <v>2</v>
      </c>
    </row>
    <row r="253" spans="1:37">
      <c r="A253" t="s">
        <v>860</v>
      </c>
      <c r="B253" s="5">
        <v>45753</v>
      </c>
      <c r="C253" s="5">
        <v>45934</v>
      </c>
      <c r="D253" s="6">
        <f>IF(AND(C253&lt;&gt;"",B253&lt;&gt;""), C253-B253, "Missing Date")</f>
        <v>181</v>
      </c>
      <c r="E253" s="6" t="str">
        <f>IF(OR(B253="",C253=""), "Missing Date",
    IF(C253&lt;B253, "Invalid: Ship before Order",
      "OK"))</f>
        <v>OK</v>
      </c>
      <c r="F253" t="s">
        <v>861</v>
      </c>
      <c r="G253" t="s">
        <v>62</v>
      </c>
      <c r="H253" t="s">
        <v>90</v>
      </c>
      <c r="I253" t="s">
        <v>63</v>
      </c>
      <c r="J253" t="s">
        <v>180</v>
      </c>
      <c r="K253" t="s">
        <v>181</v>
      </c>
      <c r="L253" t="s">
        <v>41</v>
      </c>
      <c r="M253" t="s">
        <v>42</v>
      </c>
      <c r="N253" t="s">
        <v>862</v>
      </c>
      <c r="O253" t="s">
        <v>31</v>
      </c>
      <c r="P253">
        <v>6</v>
      </c>
      <c r="Q253">
        <v>1022.16</v>
      </c>
      <c r="R253">
        <v>0</v>
      </c>
      <c r="S253">
        <v>6132.96</v>
      </c>
      <c r="T253">
        <v>4881.1000000000004</v>
      </c>
      <c r="U253">
        <v>1251.8599999999999</v>
      </c>
      <c r="V253" t="s">
        <v>32</v>
      </c>
      <c r="W253" t="s">
        <v>33</v>
      </c>
      <c r="X253" t="str">
        <f>_xlfn.TEXTJOIN("|", TRUE, A253:W253)</f>
        <v>ORD-2025-10252|45753|45934|181|OK|CUST-6268|Ananya Rao|Corporate|West|Gujarat|Ahmedabad|Furniture|Tables|Prime Tables 263|Second Class|6|1022.16|0|6132.96|4881.1|1251.86|Paid|Completed</v>
      </c>
      <c r="Y253">
        <f>COUNTIF($X$2:$X$1000, X253)</f>
        <v>1</v>
      </c>
      <c r="Z253">
        <f>COUNTIF($A$2:$A$1000, A253)</f>
        <v>1</v>
      </c>
      <c r="AA253" t="str">
        <f>IF(Y253&gt;1, "Exact Duplicate",
  IF(Z253&gt;1, "Conflicting Duplicate - Review",
    "Unique"))</f>
        <v>Unique</v>
      </c>
      <c r="AB253" s="2">
        <f>IF(ISBLANK(R253), 0, IF(ISTEXT(R253), VALUE(SUBSTITUTE(R253, "%", ""))/100, IF(OR(R253&lt;0, R253&gt;1), "Invalid", R253)))</f>
        <v>0</v>
      </c>
      <c r="AC253" s="4">
        <f>IF(AB253="Invalid", "Error", P253 * Q253 * (1 - AB253))</f>
        <v>6132.96</v>
      </c>
      <c r="AD253" s="4">
        <f>IF(AC253="Error", "Error", AC253 - T253)</f>
        <v>1251.8599999999997</v>
      </c>
      <c r="AE253" s="2">
        <f>IF(AC253="Error", "Error", IF(AC253=0, 0, AD253 / AC253))</f>
        <v>0.20412003339333692</v>
      </c>
      <c r="AF253" s="7">
        <f>C253-B253</f>
        <v>181</v>
      </c>
      <c r="AG253" s="2" t="str">
        <f>TEXT(B253, "mmmm")</f>
        <v>April</v>
      </c>
      <c r="AH253" s="4">
        <f>YEAR(B253)</f>
        <v>2025</v>
      </c>
      <c r="AI253" s="2" t="str">
        <f t="shared" si="17"/>
        <v>Clean</v>
      </c>
      <c r="AJ253">
        <f>COUNTIFS($A$2:$A$1000,A253,$B$2:$B$1000,B253,$C$2:$C$1000,C253,$D$2:$D$1000,D253,$E$2:$E$1000,E253,$F$2:$F$1000,F253)</f>
        <v>1</v>
      </c>
      <c r="AK253">
        <f>COUNTIF($A$2:$A$1000, A253)</f>
        <v>1</v>
      </c>
    </row>
    <row r="254" spans="1:37">
      <c r="A254" t="s">
        <v>863</v>
      </c>
      <c r="B254" s="5">
        <v>45833</v>
      </c>
      <c r="C254" s="5">
        <v>45836</v>
      </c>
      <c r="D254" s="6">
        <f>IF(AND(C254&lt;&gt;"",B254&lt;&gt;""), C254-B254, "Missing Date")</f>
        <v>3</v>
      </c>
      <c r="E254" s="6" t="str">
        <f>IF(OR(B254="",C254=""), "Missing Date",
    IF(C254&lt;B254, "Invalid: Ship before Order",
      "OK"))</f>
        <v>OK</v>
      </c>
      <c r="F254" t="s">
        <v>864</v>
      </c>
      <c r="G254" t="s">
        <v>53</v>
      </c>
      <c r="H254" t="s">
        <v>90</v>
      </c>
      <c r="I254" t="s">
        <v>25</v>
      </c>
      <c r="J254" t="s">
        <v>236</v>
      </c>
      <c r="K254" t="s">
        <v>237</v>
      </c>
      <c r="L254" t="s">
        <v>28</v>
      </c>
      <c r="M254" t="s">
        <v>124</v>
      </c>
      <c r="N254" t="s">
        <v>865</v>
      </c>
      <c r="O254" t="s">
        <v>50</v>
      </c>
      <c r="P254">
        <v>2</v>
      </c>
      <c r="Q254">
        <v>1455.92</v>
      </c>
      <c r="R254">
        <v>0.2</v>
      </c>
      <c r="S254">
        <v>2329.4699999999998</v>
      </c>
      <c r="T254">
        <v>1603.62</v>
      </c>
      <c r="U254">
        <v>725.85</v>
      </c>
      <c r="V254" t="s">
        <v>111</v>
      </c>
      <c r="W254" t="s">
        <v>103</v>
      </c>
      <c r="X254" t="str">
        <f>_xlfn.TEXTJOIN("|", TRUE, A254:W254)</f>
        <v>ORD-2025-10253|45833|45836|3|OK|CUST-2103|Arjun Bose|Corporate|North|Haryana|Gurugram|Office Supplies|Storage|Basic Storage 269|First Class|2|1455.92|0.2|2329.47|1603.62|725.85|Pending|Returned</v>
      </c>
      <c r="Y254">
        <f>COUNTIF($X$2:$X$1000, X254)</f>
        <v>1</v>
      </c>
      <c r="Z254">
        <f>COUNTIF($A$2:$A$1000, A254)</f>
        <v>1</v>
      </c>
      <c r="AA254" t="str">
        <f>IF(Y254&gt;1, "Exact Duplicate",
  IF(Z254&gt;1, "Conflicting Duplicate - Review",
    "Unique"))</f>
        <v>Unique</v>
      </c>
      <c r="AB254" s="2">
        <f>IF(ISBLANK(R254), 0, IF(ISTEXT(R254), VALUE(SUBSTITUTE(R254, "%", ""))/100, IF(OR(R254&lt;0, R254&gt;1), "Invalid", R254)))</f>
        <v>0.2</v>
      </c>
      <c r="AC254" s="4">
        <f>IF(AB254="Invalid", "Error", P254 * Q254 * (1 - AB254))</f>
        <v>2329.4720000000002</v>
      </c>
      <c r="AD254" s="4">
        <f>IF(AC254="Error", "Error", AC254 - T254)</f>
        <v>725.85200000000032</v>
      </c>
      <c r="AE254" s="2">
        <f>IF(AC254="Error", "Error", IF(AC254=0, 0, AD254 / AC254))</f>
        <v>0.31159507390515973</v>
      </c>
      <c r="AF254" s="7">
        <f>C254-B254</f>
        <v>3</v>
      </c>
      <c r="AG254" s="2" t="str">
        <f>TEXT(B254, "mmmm")</f>
        <v>June</v>
      </c>
      <c r="AH254" s="4">
        <f>YEAR(B254)</f>
        <v>2025</v>
      </c>
      <c r="AI254" s="2" t="str">
        <f t="shared" si="17"/>
        <v>Clean</v>
      </c>
      <c r="AJ254">
        <f>COUNTIFS($A$2:$A$1000,A254,$B$2:$B$1000,B254,$C$2:$C$1000,C254,$D$2:$D$1000,D254,$E$2:$E$1000,E254,$F$2:$F$1000,F254)</f>
        <v>1</v>
      </c>
      <c r="AK254">
        <f>COUNTIF($A$2:$A$1000, A254)</f>
        <v>1</v>
      </c>
    </row>
    <row r="255" spans="1:37">
      <c r="A255" t="s">
        <v>866</v>
      </c>
      <c r="B255" s="5">
        <v>45547</v>
      </c>
      <c r="C255" s="5">
        <v>45548</v>
      </c>
      <c r="D255" s="6">
        <f>IF(AND(C255&lt;&gt;"",B255&lt;&gt;""), C255-B255, "Missing Date")</f>
        <v>1</v>
      </c>
      <c r="E255" s="6" t="str">
        <f>IF(OR(B255="",C255=""), "Missing Date",
    IF(C255&lt;B255, "Invalid: Ship before Order",
      "OK"))</f>
        <v>OK</v>
      </c>
      <c r="F255" t="s">
        <v>867</v>
      </c>
      <c r="G255" t="s">
        <v>114</v>
      </c>
      <c r="H255" t="s">
        <v>37</v>
      </c>
      <c r="I255" t="s">
        <v>25</v>
      </c>
      <c r="J255" t="s">
        <v>26</v>
      </c>
      <c r="K255" t="s">
        <v>27</v>
      </c>
      <c r="L255" t="s">
        <v>74</v>
      </c>
      <c r="M255" t="s">
        <v>171</v>
      </c>
      <c r="N255" t="s">
        <v>868</v>
      </c>
      <c r="O255" t="s">
        <v>44</v>
      </c>
      <c r="P255">
        <v>6</v>
      </c>
      <c r="Q255">
        <v>832.79</v>
      </c>
      <c r="R255">
        <v>0.05</v>
      </c>
      <c r="S255">
        <v>4746.8999999999996</v>
      </c>
      <c r="T255">
        <v>2825.38</v>
      </c>
      <c r="U255">
        <v>1472.89</v>
      </c>
      <c r="V255" t="s">
        <v>102</v>
      </c>
      <c r="W255" t="s">
        <v>68</v>
      </c>
      <c r="X255" t="str">
        <f>_xlfn.TEXTJOIN("|", TRUE, A255:W255)</f>
        <v>ORD-2024-10254|45547|45548|1|OK|CUST-5394|Priya Menon|Small Business|North|Rajasthan|Jaipur|Technology|Phones|Classic Phones 442|Same Day|6|832.79|0.05|4746.9|2825.38|1472.89|Refunded|Cancelled</v>
      </c>
      <c r="Y255">
        <f>COUNTIF($X$2:$X$1000, X255)</f>
        <v>1</v>
      </c>
      <c r="Z255">
        <f>COUNTIF($A$2:$A$1000, A255)</f>
        <v>1</v>
      </c>
      <c r="AA255" t="str">
        <f>IF(Y255&gt;1, "Exact Duplicate",
  IF(Z255&gt;1, "Conflicting Duplicate - Review",
    "Unique"))</f>
        <v>Unique</v>
      </c>
      <c r="AB255" s="2">
        <f>IF(ISBLANK(R255), 0, IF(ISTEXT(R255), VALUE(SUBSTITUTE(R255, "%", ""))/100, IF(OR(R255&lt;0, R255&gt;1), "Invalid", R255)))</f>
        <v>0.05</v>
      </c>
      <c r="AC255" s="4">
        <f>IF(AB255="Invalid", "Error", P255 * Q255 * (1 - AB255))</f>
        <v>4746.9029999999993</v>
      </c>
      <c r="AD255" s="4">
        <f>IF(AC255="Error", "Error", AC255 - T255)</f>
        <v>1921.5229999999992</v>
      </c>
      <c r="AE255" s="2">
        <f>IF(AC255="Error", "Error", IF(AC255=0, 0, AD255 / AC255))</f>
        <v>0.40479508428969363</v>
      </c>
      <c r="AF255" s="7">
        <f>C255-B255</f>
        <v>1</v>
      </c>
      <c r="AG255" s="2" t="str">
        <f>TEXT(B255, "mmmm")</f>
        <v>September</v>
      </c>
      <c r="AH255" s="4">
        <f>YEAR(B255)</f>
        <v>2024</v>
      </c>
      <c r="AI255" s="2" t="str">
        <f t="shared" si="17"/>
        <v>Excluded from Sales</v>
      </c>
      <c r="AJ255">
        <f>COUNTIFS($A$2:$A$1000,A255,$B$2:$B$1000,B255,$C$2:$C$1000,C255,$D$2:$D$1000,D255,$E$2:$E$1000,E255,$F$2:$F$1000,F255)</f>
        <v>1</v>
      </c>
      <c r="AK255">
        <f>COUNTIF($A$2:$A$1000, A255)</f>
        <v>1</v>
      </c>
    </row>
    <row r="256" spans="1:37">
      <c r="A256" t="s">
        <v>869</v>
      </c>
      <c r="B256" s="5">
        <v>45658</v>
      </c>
      <c r="C256" s="5">
        <v>45660</v>
      </c>
      <c r="D256" s="6">
        <f>IF(AND(C256&lt;&gt;"",B256&lt;&gt;""), C256-B256, "Missing Date")</f>
        <v>2</v>
      </c>
      <c r="E256" s="6" t="str">
        <f>IF(OR(B256="",C256=""), "Missing Date",
    IF(C256&lt;B256, "Invalid: Ship before Order",
      "OK"))</f>
        <v>OK</v>
      </c>
      <c r="F256" t="s">
        <v>870</v>
      </c>
      <c r="G256" t="s">
        <v>62</v>
      </c>
      <c r="H256" t="s">
        <v>24</v>
      </c>
      <c r="I256" t="s">
        <v>63</v>
      </c>
      <c r="J256" t="s">
        <v>72</v>
      </c>
      <c r="K256" t="s">
        <v>73</v>
      </c>
      <c r="L256" t="s">
        <v>74</v>
      </c>
      <c r="M256" t="s">
        <v>75</v>
      </c>
      <c r="N256" t="s">
        <v>871</v>
      </c>
      <c r="O256" t="s">
        <v>44</v>
      </c>
      <c r="P256">
        <v>7</v>
      </c>
      <c r="Q256">
        <v>1000.55</v>
      </c>
      <c r="R256">
        <v>0.2</v>
      </c>
      <c r="S256">
        <v>5603.08</v>
      </c>
      <c r="T256">
        <v>3132.52</v>
      </c>
      <c r="U256">
        <v>2470.56</v>
      </c>
      <c r="V256" t="s">
        <v>32</v>
      </c>
      <c r="W256" t="s">
        <v>103</v>
      </c>
      <c r="X256" t="str">
        <f>_xlfn.TEXTJOIN("|", TRUE, A256:W256)</f>
        <v>ORD-2025-10255|45658|45660|2|OK|CUST-6853|Ananya Rao|Consumer|West|Madhya Pradesh|Indore|Technology|Accessories|Elite Accessories 978|Same Day|7|1000.55|0.2|5603.08|3132.52|2470.56|Paid|Returned</v>
      </c>
      <c r="Y256">
        <f>COUNTIF($X$2:$X$1000, X256)</f>
        <v>1</v>
      </c>
      <c r="Z256">
        <f>COUNTIF($A$2:$A$1000, A256)</f>
        <v>1</v>
      </c>
      <c r="AA256" t="str">
        <f>IF(Y256&gt;1, "Exact Duplicate",
  IF(Z256&gt;1, "Conflicting Duplicate - Review",
    "Unique"))</f>
        <v>Unique</v>
      </c>
      <c r="AB256" s="2">
        <f>IF(ISBLANK(R256), 0, IF(ISTEXT(R256), VALUE(SUBSTITUTE(R256, "%", ""))/100, IF(OR(R256&lt;0, R256&gt;1), "Invalid", R256)))</f>
        <v>0.2</v>
      </c>
      <c r="AC256" s="4">
        <f>IF(AB256="Invalid", "Error", P256 * Q256 * (1 - AB256))</f>
        <v>5603.08</v>
      </c>
      <c r="AD256" s="4">
        <f>IF(AC256="Error", "Error", AC256 - T256)</f>
        <v>2470.56</v>
      </c>
      <c r="AE256" s="2">
        <f>IF(AC256="Error", "Error", IF(AC256=0, 0, AD256 / AC256))</f>
        <v>0.44092891766671188</v>
      </c>
      <c r="AF256" s="7">
        <f>C256-B256</f>
        <v>2</v>
      </c>
      <c r="AG256" s="2" t="str">
        <f>TEXT(B256, "mmmm")</f>
        <v>January</v>
      </c>
      <c r="AH256" s="4">
        <f>YEAR(B256)</f>
        <v>2025</v>
      </c>
      <c r="AI256" s="2" t="str">
        <f t="shared" si="17"/>
        <v>Clean</v>
      </c>
      <c r="AJ256">
        <f>COUNTIFS($A$2:$A$1000,A256,$B$2:$B$1000,B256,$C$2:$C$1000,C256,$D$2:$D$1000,D256,$E$2:$E$1000,E256,$F$2:$F$1000,F256)</f>
        <v>1</v>
      </c>
      <c r="AK256">
        <f>COUNTIF($A$2:$A$1000, A256)</f>
        <v>1</v>
      </c>
    </row>
    <row r="257" spans="1:37">
      <c r="A257" t="s">
        <v>872</v>
      </c>
      <c r="B257" s="5">
        <v>45692</v>
      </c>
      <c r="C257" s="5">
        <v>45932</v>
      </c>
      <c r="D257" s="6">
        <f>IF(AND(C257&lt;&gt;"",B257&lt;&gt;""), C257-B257, "Missing Date")</f>
        <v>240</v>
      </c>
      <c r="E257" s="6" t="str">
        <f>IF(OR(B257="",C257=""), "Missing Date",
    IF(C257&lt;B257, "Invalid: Ship before Order",
      "OK"))</f>
        <v>OK</v>
      </c>
      <c r="F257" t="s">
        <v>873</v>
      </c>
      <c r="G257" t="s">
        <v>47</v>
      </c>
      <c r="H257" t="s">
        <v>90</v>
      </c>
      <c r="I257" t="s">
        <v>63</v>
      </c>
      <c r="J257" t="s">
        <v>64</v>
      </c>
      <c r="K257" t="s">
        <v>65</v>
      </c>
      <c r="L257" t="s">
        <v>74</v>
      </c>
      <c r="M257" t="s">
        <v>171</v>
      </c>
      <c r="N257" t="s">
        <v>874</v>
      </c>
      <c r="O257" t="s">
        <v>50</v>
      </c>
      <c r="P257">
        <v>7</v>
      </c>
      <c r="Q257">
        <v>1830</v>
      </c>
      <c r="R257">
        <v>0</v>
      </c>
      <c r="S257">
        <v>12810</v>
      </c>
      <c r="T257">
        <v>9334.1200000000008</v>
      </c>
      <c r="U257">
        <v>3475.88</v>
      </c>
      <c r="V257" t="s">
        <v>32</v>
      </c>
      <c r="W257" t="s">
        <v>33</v>
      </c>
      <c r="X257" t="str">
        <f>_xlfn.TEXTJOIN("|", TRUE, A257:W257)</f>
        <v>ORD-2025-10256|45692|45932|240|OK|CUST-1549|Isha Nair|Corporate|West|Maharashtra|Mumbai|Technology|Phones|Eco Phones 132|First Class|7|1830|0|12810|9334.12|3475.88|Paid|Completed</v>
      </c>
      <c r="Y257">
        <f>COUNTIF($X$2:$X$1000, X257)</f>
        <v>1</v>
      </c>
      <c r="Z257">
        <f>COUNTIF($A$2:$A$1000, A257)</f>
        <v>1</v>
      </c>
      <c r="AA257" t="str">
        <f>IF(Y257&gt;1, "Exact Duplicate",
  IF(Z257&gt;1, "Conflicting Duplicate - Review",
    "Unique"))</f>
        <v>Unique</v>
      </c>
      <c r="AB257" s="2">
        <f>IF(ISBLANK(R257), 0, IF(ISTEXT(R257), VALUE(SUBSTITUTE(R257, "%", ""))/100, IF(OR(R257&lt;0, R257&gt;1), "Invalid", R257)))</f>
        <v>0</v>
      </c>
      <c r="AC257" s="4">
        <f>IF(AB257="Invalid", "Error", P257 * Q257 * (1 - AB257))</f>
        <v>12810</v>
      </c>
      <c r="AD257" s="4">
        <f>IF(AC257="Error", "Error", AC257 - T257)</f>
        <v>3475.8799999999992</v>
      </c>
      <c r="AE257" s="2">
        <f>IF(AC257="Error", "Error", IF(AC257=0, 0, AD257 / AC257))</f>
        <v>0.27134113973458229</v>
      </c>
      <c r="AF257" s="7">
        <f>C257-B257</f>
        <v>240</v>
      </c>
      <c r="AG257" s="2" t="str">
        <f>TEXT(B257, "mmmm")</f>
        <v>February</v>
      </c>
      <c r="AH257" s="4">
        <f>YEAR(B257)</f>
        <v>2025</v>
      </c>
      <c r="AI257" s="2" t="str">
        <f t="shared" si="17"/>
        <v>Clean</v>
      </c>
      <c r="AJ257">
        <f>COUNTIFS($A$2:$A$1000,A257,$B$2:$B$1000,B257,$C$2:$C$1000,C257,$D$2:$D$1000,D257,$E$2:$E$1000,E257,$F$2:$F$1000,F257)</f>
        <v>1</v>
      </c>
      <c r="AK257">
        <f>COUNTIF($A$2:$A$1000, A257)</f>
        <v>1</v>
      </c>
    </row>
    <row r="258" spans="1:37">
      <c r="A258" t="s">
        <v>875</v>
      </c>
      <c r="B258" s="5">
        <v>45601</v>
      </c>
      <c r="C258" s="5">
        <v>45599</v>
      </c>
      <c r="D258" s="6">
        <f>IF(AND(C258&lt;&gt;"",B258&lt;&gt;""), C258-B258, "Missing Date")</f>
        <v>-2</v>
      </c>
      <c r="E258" s="6" t="str">
        <f>IF(OR(B258="",C258=""), "Missing Date",
    IF(C258&lt;B258, "Invalid: Ship before Order",
      "OK"))</f>
        <v>Invalid: Ship before Order</v>
      </c>
      <c r="F258" t="s">
        <v>876</v>
      </c>
      <c r="G258" t="s">
        <v>62</v>
      </c>
      <c r="H258" t="s">
        <v>24</v>
      </c>
      <c r="I258" t="s">
        <v>38</v>
      </c>
      <c r="J258" t="s">
        <v>99</v>
      </c>
      <c r="K258" t="s">
        <v>100</v>
      </c>
      <c r="L258" t="s">
        <v>41</v>
      </c>
      <c r="M258" t="s">
        <v>42</v>
      </c>
      <c r="N258" t="s">
        <v>877</v>
      </c>
      <c r="O258" t="s">
        <v>50</v>
      </c>
      <c r="P258">
        <v>9</v>
      </c>
      <c r="Q258">
        <v>2260.61</v>
      </c>
      <c r="R258">
        <v>0.05</v>
      </c>
      <c r="S258">
        <v>19328.22</v>
      </c>
      <c r="T258">
        <v>12039.5</v>
      </c>
      <c r="U258">
        <v>7288.72</v>
      </c>
      <c r="V258" t="s">
        <v>32</v>
      </c>
      <c r="W258" t="s">
        <v>33</v>
      </c>
      <c r="X258" t="str">
        <f>_xlfn.TEXTJOIN("|", TRUE, A258:W258)</f>
        <v>ORD-2024-10257|45601|45599|-2|Invalid: Ship before Order|CUST-8411|Ananya Rao|Consumer|East|West Bengal|Kolkata|Furniture|Tables|Prime Tables 481|First Class|9|2260.61|0.05|19328.22|12039.5|7288.72|Paid|Completed</v>
      </c>
      <c r="Y258">
        <f>COUNTIF($X$2:$X$1000, X258)</f>
        <v>1</v>
      </c>
      <c r="Z258">
        <f>COUNTIF($A$2:$A$1000, A258)</f>
        <v>1</v>
      </c>
      <c r="AA258" t="str">
        <f>IF(Y258&gt;1, "Exact Duplicate",
  IF(Z258&gt;1, "Conflicting Duplicate - Review",
    "Unique"))</f>
        <v>Unique</v>
      </c>
      <c r="AB258" s="2">
        <f>IF(ISBLANK(R258), 0, IF(ISTEXT(R258), VALUE(SUBSTITUTE(R258, "%", ""))/100, IF(OR(R258&lt;0, R258&gt;1), "Invalid", R258)))</f>
        <v>0.05</v>
      </c>
      <c r="AC258" s="4">
        <f>IF(AB258="Invalid", "Error", P258 * Q258 * (1 - AB258))</f>
        <v>19328.215500000002</v>
      </c>
      <c r="AD258" s="4">
        <f>IF(AC258="Error", "Error", AC258 - T258)</f>
        <v>7288.7155000000021</v>
      </c>
      <c r="AE258" s="2">
        <f>IF(AC258="Error", "Error", IF(AC258=0, 0, AD258 / AC258))</f>
        <v>0.3771023507058891</v>
      </c>
      <c r="AF258" s="7">
        <f>C258-B258</f>
        <v>-2</v>
      </c>
      <c r="AG258" s="2" t="str">
        <f>TEXT(B258, "mmmm")</f>
        <v>November</v>
      </c>
      <c r="AH258" s="4">
        <f>YEAR(B258)</f>
        <v>2024</v>
      </c>
      <c r="AI258" s="2" t="str">
        <f t="shared" si="17"/>
        <v>Invalid Shipping Record</v>
      </c>
      <c r="AJ258">
        <f>COUNTIFS($A$2:$A$1000,A258,$B$2:$B$1000,B258,$C$2:$C$1000,C258,$D$2:$D$1000,D258,$E$2:$E$1000,E258,$F$2:$F$1000,F258)</f>
        <v>1</v>
      </c>
      <c r="AK258">
        <f>COUNTIF($A$2:$A$1000, A258)</f>
        <v>1</v>
      </c>
    </row>
    <row r="259" spans="1:37">
      <c r="A259" t="s">
        <v>878</v>
      </c>
      <c r="B259" s="5">
        <v>45878</v>
      </c>
      <c r="C259" s="5">
        <v>45881</v>
      </c>
      <c r="D259" s="6">
        <f>IF(AND(C259&lt;&gt;"",B259&lt;&gt;""), C259-B259, "Missing Date")</f>
        <v>3</v>
      </c>
      <c r="E259" s="6" t="str">
        <f>IF(OR(B259="",C259=""), "Missing Date",
    IF(C259&lt;B259, "Invalid: Ship before Order",
      "OK"))</f>
        <v>OK</v>
      </c>
      <c r="F259" t="s">
        <v>879</v>
      </c>
      <c r="G259" t="s">
        <v>162</v>
      </c>
      <c r="H259" t="s">
        <v>90</v>
      </c>
      <c r="I259" t="s">
        <v>54</v>
      </c>
      <c r="J259" t="s">
        <v>175</v>
      </c>
      <c r="K259" t="s">
        <v>176</v>
      </c>
      <c r="L259" t="s">
        <v>74</v>
      </c>
      <c r="M259" t="s">
        <v>75</v>
      </c>
      <c r="N259" t="s">
        <v>880</v>
      </c>
      <c r="O259" t="s">
        <v>31</v>
      </c>
      <c r="P259">
        <v>2</v>
      </c>
      <c r="Q259">
        <v>3237.27</v>
      </c>
      <c r="R259">
        <v>0</v>
      </c>
      <c r="S259">
        <v>6474.54</v>
      </c>
      <c r="T259">
        <v>5095.91</v>
      </c>
      <c r="U259">
        <v>1378.63</v>
      </c>
      <c r="V259" t="s">
        <v>32</v>
      </c>
      <c r="W259" t="s">
        <v>68</v>
      </c>
      <c r="X259" t="str">
        <f>_xlfn.TEXTJOIN("|", TRUE, A259:W259)</f>
        <v>ORD-2025-10258|45878|45881|3|OK|CUST-5615|Diya Patel|Corporate|South|Karnataka|Bengaluru|Technology|Accessories|Smart Accessories 180|Second Class|2|3237.27|0|6474.54|5095.91|1378.63|Paid|Cancelled</v>
      </c>
      <c r="Y259">
        <f>COUNTIF($X$2:$X$1000, X259)</f>
        <v>1</v>
      </c>
      <c r="Z259">
        <f>COUNTIF($A$2:$A$1000, A259)</f>
        <v>1</v>
      </c>
      <c r="AA259" t="str">
        <f>IF(Y259&gt;1, "Exact Duplicate",
  IF(Z259&gt;1, "Conflicting Duplicate - Review",
    "Unique"))</f>
        <v>Unique</v>
      </c>
      <c r="AB259" s="2">
        <f>IF(ISBLANK(R259), 0, IF(ISTEXT(R259), VALUE(SUBSTITUTE(R259, "%", ""))/100, IF(OR(R259&lt;0, R259&gt;1), "Invalid", R259)))</f>
        <v>0</v>
      </c>
      <c r="AC259" s="4">
        <f>IF(AB259="Invalid", "Error", P259 * Q259 * (1 - AB259))</f>
        <v>6474.54</v>
      </c>
      <c r="AD259" s="4">
        <f>IF(AC259="Error", "Error", AC259 - T259)</f>
        <v>1378.63</v>
      </c>
      <c r="AE259" s="2">
        <f>IF(AC259="Error", "Error", IF(AC259=0, 0, AD259 / AC259))</f>
        <v>0.21293095725719513</v>
      </c>
      <c r="AF259" s="7">
        <f>C259-B259</f>
        <v>3</v>
      </c>
      <c r="AG259" s="2" t="str">
        <f>TEXT(B259, "mmmm")</f>
        <v>August</v>
      </c>
      <c r="AH259" s="4">
        <f>YEAR(B259)</f>
        <v>2025</v>
      </c>
      <c r="AI259" s="2" t="str">
        <f t="shared" ref="AI259:AI322" si="18">IF(OR(R259&lt;0,R259&gt;1),"Invalid: Discount",
IF(AND(I259="Unknown",J259&lt;&gt;""),"Warning: Missing Region",
IF(W259="Cancelled","Excluded from Sales",
IF(V259="Failed","Excluded from Sales",
IF(O259="Unknown","Warning: Missing Shipping Mode",
IF(W259="Refunded","Refund – Separate Summary",
IF(C259&lt;B259,"Invalid Shipping Record",
"Clean")))))))</f>
        <v>Excluded from Sales</v>
      </c>
      <c r="AJ259">
        <f>COUNTIFS($A$2:$A$1000,A259,$B$2:$B$1000,B259,$C$2:$C$1000,C259,$D$2:$D$1000,D259,$E$2:$E$1000,E259,$F$2:$F$1000,F259)</f>
        <v>1</v>
      </c>
      <c r="AK259">
        <f>COUNTIF($A$2:$A$1000, A259)</f>
        <v>1</v>
      </c>
    </row>
    <row r="260" spans="1:37">
      <c r="A260" t="s">
        <v>881</v>
      </c>
      <c r="B260" s="5">
        <v>45656</v>
      </c>
      <c r="C260" s="5">
        <v>45661</v>
      </c>
      <c r="D260" s="6">
        <f>IF(AND(C260&lt;&gt;"",B260&lt;&gt;""), C260-B260, "Missing Date")</f>
        <v>5</v>
      </c>
      <c r="E260" s="6" t="str">
        <f>IF(OR(B260="",C260=""), "Missing Date",
    IF(C260&lt;B260, "Invalid: Ship before Order",
      "OK"))</f>
        <v>OK</v>
      </c>
      <c r="F260" t="s">
        <v>882</v>
      </c>
      <c r="G260" t="s">
        <v>132</v>
      </c>
      <c r="H260" t="s">
        <v>90</v>
      </c>
      <c r="I260" t="s">
        <v>54</v>
      </c>
      <c r="J260" t="s">
        <v>247</v>
      </c>
      <c r="K260" t="s">
        <v>248</v>
      </c>
      <c r="L260" t="s">
        <v>41</v>
      </c>
      <c r="M260" t="s">
        <v>42</v>
      </c>
      <c r="N260" t="s">
        <v>883</v>
      </c>
      <c r="O260" t="s">
        <v>44</v>
      </c>
      <c r="P260">
        <v>2</v>
      </c>
      <c r="Q260">
        <v>3720.07</v>
      </c>
      <c r="R260">
        <v>0.25</v>
      </c>
      <c r="S260">
        <v>5580.11</v>
      </c>
      <c r="T260">
        <v>4307.01</v>
      </c>
      <c r="U260">
        <v>1273.0999999999999</v>
      </c>
      <c r="V260" t="s">
        <v>32</v>
      </c>
      <c r="W260" t="s">
        <v>33</v>
      </c>
      <c r="X260" t="str">
        <f>_xlfn.TEXTJOIN("|", TRUE, A260:W260)</f>
        <v>ORD-2024-10259|45656|45661|5|OK|CUST-8467|Sneha Kapoor|Corporate|South|Tamil Nadu|Chennai|Furniture|Tables|Smart Tables 774|Same Day|2|3720.07|0.25|5580.11|4307.01|1273.1|Paid|Completed</v>
      </c>
      <c r="Y260">
        <f>COUNTIF($X$2:$X$1000, X260)</f>
        <v>1</v>
      </c>
      <c r="Z260">
        <f>COUNTIF($A$2:$A$1000, A260)</f>
        <v>1</v>
      </c>
      <c r="AA260" t="str">
        <f>IF(Y260&gt;1, "Exact Duplicate",
  IF(Z260&gt;1, "Conflicting Duplicate - Review",
    "Unique"))</f>
        <v>Unique</v>
      </c>
      <c r="AB260" s="2">
        <f>IF(ISBLANK(R260), 0, IF(ISTEXT(R260), VALUE(SUBSTITUTE(R260, "%", ""))/100, IF(OR(R260&lt;0, R260&gt;1), "Invalid", R260)))</f>
        <v>0.25</v>
      </c>
      <c r="AC260" s="4">
        <f>IF(AB260="Invalid", "Error", P260 * Q260 * (1 - AB260))</f>
        <v>5580.1050000000005</v>
      </c>
      <c r="AD260" s="4">
        <f>IF(AC260="Error", "Error", AC260 - T260)</f>
        <v>1273.0950000000003</v>
      </c>
      <c r="AE260" s="2">
        <f>IF(AC260="Error", "Error", IF(AC260=0, 0, AD260 / AC260))</f>
        <v>0.22814893268137429</v>
      </c>
      <c r="AF260" s="7">
        <f>C260-B260</f>
        <v>5</v>
      </c>
      <c r="AG260" s="2" t="str">
        <f>TEXT(B260, "mmmm")</f>
        <v>December</v>
      </c>
      <c r="AH260" s="4">
        <f>YEAR(B260)</f>
        <v>2024</v>
      </c>
      <c r="AI260" s="2" t="str">
        <f t="shared" si="18"/>
        <v>Clean</v>
      </c>
      <c r="AJ260">
        <f>COUNTIFS($A$2:$A$1000,A260,$B$2:$B$1000,B260,$C$2:$C$1000,C260,$D$2:$D$1000,D260,$E$2:$E$1000,E260,$F$2:$F$1000,F260)</f>
        <v>1</v>
      </c>
      <c r="AK260">
        <f>COUNTIF($A$2:$A$1000, A260)</f>
        <v>1</v>
      </c>
    </row>
    <row r="261" spans="1:37">
      <c r="A261" t="s">
        <v>884</v>
      </c>
      <c r="B261" s="5">
        <v>45464</v>
      </c>
      <c r="C261" s="5">
        <v>45472</v>
      </c>
      <c r="D261" s="6">
        <f>IF(AND(C261&lt;&gt;"",B261&lt;&gt;""), C261-B261, "Missing Date")</f>
        <v>8</v>
      </c>
      <c r="E261" s="6" t="str">
        <f>IF(OR(B261="",C261=""), "Missing Date",
    IF(C261&lt;B261, "Invalid: Ship before Order",
      "OK"))</f>
        <v>OK</v>
      </c>
      <c r="F261" t="s">
        <v>885</v>
      </c>
      <c r="G261" t="s">
        <v>79</v>
      </c>
      <c r="H261" t="s">
        <v>24</v>
      </c>
      <c r="I261" t="s">
        <v>54</v>
      </c>
      <c r="J261" t="s">
        <v>247</v>
      </c>
      <c r="K261" t="s">
        <v>248</v>
      </c>
      <c r="L261" t="s">
        <v>74</v>
      </c>
      <c r="M261" t="s">
        <v>274</v>
      </c>
      <c r="N261" t="s">
        <v>886</v>
      </c>
      <c r="O261" t="s">
        <v>59</v>
      </c>
      <c r="P261">
        <v>8</v>
      </c>
      <c r="Q261">
        <v>2853.92</v>
      </c>
      <c r="R261">
        <v>0.2</v>
      </c>
      <c r="S261">
        <v>18265.09</v>
      </c>
      <c r="T261">
        <v>10437.14</v>
      </c>
      <c r="U261">
        <v>7827.95</v>
      </c>
      <c r="V261" t="s">
        <v>32</v>
      </c>
      <c r="W261" t="s">
        <v>33</v>
      </c>
      <c r="X261" t="str">
        <f>_xlfn.TEXTJOIN("|", TRUE, A261:W261)</f>
        <v>ORD-2024-10260|45464|45472|8|OK|CUST-5174|Neha Gupta|Consumer|South|Tamil Nadu|Chennai|Technology|Machines|Prime Machines 793|Standard Class|8|2853.92|0.2|18265.09|10437.14|7827.95|Paid|Completed</v>
      </c>
      <c r="Y261">
        <f>COUNTIF($X$2:$X$1000, X261)</f>
        <v>1</v>
      </c>
      <c r="Z261">
        <f>COUNTIF($A$2:$A$1000, A261)</f>
        <v>1</v>
      </c>
      <c r="AA261" t="str">
        <f>IF(Y261&gt;1, "Exact Duplicate",
  IF(Z261&gt;1, "Conflicting Duplicate - Review",
    "Unique"))</f>
        <v>Unique</v>
      </c>
      <c r="AB261" s="2">
        <f>IF(ISBLANK(R261), 0, IF(ISTEXT(R261), VALUE(SUBSTITUTE(R261, "%", ""))/100, IF(OR(R261&lt;0, R261&gt;1), "Invalid", R261)))</f>
        <v>0.2</v>
      </c>
      <c r="AC261" s="4">
        <f>IF(AB261="Invalid", "Error", P261 * Q261 * (1 - AB261))</f>
        <v>18265.088</v>
      </c>
      <c r="AD261" s="4">
        <f>IF(AC261="Error", "Error", AC261 - T261)</f>
        <v>7827.9480000000003</v>
      </c>
      <c r="AE261" s="2">
        <f>IF(AC261="Error", "Error", IF(AC261=0, 0, AD261 / AC261))</f>
        <v>0.42857433810338064</v>
      </c>
      <c r="AF261" s="7">
        <f>C261-B261</f>
        <v>8</v>
      </c>
      <c r="AG261" s="2" t="str">
        <f>TEXT(B261, "mmmm")</f>
        <v>June</v>
      </c>
      <c r="AH261" s="4">
        <f>YEAR(B261)</f>
        <v>2024</v>
      </c>
      <c r="AI261" s="2" t="str">
        <f t="shared" si="18"/>
        <v>Clean</v>
      </c>
      <c r="AJ261">
        <f>COUNTIFS($A$2:$A$1000,A261,$B$2:$B$1000,B261,$C$2:$C$1000,C261,$D$2:$D$1000,D261,$E$2:$E$1000,E261,$F$2:$F$1000,F261)</f>
        <v>1</v>
      </c>
      <c r="AK261">
        <f>COUNTIF($A$2:$A$1000, A261)</f>
        <v>1</v>
      </c>
    </row>
    <row r="262" spans="1:37">
      <c r="A262" t="s">
        <v>887</v>
      </c>
      <c r="B262" s="5">
        <v>45923</v>
      </c>
      <c r="C262" s="5">
        <v>45927</v>
      </c>
      <c r="D262" s="6">
        <f>IF(AND(C262&lt;&gt;"",B262&lt;&gt;""), C262-B262, "Missing Date")</f>
        <v>4</v>
      </c>
      <c r="E262" s="6" t="str">
        <f>IF(OR(B262="",C262=""), "Missing Date",
    IF(C262&lt;B262, "Invalid: Ship before Order",
      "OK"))</f>
        <v>OK</v>
      </c>
      <c r="F262" t="s">
        <v>888</v>
      </c>
      <c r="G262" t="s">
        <v>89</v>
      </c>
      <c r="H262" t="s">
        <v>90</v>
      </c>
      <c r="I262" t="s">
        <v>38</v>
      </c>
      <c r="J262" t="s">
        <v>99</v>
      </c>
      <c r="K262" t="s">
        <v>100</v>
      </c>
      <c r="L262" t="s">
        <v>28</v>
      </c>
      <c r="M262" t="s">
        <v>153</v>
      </c>
      <c r="N262" t="s">
        <v>889</v>
      </c>
      <c r="O262" t="s">
        <v>44</v>
      </c>
      <c r="P262">
        <v>7</v>
      </c>
      <c r="Q262">
        <v>2897.12</v>
      </c>
      <c r="R262">
        <v>0.25</v>
      </c>
      <c r="S262">
        <v>15209.88</v>
      </c>
      <c r="T262">
        <v>10891.15</v>
      </c>
      <c r="U262">
        <v>4318.7299999999996</v>
      </c>
      <c r="V262" t="s">
        <v>155</v>
      </c>
      <c r="W262" t="s">
        <v>103</v>
      </c>
      <c r="X262" t="str">
        <f>_xlfn.TEXTJOIN("|", TRUE, A262:W262)</f>
        <v>ORD-2025-10261|45923|45927|4|OK|CUST-3543|Aditi Sen|Corporate|East|West Bengal|Kolkata|Office Supplies|Binders|Elite Binders 827|Same Day|7|2897.12|0.25|15209.88|10891.15|4318.73|Failed|Returned</v>
      </c>
      <c r="Y262">
        <f>COUNTIF($X$2:$X$1000, X262)</f>
        <v>1</v>
      </c>
      <c r="Z262">
        <f>COUNTIF($A$2:$A$1000, A262)</f>
        <v>1</v>
      </c>
      <c r="AA262" t="str">
        <f>IF(Y262&gt;1, "Exact Duplicate",
  IF(Z262&gt;1, "Conflicting Duplicate - Review",
    "Unique"))</f>
        <v>Unique</v>
      </c>
      <c r="AB262" s="2">
        <f>IF(ISBLANK(R262), 0, IF(ISTEXT(R262), VALUE(SUBSTITUTE(R262, "%", ""))/100, IF(OR(R262&lt;0, R262&gt;1), "Invalid", R262)))</f>
        <v>0.25</v>
      </c>
      <c r="AC262" s="4">
        <f>IF(AB262="Invalid", "Error", P262 * Q262 * (1 - AB262))</f>
        <v>15209.880000000001</v>
      </c>
      <c r="AD262" s="4">
        <f>IF(AC262="Error", "Error", AC262 - T262)</f>
        <v>4318.7300000000014</v>
      </c>
      <c r="AE262" s="2">
        <f>IF(AC262="Error", "Error", IF(AC262=0, 0, AD262 / AC262))</f>
        <v>0.28394241111698454</v>
      </c>
      <c r="AF262" s="7">
        <f>C262-B262</f>
        <v>4</v>
      </c>
      <c r="AG262" s="2" t="str">
        <f>TEXT(B262, "mmmm")</f>
        <v>September</v>
      </c>
      <c r="AH262" s="4">
        <f>YEAR(B262)</f>
        <v>2025</v>
      </c>
      <c r="AI262" s="2" t="str">
        <f t="shared" si="18"/>
        <v>Excluded from Sales</v>
      </c>
      <c r="AJ262">
        <f>COUNTIFS($A$2:$A$1000,A262,$B$2:$B$1000,B262,$C$2:$C$1000,C262,$D$2:$D$1000,D262,$E$2:$E$1000,E262,$F$2:$F$1000,F262)</f>
        <v>1</v>
      </c>
      <c r="AK262">
        <f>COUNTIF($A$2:$A$1000, A262)</f>
        <v>1</v>
      </c>
    </row>
    <row r="263" spans="1:37">
      <c r="A263" t="s">
        <v>890</v>
      </c>
      <c r="B263" s="5">
        <v>45826</v>
      </c>
      <c r="C263" s="5">
        <v>45832</v>
      </c>
      <c r="D263" s="6">
        <f>IF(AND(C263&lt;&gt;"",B263&lt;&gt;""), C263-B263, "Missing Date")</f>
        <v>6</v>
      </c>
      <c r="E263" s="6" t="str">
        <f>IF(OR(B263="",C263=""), "Missing Date",
    IF(C263&lt;B263, "Invalid: Ship before Order",
      "OK"))</f>
        <v>OK</v>
      </c>
      <c r="F263" t="s">
        <v>891</v>
      </c>
      <c r="G263" t="s">
        <v>132</v>
      </c>
      <c r="H263" t="s">
        <v>90</v>
      </c>
      <c r="I263" t="s">
        <v>25</v>
      </c>
      <c r="J263" t="s">
        <v>26</v>
      </c>
      <c r="K263" t="s">
        <v>27</v>
      </c>
      <c r="L263" t="s">
        <v>28</v>
      </c>
      <c r="M263" t="s">
        <v>91</v>
      </c>
      <c r="N263" t="s">
        <v>892</v>
      </c>
      <c r="O263" t="s">
        <v>59</v>
      </c>
      <c r="P263">
        <v>3</v>
      </c>
      <c r="Q263">
        <v>686.74</v>
      </c>
      <c r="R263">
        <v>0.2</v>
      </c>
      <c r="S263">
        <v>1648.18</v>
      </c>
      <c r="T263">
        <v>987.91</v>
      </c>
      <c r="U263">
        <v>660.27</v>
      </c>
      <c r="V263" t="s">
        <v>155</v>
      </c>
      <c r="W263" t="s">
        <v>68</v>
      </c>
      <c r="X263" t="str">
        <f>_xlfn.TEXTJOIN("|", TRUE, A263:W263)</f>
        <v>ORD-2025-10262|45826|45832|6|OK|CUST-7623|Sneha Kapoor|Corporate|North|Rajasthan|Jaipur|Office Supplies|Labels|Prime Labels 326|Standard Class|3|686.74|0.2|1648.18|987.91|660.27|Failed|Cancelled</v>
      </c>
      <c r="Y263">
        <f>COUNTIF($X$2:$X$1000, X263)</f>
        <v>1</v>
      </c>
      <c r="Z263">
        <f>COUNTIF($A$2:$A$1000, A263)</f>
        <v>1</v>
      </c>
      <c r="AA263" t="str">
        <f>IF(Y263&gt;1, "Exact Duplicate",
  IF(Z263&gt;1, "Conflicting Duplicate - Review",
    "Unique"))</f>
        <v>Unique</v>
      </c>
      <c r="AB263" s="2">
        <f>IF(ISBLANK(R263), 0, IF(ISTEXT(R263), VALUE(SUBSTITUTE(R263, "%", ""))/100, IF(OR(R263&lt;0, R263&gt;1), "Invalid", R263)))</f>
        <v>0.2</v>
      </c>
      <c r="AC263" s="4">
        <f>IF(AB263="Invalid", "Error", P263 * Q263 * (1 - AB263))</f>
        <v>1648.1760000000004</v>
      </c>
      <c r="AD263" s="4">
        <f>IF(AC263="Error", "Error", AC263 - T263)</f>
        <v>660.26600000000042</v>
      </c>
      <c r="AE263" s="2">
        <f>IF(AC263="Error", "Error", IF(AC263=0, 0, AD263 / AC263))</f>
        <v>0.40060406170214846</v>
      </c>
      <c r="AF263" s="7">
        <f>C263-B263</f>
        <v>6</v>
      </c>
      <c r="AG263" s="2" t="str">
        <f>TEXT(B263, "mmmm")</f>
        <v>June</v>
      </c>
      <c r="AH263" s="4">
        <f>YEAR(B263)</f>
        <v>2025</v>
      </c>
      <c r="AI263" s="2" t="str">
        <f t="shared" si="18"/>
        <v>Excluded from Sales</v>
      </c>
      <c r="AJ263">
        <f>COUNTIFS($A$2:$A$1000,A263,$B$2:$B$1000,B263,$C$2:$C$1000,C263,$D$2:$D$1000,D263,$E$2:$E$1000,E263,$F$2:$F$1000,F263)</f>
        <v>1</v>
      </c>
      <c r="AK263">
        <f>COUNTIF($A$2:$A$1000, A263)</f>
        <v>1</v>
      </c>
    </row>
    <row r="264" spans="1:37">
      <c r="A264" t="s">
        <v>893</v>
      </c>
      <c r="B264" s="5">
        <v>45803</v>
      </c>
      <c r="C264" s="5">
        <v>45809</v>
      </c>
      <c r="D264" s="6">
        <f>IF(AND(C264&lt;&gt;"",B264&lt;&gt;""), C264-B264, "Missing Date")</f>
        <v>6</v>
      </c>
      <c r="E264" s="6" t="str">
        <f>IF(OR(B264="",C264=""), "Missing Date",
    IF(C264&lt;B264, "Invalid: Ship before Order",
      "OK"))</f>
        <v>OK</v>
      </c>
      <c r="F264" t="s">
        <v>629</v>
      </c>
      <c r="G264" t="s">
        <v>53</v>
      </c>
      <c r="H264" t="s">
        <v>37</v>
      </c>
      <c r="I264" t="s">
        <v>25</v>
      </c>
      <c r="J264" t="s">
        <v>350</v>
      </c>
      <c r="K264" t="s">
        <v>351</v>
      </c>
      <c r="L264" t="s">
        <v>74</v>
      </c>
      <c r="M264" t="s">
        <v>171</v>
      </c>
      <c r="N264" t="s">
        <v>894</v>
      </c>
      <c r="O264" t="s">
        <v>44</v>
      </c>
      <c r="P264">
        <v>4</v>
      </c>
      <c r="Q264">
        <v>3349.86</v>
      </c>
      <c r="R264">
        <v>0</v>
      </c>
      <c r="S264">
        <v>13399.44</v>
      </c>
      <c r="T264">
        <v>8581.35</v>
      </c>
      <c r="U264">
        <v>4818.09</v>
      </c>
      <c r="V264" t="s">
        <v>111</v>
      </c>
      <c r="W264" t="s">
        <v>103</v>
      </c>
      <c r="X264" t="str">
        <f>_xlfn.TEXTJOIN("|", TRUE, A264:W264)</f>
        <v>ORD-2025-10263|45803|45809|6|OK|CUST-6153|Arjun Bose|Small Business|North|Delhi|New Delhi|Technology|Phones|Eco Phones 245|Same Day|4|3349.86|0|13399.44|8581.35|4818.09|Pending|Returned</v>
      </c>
      <c r="Y264">
        <f>COUNTIF($X$2:$X$1000, X264)</f>
        <v>1</v>
      </c>
      <c r="Z264">
        <f>COUNTIF($A$2:$A$1000, A264)</f>
        <v>1</v>
      </c>
      <c r="AA264" t="str">
        <f>IF(Y264&gt;1, "Exact Duplicate",
  IF(Z264&gt;1, "Conflicting Duplicate - Review",
    "Unique"))</f>
        <v>Unique</v>
      </c>
      <c r="AB264" s="2">
        <f>IF(ISBLANK(R264), 0, IF(ISTEXT(R264), VALUE(SUBSTITUTE(R264, "%", ""))/100, IF(OR(R264&lt;0, R264&gt;1), "Invalid", R264)))</f>
        <v>0</v>
      </c>
      <c r="AC264" s="4">
        <f>IF(AB264="Invalid", "Error", P264 * Q264 * (1 - AB264))</f>
        <v>13399.44</v>
      </c>
      <c r="AD264" s="4">
        <f>IF(AC264="Error", "Error", AC264 - T264)</f>
        <v>4818.09</v>
      </c>
      <c r="AE264" s="2">
        <f>IF(AC264="Error", "Error", IF(AC264=0, 0, AD264 / AC264))</f>
        <v>0.3595739821962709</v>
      </c>
      <c r="AF264" s="7">
        <f>C264-B264</f>
        <v>6</v>
      </c>
      <c r="AG264" s="2" t="str">
        <f>TEXT(B264, "mmmm")</f>
        <v>May</v>
      </c>
      <c r="AH264" s="4">
        <f>YEAR(B264)</f>
        <v>2025</v>
      </c>
      <c r="AI264" s="2" t="str">
        <f t="shared" si="18"/>
        <v>Clean</v>
      </c>
      <c r="AJ264">
        <f>COUNTIFS($A$2:$A$1000,A264,$B$2:$B$1000,B264,$C$2:$C$1000,C264,$D$2:$D$1000,D264,$E$2:$E$1000,E264,$F$2:$F$1000,F264)</f>
        <v>1</v>
      </c>
      <c r="AK264">
        <f>COUNTIF($A$2:$A$1000, A264)</f>
        <v>1</v>
      </c>
    </row>
    <row r="265" spans="1:37">
      <c r="A265" t="s">
        <v>895</v>
      </c>
      <c r="B265" s="5">
        <v>45875</v>
      </c>
      <c r="C265" s="5">
        <v>45879</v>
      </c>
      <c r="D265" s="6">
        <f>IF(AND(C265&lt;&gt;"",B265&lt;&gt;""), C265-B265, "Missing Date")</f>
        <v>4</v>
      </c>
      <c r="E265" s="6" t="str">
        <f>IF(OR(B265="",C265=""), "Missing Date",
    IF(C265&lt;B265, "Invalid: Ship before Order",
      "OK"))</f>
        <v>OK</v>
      </c>
      <c r="F265" t="s">
        <v>896</v>
      </c>
      <c r="G265" t="s">
        <v>141</v>
      </c>
      <c r="H265" t="s">
        <v>37</v>
      </c>
      <c r="I265" t="s">
        <v>25</v>
      </c>
      <c r="J265" t="s">
        <v>350</v>
      </c>
      <c r="K265" t="s">
        <v>351</v>
      </c>
      <c r="L265" t="s">
        <v>28</v>
      </c>
      <c r="M265" t="s">
        <v>153</v>
      </c>
      <c r="N265" t="s">
        <v>897</v>
      </c>
      <c r="O265" t="s">
        <v>31</v>
      </c>
      <c r="P265">
        <v>9</v>
      </c>
      <c r="Q265">
        <v>4042.45</v>
      </c>
      <c r="R265">
        <v>0.1</v>
      </c>
      <c r="S265">
        <v>32743.84</v>
      </c>
      <c r="T265">
        <v>22452.05</v>
      </c>
      <c r="U265">
        <v>10291.790000000001</v>
      </c>
      <c r="V265" t="s">
        <v>111</v>
      </c>
      <c r="W265" t="s">
        <v>103</v>
      </c>
      <c r="X265" t="str">
        <f>_xlfn.TEXTJOIN("|", TRUE, A265:W265)</f>
        <v>ORD-2025-10264|45875|45879|4|OK|CUST-8265|Rohan Mehta|Small Business|North|Delhi|New Delhi|Office Supplies|Binders|Smart Binders 905|Second Class|9|4042.45|0.1|32743.84|22452.05|10291.79|Pending|Returned</v>
      </c>
      <c r="Y265">
        <f>COUNTIF($X$2:$X$1000, X265)</f>
        <v>1</v>
      </c>
      <c r="Z265">
        <f>COUNTIF($A$2:$A$1000, A265)</f>
        <v>1</v>
      </c>
      <c r="AA265" t="str">
        <f>IF(Y265&gt;1, "Exact Duplicate",
  IF(Z265&gt;1, "Conflicting Duplicate - Review",
    "Unique"))</f>
        <v>Unique</v>
      </c>
      <c r="AB265" s="2">
        <f>IF(ISBLANK(R265), 0, IF(ISTEXT(R265), VALUE(SUBSTITUTE(R265, "%", ""))/100, IF(OR(R265&lt;0, R265&gt;1), "Invalid", R265)))</f>
        <v>0.1</v>
      </c>
      <c r="AC265" s="4">
        <f>IF(AB265="Invalid", "Error", P265 * Q265 * (1 - AB265))</f>
        <v>32743.844999999998</v>
      </c>
      <c r="AD265" s="4">
        <f>IF(AC265="Error", "Error", AC265 - T265)</f>
        <v>10291.794999999998</v>
      </c>
      <c r="AE265" s="2">
        <f>IF(AC265="Error", "Error", IF(AC265=0, 0, AD265 / AC265))</f>
        <v>0.314312353970647</v>
      </c>
      <c r="AF265" s="7">
        <f>C265-B265</f>
        <v>4</v>
      </c>
      <c r="AG265" s="2" t="str">
        <f>TEXT(B265, "mmmm")</f>
        <v>August</v>
      </c>
      <c r="AH265" s="4">
        <f>YEAR(B265)</f>
        <v>2025</v>
      </c>
      <c r="AI265" s="2" t="str">
        <f t="shared" si="18"/>
        <v>Clean</v>
      </c>
      <c r="AJ265">
        <f>COUNTIFS($A$2:$A$1000,A265,$B$2:$B$1000,B265,$C$2:$C$1000,C265,$D$2:$D$1000,D265,$E$2:$E$1000,E265,$F$2:$F$1000,F265)</f>
        <v>1</v>
      </c>
      <c r="AK265">
        <f>COUNTIF($A$2:$A$1000, A265)</f>
        <v>1</v>
      </c>
    </row>
    <row r="266" spans="1:37">
      <c r="A266" t="s">
        <v>898</v>
      </c>
      <c r="B266" s="5">
        <v>45428</v>
      </c>
      <c r="C266" s="5">
        <v>45433</v>
      </c>
      <c r="D266" s="6">
        <f>IF(AND(C266&lt;&gt;"",B266&lt;&gt;""), C266-B266, "Missing Date")</f>
        <v>5</v>
      </c>
      <c r="E266" s="6" t="str">
        <f>IF(OR(B266="",C266=""), "Missing Date",
    IF(C266&lt;B266, "Invalid: Ship before Order",
      "OK"))</f>
        <v>OK</v>
      </c>
      <c r="F266" t="s">
        <v>899</v>
      </c>
      <c r="G266" t="s">
        <v>162</v>
      </c>
      <c r="H266" t="s">
        <v>37</v>
      </c>
      <c r="I266" t="s">
        <v>38</v>
      </c>
      <c r="J266" t="s">
        <v>145</v>
      </c>
      <c r="K266" t="s">
        <v>146</v>
      </c>
      <c r="L266" t="s">
        <v>74</v>
      </c>
      <c r="M266" t="s">
        <v>80</v>
      </c>
      <c r="N266" t="s">
        <v>900</v>
      </c>
      <c r="O266" t="s">
        <v>59</v>
      </c>
      <c r="P266">
        <v>4</v>
      </c>
      <c r="Q266">
        <v>1503.07</v>
      </c>
      <c r="R266">
        <v>0</v>
      </c>
      <c r="S266">
        <v>6012.28</v>
      </c>
      <c r="T266">
        <v>3927.64</v>
      </c>
      <c r="U266">
        <v>2084.64</v>
      </c>
      <c r="V266" t="s">
        <v>32</v>
      </c>
      <c r="W266" t="s">
        <v>33</v>
      </c>
      <c r="X266" t="str">
        <f>_xlfn.TEXTJOIN("|", TRUE, A266:W266)</f>
        <v>ORD-2024-10265|45428|45433|5|OK|CUST-4750|Diya Patel|Small Business|East|Bihar|Patna|Technology|Copiers|Pro Copiers 599|Standard Class|4|1503.07|0|6012.28|3927.64|2084.64|Paid|Completed</v>
      </c>
      <c r="Y266">
        <f>COUNTIF($X$2:$X$1000, X266)</f>
        <v>1</v>
      </c>
      <c r="Z266">
        <f>COUNTIF($A$2:$A$1000, A266)</f>
        <v>1</v>
      </c>
      <c r="AA266" t="str">
        <f>IF(Y266&gt;1, "Exact Duplicate",
  IF(Z266&gt;1, "Conflicting Duplicate - Review",
    "Unique"))</f>
        <v>Unique</v>
      </c>
      <c r="AB266" s="2">
        <f>IF(ISBLANK(R266), 0, IF(ISTEXT(R266), VALUE(SUBSTITUTE(R266, "%", ""))/100, IF(OR(R266&lt;0, R266&gt;1), "Invalid", R266)))</f>
        <v>0</v>
      </c>
      <c r="AC266" s="4">
        <f>IF(AB266="Invalid", "Error", P266 * Q266 * (1 - AB266))</f>
        <v>6012.28</v>
      </c>
      <c r="AD266" s="4">
        <f>IF(AC266="Error", "Error", AC266 - T266)</f>
        <v>2084.64</v>
      </c>
      <c r="AE266" s="2">
        <f>IF(AC266="Error", "Error", IF(AC266=0, 0, AD266 / AC266))</f>
        <v>0.34673035853286938</v>
      </c>
      <c r="AF266" s="7">
        <f>C266-B266</f>
        <v>5</v>
      </c>
      <c r="AG266" s="2" t="str">
        <f>TEXT(B266, "mmmm")</f>
        <v>May</v>
      </c>
      <c r="AH266" s="4">
        <f>YEAR(B266)</f>
        <v>2024</v>
      </c>
      <c r="AI266" s="2" t="str">
        <f t="shared" si="18"/>
        <v>Clean</v>
      </c>
      <c r="AJ266">
        <f>COUNTIFS($A$2:$A$1000,A266,$B$2:$B$1000,B266,$C$2:$C$1000,C266,$D$2:$D$1000,D266,$E$2:$E$1000,E266,$F$2:$F$1000,F266)</f>
        <v>1</v>
      </c>
      <c r="AK266">
        <f>COUNTIF($A$2:$A$1000, A266)</f>
        <v>1</v>
      </c>
    </row>
    <row r="267" spans="1:37">
      <c r="A267" t="s">
        <v>901</v>
      </c>
      <c r="B267" s="5">
        <v>45610</v>
      </c>
      <c r="C267" s="5">
        <v>45618</v>
      </c>
      <c r="D267" s="6">
        <f>IF(AND(C267&lt;&gt;"",B267&lt;&gt;""), C267-B267, "Missing Date")</f>
        <v>8</v>
      </c>
      <c r="E267" s="6" t="str">
        <f>IF(OR(B267="",C267=""), "Missing Date",
    IF(C267&lt;B267, "Invalid: Ship before Order",
      "OK"))</f>
        <v>OK</v>
      </c>
      <c r="F267" t="s">
        <v>902</v>
      </c>
      <c r="G267" t="s">
        <v>114</v>
      </c>
      <c r="H267" t="s">
        <v>90</v>
      </c>
      <c r="I267" t="s">
        <v>38</v>
      </c>
      <c r="J267" t="s">
        <v>145</v>
      </c>
      <c r="K267" t="s">
        <v>146</v>
      </c>
      <c r="L267" t="s">
        <v>41</v>
      </c>
      <c r="M267" t="s">
        <v>158</v>
      </c>
      <c r="N267" t="s">
        <v>903</v>
      </c>
      <c r="O267" t="s">
        <v>44</v>
      </c>
      <c r="P267">
        <v>1</v>
      </c>
      <c r="Q267">
        <v>582.37</v>
      </c>
      <c r="R267">
        <v>0.15</v>
      </c>
      <c r="S267">
        <v>495.01</v>
      </c>
      <c r="T267">
        <v>285.13</v>
      </c>
      <c r="U267">
        <v>209.88</v>
      </c>
      <c r="V267" t="s">
        <v>102</v>
      </c>
      <c r="W267" t="s">
        <v>68</v>
      </c>
      <c r="X267" t="str">
        <f>_xlfn.TEXTJOIN("|", TRUE, A267:W267)</f>
        <v>ORD-2024-10266|45610|45618|8|OK|CUST-3974|Priya Menon|Corporate|East|Bihar|Patna|Furniture|Bookcases|Basic Bookcases 570|Same Day|1|582.37|0.15|495.01|285.13|209.88|Refunded|Cancelled</v>
      </c>
      <c r="Y267">
        <f>COUNTIF($X$2:$X$1000, X267)</f>
        <v>1</v>
      </c>
      <c r="Z267">
        <f>COUNTIF($A$2:$A$1000, A267)</f>
        <v>1</v>
      </c>
      <c r="AA267" t="str">
        <f>IF(Y267&gt;1, "Exact Duplicate",
  IF(Z267&gt;1, "Conflicting Duplicate - Review",
    "Unique"))</f>
        <v>Unique</v>
      </c>
      <c r="AB267" s="2">
        <f>IF(ISBLANK(R267), 0, IF(ISTEXT(R267), VALUE(SUBSTITUTE(R267, "%", ""))/100, IF(OR(R267&lt;0, R267&gt;1), "Invalid", R267)))</f>
        <v>0.15</v>
      </c>
      <c r="AC267" s="4">
        <f>IF(AB267="Invalid", "Error", P267 * Q267 * (1 - AB267))</f>
        <v>495.0145</v>
      </c>
      <c r="AD267" s="4">
        <f>IF(AC267="Error", "Error", AC267 - T267)</f>
        <v>209.8845</v>
      </c>
      <c r="AE267" s="2">
        <f>IF(AC267="Error", "Error", IF(AC267=0, 0, AD267 / AC267))</f>
        <v>0.42399667080459258</v>
      </c>
      <c r="AF267" s="7">
        <f>C267-B267</f>
        <v>8</v>
      </c>
      <c r="AG267" s="2" t="str">
        <f>TEXT(B267, "mmmm")</f>
        <v>November</v>
      </c>
      <c r="AH267" s="4">
        <f>YEAR(B267)</f>
        <v>2024</v>
      </c>
      <c r="AI267" s="2" t="str">
        <f t="shared" si="18"/>
        <v>Excluded from Sales</v>
      </c>
      <c r="AJ267">
        <f>COUNTIFS($A$2:$A$1000,A267,$B$2:$B$1000,B267,$C$2:$C$1000,C267,$D$2:$D$1000,D267,$E$2:$E$1000,E267,$F$2:$F$1000,F267)</f>
        <v>1</v>
      </c>
      <c r="AK267">
        <f>COUNTIF($A$2:$A$1000, A267)</f>
        <v>1</v>
      </c>
    </row>
    <row r="268" spans="1:37">
      <c r="A268" t="s">
        <v>904</v>
      </c>
      <c r="B268" s="5">
        <v>45780</v>
      </c>
      <c r="C268" s="5">
        <v>45787</v>
      </c>
      <c r="D268" s="6">
        <f>IF(AND(C268&lt;&gt;"",B268&lt;&gt;""), C268-B268, "Missing Date")</f>
        <v>7</v>
      </c>
      <c r="E268" s="6" t="str">
        <f>IF(OR(B268="",C268=""), "Missing Date",
    IF(C268&lt;B268, "Invalid: Ship before Order",
      "OK"))</f>
        <v>OK</v>
      </c>
      <c r="F268" t="s">
        <v>905</v>
      </c>
      <c r="G268" t="s">
        <v>79</v>
      </c>
      <c r="H268" t="s">
        <v>95</v>
      </c>
      <c r="I268" t="s">
        <v>63</v>
      </c>
      <c r="J268" t="s">
        <v>64</v>
      </c>
      <c r="K268" t="s">
        <v>65</v>
      </c>
      <c r="L268" t="s">
        <v>28</v>
      </c>
      <c r="M268" t="s">
        <v>124</v>
      </c>
      <c r="N268" t="s">
        <v>906</v>
      </c>
      <c r="O268" t="s">
        <v>31</v>
      </c>
      <c r="P268">
        <v>3</v>
      </c>
      <c r="Q268">
        <v>4339.24</v>
      </c>
      <c r="R268">
        <v>0</v>
      </c>
      <c r="S268">
        <v>13017.72</v>
      </c>
      <c r="T268">
        <v>10170.57</v>
      </c>
      <c r="U268">
        <v>2847.15</v>
      </c>
      <c r="V268" t="s">
        <v>32</v>
      </c>
      <c r="W268" t="s">
        <v>33</v>
      </c>
      <c r="X268" t="str">
        <f>_xlfn.TEXTJOIN("|", TRUE, A268:W268)</f>
        <v>ORD-2025-10267|45780|45787|7|OK|CUST-7114|Neha Gupta|Home Office|West|Maharashtra|Mumbai|Office Supplies|Storage|Classic Storage 926|Second Class|3|4339.24|0|13017.72|10170.57|2847.15|Paid|Completed</v>
      </c>
      <c r="Y268">
        <f>COUNTIF($X$2:$X$1000, X268)</f>
        <v>1</v>
      </c>
      <c r="Z268">
        <f>COUNTIF($A$2:$A$1000, A268)</f>
        <v>1</v>
      </c>
      <c r="AA268" t="str">
        <f>IF(Y268&gt;1, "Exact Duplicate",
  IF(Z268&gt;1, "Conflicting Duplicate - Review",
    "Unique"))</f>
        <v>Unique</v>
      </c>
      <c r="AB268" s="2">
        <f>IF(ISBLANK(R268), 0, IF(ISTEXT(R268), VALUE(SUBSTITUTE(R268, "%", ""))/100, IF(OR(R268&lt;0, R268&gt;1), "Invalid", R268)))</f>
        <v>0</v>
      </c>
      <c r="AC268" s="4">
        <f>IF(AB268="Invalid", "Error", P268 * Q268 * (1 - AB268))</f>
        <v>13017.72</v>
      </c>
      <c r="AD268" s="4">
        <f>IF(AC268="Error", "Error", AC268 - T268)</f>
        <v>2847.1499999999996</v>
      </c>
      <c r="AE268" s="2">
        <f>IF(AC268="Error", "Error", IF(AC268=0, 0, AD268 / AC268))</f>
        <v>0.21871341525244051</v>
      </c>
      <c r="AF268" s="7">
        <f>C268-B268</f>
        <v>7</v>
      </c>
      <c r="AG268" s="2" t="str">
        <f>TEXT(B268, "mmmm")</f>
        <v>May</v>
      </c>
      <c r="AH268" s="4">
        <f>YEAR(B268)</f>
        <v>2025</v>
      </c>
      <c r="AI268" s="2" t="str">
        <f t="shared" si="18"/>
        <v>Clean</v>
      </c>
      <c r="AJ268">
        <f>COUNTIFS($A$2:$A$1000,A268,$B$2:$B$1000,B268,$C$2:$C$1000,C268,$D$2:$D$1000,D268,$E$2:$E$1000,E268,$F$2:$F$1000,F268)</f>
        <v>1</v>
      </c>
      <c r="AK268">
        <f>COUNTIF($A$2:$A$1000, A268)</f>
        <v>1</v>
      </c>
    </row>
    <row r="269" spans="1:37">
      <c r="A269" t="s">
        <v>907</v>
      </c>
      <c r="B269" s="5">
        <v>45805</v>
      </c>
      <c r="C269" s="5">
        <v>45812</v>
      </c>
      <c r="D269" s="6">
        <f>IF(AND(C269&lt;&gt;"",B269&lt;&gt;""), C269-B269, "Missing Date")</f>
        <v>7</v>
      </c>
      <c r="E269" s="6" t="str">
        <f>IF(OR(B269="",C269=""), "Missing Date",
    IF(C269&lt;B269, "Invalid: Ship before Order",
      "OK"))</f>
        <v>OK</v>
      </c>
      <c r="F269" t="s">
        <v>908</v>
      </c>
      <c r="G269" t="s">
        <v>162</v>
      </c>
      <c r="H269" t="s">
        <v>90</v>
      </c>
      <c r="I269" t="s">
        <v>38</v>
      </c>
      <c r="J269" t="s">
        <v>228</v>
      </c>
      <c r="K269" t="s">
        <v>229</v>
      </c>
      <c r="L269" t="s">
        <v>41</v>
      </c>
      <c r="M269" t="s">
        <v>57</v>
      </c>
      <c r="N269" t="s">
        <v>909</v>
      </c>
      <c r="O269" t="s">
        <v>50</v>
      </c>
      <c r="P269">
        <v>4</v>
      </c>
      <c r="Q269">
        <v>261.8</v>
      </c>
      <c r="R269">
        <v>0.25</v>
      </c>
      <c r="S269">
        <v>785.4</v>
      </c>
      <c r="T269">
        <v>557.22</v>
      </c>
      <c r="U269">
        <v>228.18</v>
      </c>
      <c r="V269" t="s">
        <v>32</v>
      </c>
      <c r="W269" t="s">
        <v>33</v>
      </c>
      <c r="X269" t="str">
        <f>_xlfn.TEXTJOIN("|", TRUE, A269:W269)</f>
        <v>ORD-2025-10268|45805|45812|7|OK|CUST-4431|Diya Patel|Corporate|East|Jharkhand|Ranchi|Furniture|Furnishings|Basic Furnishings 372|First Class|4|261.8|0.25|785.4|557.22|228.18|Paid|Completed</v>
      </c>
      <c r="Y269">
        <f>COUNTIF($X$2:$X$1000, X269)</f>
        <v>1</v>
      </c>
      <c r="Z269">
        <f>COUNTIF($A$2:$A$1000, A269)</f>
        <v>1</v>
      </c>
      <c r="AA269" t="str">
        <f>IF(Y269&gt;1, "Exact Duplicate",
  IF(Z269&gt;1, "Conflicting Duplicate - Review",
    "Unique"))</f>
        <v>Unique</v>
      </c>
      <c r="AB269" s="2">
        <f>IF(ISBLANK(R269), 0, IF(ISTEXT(R269), VALUE(SUBSTITUTE(R269, "%", ""))/100, IF(OR(R269&lt;0, R269&gt;1), "Invalid", R269)))</f>
        <v>0.25</v>
      </c>
      <c r="AC269" s="4">
        <f>IF(AB269="Invalid", "Error", P269 * Q269 * (1 - AB269))</f>
        <v>785.40000000000009</v>
      </c>
      <c r="AD269" s="4">
        <f>IF(AC269="Error", "Error", AC269 - T269)</f>
        <v>228.18000000000006</v>
      </c>
      <c r="AE269" s="2">
        <f>IF(AC269="Error", "Error", IF(AC269=0, 0, AD269 / AC269))</f>
        <v>0.29052711993888469</v>
      </c>
      <c r="AF269" s="7">
        <f>C269-B269</f>
        <v>7</v>
      </c>
      <c r="AG269" s="2" t="str">
        <f>TEXT(B269, "mmmm")</f>
        <v>May</v>
      </c>
      <c r="AH269" s="4">
        <f>YEAR(B269)</f>
        <v>2025</v>
      </c>
      <c r="AI269" s="2" t="str">
        <f t="shared" si="18"/>
        <v>Clean</v>
      </c>
      <c r="AJ269">
        <f>COUNTIFS($A$2:$A$1000,A269,$B$2:$B$1000,B269,$C$2:$C$1000,C269,$D$2:$D$1000,D269,$E$2:$E$1000,E269,$F$2:$F$1000,F269)</f>
        <v>1</v>
      </c>
      <c r="AK269">
        <f>COUNTIF($A$2:$A$1000, A269)</f>
        <v>1</v>
      </c>
    </row>
    <row r="270" spans="1:37">
      <c r="A270" t="s">
        <v>910</v>
      </c>
      <c r="B270" s="5">
        <v>45886</v>
      </c>
      <c r="C270" s="5">
        <v>45886</v>
      </c>
      <c r="D270" s="6">
        <f>IF(AND(C270&lt;&gt;"",B270&lt;&gt;""), C270-B270, "Missing Date")</f>
        <v>0</v>
      </c>
      <c r="E270" s="6" t="str">
        <f>IF(OR(B270="",C270=""), "Missing Date",
    IF(C270&lt;B270, "Invalid: Ship before Order",
      "OK"))</f>
        <v>OK</v>
      </c>
      <c r="F270" t="s">
        <v>911</v>
      </c>
      <c r="G270" t="s">
        <v>128</v>
      </c>
      <c r="H270" t="s">
        <v>95</v>
      </c>
      <c r="I270" t="s">
        <v>25</v>
      </c>
      <c r="J270" t="s">
        <v>122</v>
      </c>
      <c r="K270" t="s">
        <v>123</v>
      </c>
      <c r="L270" t="s">
        <v>74</v>
      </c>
      <c r="M270" t="s">
        <v>75</v>
      </c>
      <c r="N270" t="s">
        <v>912</v>
      </c>
      <c r="O270" t="s">
        <v>50</v>
      </c>
      <c r="P270">
        <v>7</v>
      </c>
      <c r="Q270">
        <v>632.20000000000005</v>
      </c>
      <c r="R270">
        <v>0.25</v>
      </c>
      <c r="S270">
        <v>3319.05</v>
      </c>
      <c r="T270">
        <v>2124.6</v>
      </c>
      <c r="U270">
        <v>1194.45</v>
      </c>
      <c r="V270" t="s">
        <v>32</v>
      </c>
      <c r="W270" t="s">
        <v>33</v>
      </c>
      <c r="X270" t="str">
        <f>_xlfn.TEXTJOIN("|", TRUE, A270:W270)</f>
        <v>ORD-2025-10269|45886|45886|0|OK|CUST-1488|Aarav Sharma|Home Office|North|Punjab|Ludhiana|Technology|Accessories|Prime Accessories 367|First Class|7|632.2|0.25|3319.05|2124.6|1194.45|Paid|Completed</v>
      </c>
      <c r="Y270">
        <f>COUNTIF($X$2:$X$1000, X270)</f>
        <v>1</v>
      </c>
      <c r="Z270">
        <f>COUNTIF($A$2:$A$1000, A270)</f>
        <v>1</v>
      </c>
      <c r="AA270" t="str">
        <f>IF(Y270&gt;1, "Exact Duplicate",
  IF(Z270&gt;1, "Conflicting Duplicate - Review",
    "Unique"))</f>
        <v>Unique</v>
      </c>
      <c r="AB270" s="2">
        <f>IF(ISBLANK(R270), 0, IF(ISTEXT(R270), VALUE(SUBSTITUTE(R270, "%", ""))/100, IF(OR(R270&lt;0, R270&gt;1), "Invalid", R270)))</f>
        <v>0.25</v>
      </c>
      <c r="AC270" s="4">
        <f>IF(AB270="Invalid", "Error", P270 * Q270 * (1 - AB270))</f>
        <v>3319.05</v>
      </c>
      <c r="AD270" s="4">
        <f>IF(AC270="Error", "Error", AC270 - T270)</f>
        <v>1194.4500000000003</v>
      </c>
      <c r="AE270" s="2">
        <f>IF(AC270="Error", "Error", IF(AC270=0, 0, AD270 / AC270))</f>
        <v>0.35987707325891449</v>
      </c>
      <c r="AF270" s="7">
        <f>C270-B270</f>
        <v>0</v>
      </c>
      <c r="AG270" s="2" t="str">
        <f>TEXT(B270, "mmmm")</f>
        <v>August</v>
      </c>
      <c r="AH270" s="4">
        <f>YEAR(B270)</f>
        <v>2025</v>
      </c>
      <c r="AI270" s="2" t="str">
        <f t="shared" si="18"/>
        <v>Clean</v>
      </c>
      <c r="AJ270">
        <f>COUNTIFS($A$2:$A$1000,A270,$B$2:$B$1000,B270,$C$2:$C$1000,C270,$D$2:$D$1000,D270,$E$2:$E$1000,E270,$F$2:$F$1000,F270)</f>
        <v>1</v>
      </c>
      <c r="AK270">
        <f>COUNTIF($A$2:$A$1000, A270)</f>
        <v>1</v>
      </c>
    </row>
    <row r="271" spans="1:37">
      <c r="A271" t="s">
        <v>913</v>
      </c>
      <c r="B271" s="5">
        <v>45932</v>
      </c>
      <c r="C271" s="5">
        <v>45993</v>
      </c>
      <c r="D271" s="6">
        <f>IF(AND(C271&lt;&gt;"",B271&lt;&gt;""), C271-B271, "Missing Date")</f>
        <v>61</v>
      </c>
      <c r="E271" s="6" t="str">
        <f>IF(OR(B271="",C271=""), "Missing Date",
    IF(C271&lt;B271, "Invalid: Ship before Order",
      "OK"))</f>
        <v>OK</v>
      </c>
      <c r="F271" t="s">
        <v>914</v>
      </c>
      <c r="G271" t="s">
        <v>118</v>
      </c>
      <c r="H271" t="s">
        <v>37</v>
      </c>
      <c r="I271" t="s">
        <v>63</v>
      </c>
      <c r="J271" t="s">
        <v>26</v>
      </c>
      <c r="K271" t="s">
        <v>109</v>
      </c>
      <c r="L271" t="s">
        <v>41</v>
      </c>
      <c r="M271" t="s">
        <v>42</v>
      </c>
      <c r="N271" t="s">
        <v>915</v>
      </c>
      <c r="O271" t="s">
        <v>44</v>
      </c>
      <c r="P271">
        <v>1</v>
      </c>
      <c r="Q271">
        <v>1925.86</v>
      </c>
      <c r="R271">
        <v>0</v>
      </c>
      <c r="S271">
        <v>1925.86</v>
      </c>
      <c r="T271">
        <v>1321.89</v>
      </c>
      <c r="U271">
        <v>603.97</v>
      </c>
      <c r="V271" t="s">
        <v>32</v>
      </c>
      <c r="W271" t="s">
        <v>33</v>
      </c>
      <c r="X271" t="str">
        <f>_xlfn.TEXTJOIN("|", TRUE, A271:W271)</f>
        <v>ORD-2025-10270|45932|45993|61|OK|CUST-1586|Rahul Verma|Small Business|West|Rajasthan|Udaipur|Furniture|Tables|Max Tables 526|Same Day|1|1925.86|0|1925.86|1321.89|603.97|Paid|Completed</v>
      </c>
      <c r="Y271">
        <f>COUNTIF($X$2:$X$1000, X271)</f>
        <v>1</v>
      </c>
      <c r="Z271">
        <f>COUNTIF($A$2:$A$1000, A271)</f>
        <v>1</v>
      </c>
      <c r="AA271" t="str">
        <f>IF(Y271&gt;1, "Exact Duplicate",
  IF(Z271&gt;1, "Conflicting Duplicate - Review",
    "Unique"))</f>
        <v>Unique</v>
      </c>
      <c r="AB271" s="2">
        <f>IF(ISBLANK(R271), 0, IF(ISTEXT(R271), VALUE(SUBSTITUTE(R271, "%", ""))/100, IF(OR(R271&lt;0, R271&gt;1), "Invalid", R271)))</f>
        <v>0</v>
      </c>
      <c r="AC271" s="4">
        <f>IF(AB271="Invalid", "Error", P271 * Q271 * (1 - AB271))</f>
        <v>1925.86</v>
      </c>
      <c r="AD271" s="4">
        <f>IF(AC271="Error", "Error", AC271 - T271)</f>
        <v>603.9699999999998</v>
      </c>
      <c r="AE271" s="2">
        <f>IF(AC271="Error", "Error", IF(AC271=0, 0, AD271 / AC271))</f>
        <v>0.31361054282242729</v>
      </c>
      <c r="AF271" s="7">
        <f>C271-B271</f>
        <v>61</v>
      </c>
      <c r="AG271" s="2" t="str">
        <f>TEXT(B271, "mmmm")</f>
        <v>October</v>
      </c>
      <c r="AH271" s="4">
        <f>YEAR(B271)</f>
        <v>2025</v>
      </c>
      <c r="AI271" s="2" t="str">
        <f t="shared" si="18"/>
        <v>Clean</v>
      </c>
      <c r="AJ271">
        <f>COUNTIFS($A$2:$A$1000,A271,$B$2:$B$1000,B271,$C$2:$C$1000,C271,$D$2:$D$1000,D271,$E$2:$E$1000,E271,$F$2:$F$1000,F271)</f>
        <v>1</v>
      </c>
      <c r="AK271">
        <f>COUNTIF($A$2:$A$1000, A271)</f>
        <v>1</v>
      </c>
    </row>
    <row r="272" spans="1:37">
      <c r="A272" t="s">
        <v>916</v>
      </c>
      <c r="B272" s="5">
        <v>45627</v>
      </c>
      <c r="C272" s="5">
        <v>45304</v>
      </c>
      <c r="D272" s="6">
        <f>IF(AND(C272&lt;&gt;"",B272&lt;&gt;""), C272-B272, "Missing Date")</f>
        <v>-323</v>
      </c>
      <c r="E272" s="6" t="str">
        <f>IF(OR(B272="",C272=""), "Missing Date",
    IF(C272&lt;B272, "Invalid: Ship before Order",
      "OK"))</f>
        <v>Invalid: Ship before Order</v>
      </c>
      <c r="F272" t="s">
        <v>917</v>
      </c>
      <c r="G272" t="s">
        <v>89</v>
      </c>
      <c r="H272" t="s">
        <v>90</v>
      </c>
      <c r="I272" t="s">
        <v>25</v>
      </c>
      <c r="J272" t="s">
        <v>136</v>
      </c>
      <c r="K272" t="s">
        <v>137</v>
      </c>
      <c r="L272" t="s">
        <v>74</v>
      </c>
      <c r="M272" t="s">
        <v>274</v>
      </c>
      <c r="N272" t="s">
        <v>918</v>
      </c>
      <c r="O272" t="s">
        <v>44</v>
      </c>
      <c r="P272">
        <v>3</v>
      </c>
      <c r="Q272">
        <v>827.44</v>
      </c>
      <c r="R272">
        <v>0</v>
      </c>
      <c r="S272">
        <v>2482.3200000000002</v>
      </c>
      <c r="T272">
        <v>1520.21</v>
      </c>
      <c r="U272">
        <v>962.11</v>
      </c>
      <c r="V272" t="s">
        <v>32</v>
      </c>
      <c r="W272" t="s">
        <v>33</v>
      </c>
      <c r="X272" t="str">
        <f>_xlfn.TEXTJOIN("|", TRUE, A272:W272)</f>
        <v>ORD-2024-10271|45627|45304|-323|Invalid: Ship before Order|CUST-2487|Aditi Sen|Corporate|North|Uttar Pradesh|Noida|Technology|Machines|Prime Machines 794|Same Day|3|827.44|0|2482.32|1520.21|962.11|Paid|Completed</v>
      </c>
      <c r="Y272">
        <f>COUNTIF($X$2:$X$1000, X272)</f>
        <v>1</v>
      </c>
      <c r="Z272">
        <f>COUNTIF($A$2:$A$1000, A272)</f>
        <v>1</v>
      </c>
      <c r="AA272" t="str">
        <f>IF(Y272&gt;1, "Exact Duplicate",
  IF(Z272&gt;1, "Conflicting Duplicate - Review",
    "Unique"))</f>
        <v>Unique</v>
      </c>
      <c r="AB272" s="2">
        <f>IF(ISBLANK(R272), 0, IF(ISTEXT(R272), VALUE(SUBSTITUTE(R272, "%", ""))/100, IF(OR(R272&lt;0, R272&gt;1), "Invalid", R272)))</f>
        <v>0</v>
      </c>
      <c r="AC272" s="4">
        <f>IF(AB272="Invalid", "Error", P272 * Q272 * (1 - AB272))</f>
        <v>2482.3200000000002</v>
      </c>
      <c r="AD272" s="4">
        <f>IF(AC272="Error", "Error", AC272 - T272)</f>
        <v>962.11000000000013</v>
      </c>
      <c r="AE272" s="2">
        <f>IF(AC272="Error", "Error", IF(AC272=0, 0, AD272 / AC272))</f>
        <v>0.38758500112797706</v>
      </c>
      <c r="AF272" s="7">
        <f>C272-B272</f>
        <v>-323</v>
      </c>
      <c r="AG272" s="2" t="str">
        <f>TEXT(B272, "mmmm")</f>
        <v>December</v>
      </c>
      <c r="AH272" s="4">
        <f>YEAR(B272)</f>
        <v>2024</v>
      </c>
      <c r="AI272" s="2" t="str">
        <f t="shared" si="18"/>
        <v>Invalid Shipping Record</v>
      </c>
      <c r="AJ272">
        <f>COUNTIFS($A$2:$A$1000,A272,$B$2:$B$1000,B272,$C$2:$C$1000,C272,$D$2:$D$1000,D272,$E$2:$E$1000,E272,$F$2:$F$1000,F272)</f>
        <v>1</v>
      </c>
      <c r="AK272">
        <f>COUNTIF($A$2:$A$1000, A272)</f>
        <v>1</v>
      </c>
    </row>
    <row r="273" spans="1:37">
      <c r="A273" t="s">
        <v>919</v>
      </c>
      <c r="B273" s="5">
        <v>45647</v>
      </c>
      <c r="C273" s="5">
        <v>45651</v>
      </c>
      <c r="D273" s="6">
        <f>IF(AND(C273&lt;&gt;"",B273&lt;&gt;""), C273-B273, "Missing Date")</f>
        <v>4</v>
      </c>
      <c r="E273" s="6" t="str">
        <f>IF(OR(B273="",C273=""), "Missing Date",
    IF(C273&lt;B273, "Invalid: Ship before Order",
      "OK"))</f>
        <v>OK</v>
      </c>
      <c r="F273" t="s">
        <v>920</v>
      </c>
      <c r="G273" t="s">
        <v>89</v>
      </c>
      <c r="H273" t="s">
        <v>24</v>
      </c>
      <c r="I273" t="s">
        <v>54</v>
      </c>
      <c r="J273" t="s">
        <v>55</v>
      </c>
      <c r="K273" t="s">
        <v>56</v>
      </c>
      <c r="L273" t="s">
        <v>28</v>
      </c>
      <c r="M273" t="s">
        <v>153</v>
      </c>
      <c r="N273" t="s">
        <v>921</v>
      </c>
      <c r="O273" t="s">
        <v>59</v>
      </c>
      <c r="P273">
        <v>7</v>
      </c>
      <c r="Q273">
        <v>1667.75</v>
      </c>
      <c r="R273">
        <v>0</v>
      </c>
      <c r="S273">
        <v>11674.25</v>
      </c>
      <c r="T273">
        <v>9621.19</v>
      </c>
      <c r="U273">
        <v>2053.06</v>
      </c>
      <c r="V273" t="s">
        <v>155</v>
      </c>
      <c r="W273" t="s">
        <v>68</v>
      </c>
      <c r="X273" t="str">
        <f>_xlfn.TEXTJOIN("|", TRUE, A273:W273)</f>
        <v>ORD-2024-10272|45647|45651|4|OK|CUST-8009|Aditi Sen|Consumer|South|Telangana|Hyderabad|Office Supplies|Binders|Max Binders 927|Standard Class|7|1667.75|0|11674.25|9621.19|2053.06|Failed|Cancelled</v>
      </c>
      <c r="Y273">
        <f>COUNTIF($X$2:$X$1000, X273)</f>
        <v>1</v>
      </c>
      <c r="Z273">
        <f>COUNTIF($A$2:$A$1000, A273)</f>
        <v>1</v>
      </c>
      <c r="AA273" t="str">
        <f>IF(Y273&gt;1, "Exact Duplicate",
  IF(Z273&gt;1, "Conflicting Duplicate - Review",
    "Unique"))</f>
        <v>Unique</v>
      </c>
      <c r="AB273" s="2">
        <f>IF(ISBLANK(R273), 0, IF(ISTEXT(R273), VALUE(SUBSTITUTE(R273, "%", ""))/100, IF(OR(R273&lt;0, R273&gt;1), "Invalid", R273)))</f>
        <v>0</v>
      </c>
      <c r="AC273" s="4">
        <f>IF(AB273="Invalid", "Error", P273 * Q273 * (1 - AB273))</f>
        <v>11674.25</v>
      </c>
      <c r="AD273" s="4">
        <f>IF(AC273="Error", "Error", AC273 - T273)</f>
        <v>2053.0599999999995</v>
      </c>
      <c r="AE273" s="2">
        <f>IF(AC273="Error", "Error", IF(AC273=0, 0, AD273 / AC273))</f>
        <v>0.17586226095894808</v>
      </c>
      <c r="AF273" s="7">
        <f>C273-B273</f>
        <v>4</v>
      </c>
      <c r="AG273" s="2" t="str">
        <f>TEXT(B273, "mmmm")</f>
        <v>December</v>
      </c>
      <c r="AH273" s="4">
        <f>YEAR(B273)</f>
        <v>2024</v>
      </c>
      <c r="AI273" s="2" t="str">
        <f t="shared" si="18"/>
        <v>Excluded from Sales</v>
      </c>
      <c r="AJ273">
        <f>COUNTIFS($A$2:$A$1000,A273,$B$2:$B$1000,B273,$C$2:$C$1000,C273,$D$2:$D$1000,D273,$E$2:$E$1000,E273,$F$2:$F$1000,F273)</f>
        <v>1</v>
      </c>
      <c r="AK273">
        <f>COUNTIF($A$2:$A$1000, A273)</f>
        <v>1</v>
      </c>
    </row>
    <row r="274" spans="1:37">
      <c r="A274" t="s">
        <v>922</v>
      </c>
      <c r="B274" s="5">
        <v>45522</v>
      </c>
      <c r="C274" s="5">
        <v>45528</v>
      </c>
      <c r="D274" s="6">
        <f>IF(AND(C274&lt;&gt;"",B274&lt;&gt;""), C274-B274, "Missing Date")</f>
        <v>6</v>
      </c>
      <c r="E274" s="6" t="str">
        <f>IF(OR(B274="",C274=""), "Missing Date",
    IF(C274&lt;B274, "Invalid: Ship before Order",
      "OK"))</f>
        <v>OK</v>
      </c>
      <c r="F274" t="s">
        <v>923</v>
      </c>
      <c r="G274" t="s">
        <v>53</v>
      </c>
      <c r="H274" t="s">
        <v>24</v>
      </c>
      <c r="I274" t="s">
        <v>54</v>
      </c>
      <c r="J274" t="s">
        <v>84</v>
      </c>
      <c r="K274" t="s">
        <v>85</v>
      </c>
      <c r="L274" t="s">
        <v>41</v>
      </c>
      <c r="M274" t="s">
        <v>66</v>
      </c>
      <c r="N274" t="s">
        <v>924</v>
      </c>
      <c r="O274" t="s">
        <v>50</v>
      </c>
      <c r="P274">
        <v>7</v>
      </c>
      <c r="Q274">
        <v>557.21</v>
      </c>
      <c r="R274">
        <v>0.1</v>
      </c>
      <c r="S274">
        <v>3510.42</v>
      </c>
      <c r="T274">
        <v>2191.5</v>
      </c>
      <c r="U274">
        <v>1213.48</v>
      </c>
      <c r="V274" t="s">
        <v>32</v>
      </c>
      <c r="W274" t="s">
        <v>33</v>
      </c>
      <c r="X274" t="str">
        <f>_xlfn.TEXTJOIN("|", TRUE, A274:W274)</f>
        <v>ORD-2024-10273|45522|45528|6|OK|CUST-7389|Arjun Bose|Consumer|South|Andhra Pradesh|Vijayawada|Furniture|Chairs|Eco Chairs 314|First Class|7|557.21|0.1|3510.42|2191.5|1213.48|Paid|Completed</v>
      </c>
      <c r="Y274">
        <f>COUNTIF($X$2:$X$1000, X274)</f>
        <v>1</v>
      </c>
      <c r="Z274">
        <f>COUNTIF($A$2:$A$1000, A274)</f>
        <v>2</v>
      </c>
      <c r="AA274" t="str">
        <f>IF(Y274&gt;1, "Exact Duplicate",
  IF(Z274&gt;1, "Conflicting Duplicate - Review",
    "Unique"))</f>
        <v>Conflicting Duplicate - Review</v>
      </c>
      <c r="AB274" s="2">
        <f>IF(ISBLANK(R274), 0, IF(ISTEXT(R274), VALUE(SUBSTITUTE(R274, "%", ""))/100, IF(OR(R274&lt;0, R274&gt;1), "Invalid", R274)))</f>
        <v>0.1</v>
      </c>
      <c r="AC274" s="4">
        <f>IF(AB274="Invalid", "Error", P274 * Q274 * (1 - AB274))</f>
        <v>3510.4230000000002</v>
      </c>
      <c r="AD274" s="4">
        <f>IF(AC274="Error", "Error", AC274 - T274)</f>
        <v>1318.9230000000002</v>
      </c>
      <c r="AE274" s="2">
        <f>IF(AC274="Error", "Error", IF(AC274=0, 0, AD274 / AC274))</f>
        <v>0.37571625983535323</v>
      </c>
      <c r="AF274" s="7">
        <f>C274-B274</f>
        <v>6</v>
      </c>
      <c r="AG274" s="2" t="str">
        <f>TEXT(B274, "mmmm")</f>
        <v>August</v>
      </c>
      <c r="AH274" s="4">
        <f>YEAR(B274)</f>
        <v>2024</v>
      </c>
      <c r="AI274" s="2" t="str">
        <f t="shared" si="18"/>
        <v>Clean</v>
      </c>
      <c r="AJ274">
        <f>COUNTIFS($A$2:$A$1000,A274,$B$2:$B$1000,B274,$C$2:$C$1000,C274,$D$2:$D$1000,D274,$E$2:$E$1000,E274,$F$2:$F$1000,F274)</f>
        <v>2</v>
      </c>
      <c r="AK274">
        <f>COUNTIF($A$2:$A$1000, A274)</f>
        <v>2</v>
      </c>
    </row>
    <row r="275" spans="1:37">
      <c r="A275" t="s">
        <v>925</v>
      </c>
      <c r="B275" s="5">
        <v>45701</v>
      </c>
      <c r="C275" s="5">
        <v>45701</v>
      </c>
      <c r="D275" s="6">
        <f>IF(AND(C275&lt;&gt;"",B275&lt;&gt;""), C275-B275, "Missing Date")</f>
        <v>0</v>
      </c>
      <c r="E275" s="6" t="str">
        <f>IF(OR(B275="",C275=""), "Missing Date",
    IF(C275&lt;B275, "Invalid: Ship before Order",
      "OK"))</f>
        <v>OK</v>
      </c>
      <c r="F275" t="s">
        <v>926</v>
      </c>
      <c r="G275" t="s">
        <v>47</v>
      </c>
      <c r="H275" t="s">
        <v>24</v>
      </c>
      <c r="I275" t="s">
        <v>38</v>
      </c>
      <c r="J275" t="s">
        <v>145</v>
      </c>
      <c r="K275" t="s">
        <v>146</v>
      </c>
      <c r="L275" t="s">
        <v>28</v>
      </c>
      <c r="M275" t="s">
        <v>29</v>
      </c>
      <c r="N275" t="s">
        <v>927</v>
      </c>
      <c r="O275" t="s">
        <v>31</v>
      </c>
      <c r="P275">
        <v>9</v>
      </c>
      <c r="Q275">
        <v>2521.63</v>
      </c>
      <c r="R275">
        <v>0</v>
      </c>
      <c r="S275">
        <v>22694.67</v>
      </c>
      <c r="T275">
        <v>15405.36</v>
      </c>
      <c r="U275">
        <v>7289.31</v>
      </c>
      <c r="V275" t="s">
        <v>32</v>
      </c>
      <c r="W275" t="s">
        <v>103</v>
      </c>
      <c r="X275" t="str">
        <f>_xlfn.TEXTJOIN("|", TRUE, A275:W275)</f>
        <v>ORD-2025-10274|45701|45701|0|OK|CUST-8249|Isha Nair|Consumer|East|Bihar|Patna|Office Supplies|Paper|Basic Paper 657|Second Class|9|2521.63|0|22694.67|15405.36|7289.31|Paid|Returned</v>
      </c>
      <c r="Y275">
        <f>COUNTIF($X$2:$X$1000, X275)</f>
        <v>1</v>
      </c>
      <c r="Z275">
        <f>COUNTIF($A$2:$A$1000, A275)</f>
        <v>1</v>
      </c>
      <c r="AA275" t="str">
        <f>IF(Y275&gt;1, "Exact Duplicate",
  IF(Z275&gt;1, "Conflicting Duplicate - Review",
    "Unique"))</f>
        <v>Unique</v>
      </c>
      <c r="AB275" s="2">
        <f>IF(ISBLANK(R275), 0, IF(ISTEXT(R275), VALUE(SUBSTITUTE(R275, "%", ""))/100, IF(OR(R275&lt;0, R275&gt;1), "Invalid", R275)))</f>
        <v>0</v>
      </c>
      <c r="AC275" s="4">
        <f>IF(AB275="Invalid", "Error", P275 * Q275 * (1 - AB275))</f>
        <v>22694.670000000002</v>
      </c>
      <c r="AD275" s="4">
        <f>IF(AC275="Error", "Error", AC275 - T275)</f>
        <v>7289.3100000000013</v>
      </c>
      <c r="AE275" s="2">
        <f>IF(AC275="Error", "Error", IF(AC275=0, 0, AD275 / AC275))</f>
        <v>0.32119039404406413</v>
      </c>
      <c r="AF275" s="7">
        <f>C275-B275</f>
        <v>0</v>
      </c>
      <c r="AG275" s="2" t="str">
        <f>TEXT(B275, "mmmm")</f>
        <v>February</v>
      </c>
      <c r="AH275" s="4">
        <f>YEAR(B275)</f>
        <v>2025</v>
      </c>
      <c r="AI275" s="2" t="str">
        <f t="shared" si="18"/>
        <v>Clean</v>
      </c>
      <c r="AJ275">
        <f>COUNTIFS($A$2:$A$1000,A275,$B$2:$B$1000,B275,$C$2:$C$1000,C275,$D$2:$D$1000,D275,$E$2:$E$1000,E275,$F$2:$F$1000,F275)</f>
        <v>1</v>
      </c>
      <c r="AK275">
        <f>COUNTIF($A$2:$A$1000, A275)</f>
        <v>1</v>
      </c>
    </row>
    <row r="276" spans="1:37">
      <c r="A276" t="s">
        <v>928</v>
      </c>
      <c r="B276" s="5">
        <v>45389</v>
      </c>
      <c r="C276" s="5">
        <v>45396</v>
      </c>
      <c r="D276" s="6">
        <f>IF(AND(C276&lt;&gt;"",B276&lt;&gt;""), C276-B276, "Missing Date")</f>
        <v>7</v>
      </c>
      <c r="E276" s="6" t="str">
        <f>IF(OR(B276="",C276=""), "Missing Date",
    IF(C276&lt;B276, "Invalid: Ship before Order",
      "OK"))</f>
        <v>OK</v>
      </c>
      <c r="F276" t="s">
        <v>929</v>
      </c>
      <c r="G276" t="s">
        <v>141</v>
      </c>
      <c r="H276" t="s">
        <v>24</v>
      </c>
      <c r="I276" t="s">
        <v>54</v>
      </c>
      <c r="J276" t="s">
        <v>185</v>
      </c>
      <c r="K276" t="s">
        <v>186</v>
      </c>
      <c r="L276" t="s">
        <v>74</v>
      </c>
      <c r="M276" t="s">
        <v>80</v>
      </c>
      <c r="N276" t="s">
        <v>930</v>
      </c>
      <c r="O276" t="s">
        <v>59</v>
      </c>
      <c r="P276">
        <v>6</v>
      </c>
      <c r="Q276">
        <v>4246.71</v>
      </c>
      <c r="R276">
        <v>0.15</v>
      </c>
      <c r="S276">
        <v>21658.22</v>
      </c>
      <c r="T276">
        <v>15490.69</v>
      </c>
      <c r="U276">
        <v>6167.53</v>
      </c>
      <c r="V276" t="s">
        <v>155</v>
      </c>
      <c r="W276" t="s">
        <v>103</v>
      </c>
      <c r="X276" t="str">
        <f>_xlfn.TEXTJOIN("|", TRUE, A276:W276)</f>
        <v>ORD-2024-10275|45389|45396|7|OK|CUST-4202|Rohan Mehta|Consumer|South|Kerala|Kochi|Technology|Copiers|Pro Copiers 406|Standard Class|6|4246.71|0.15|21658.22|15490.69|6167.53|Failed|Returned</v>
      </c>
      <c r="Y276">
        <f>COUNTIF($X$2:$X$1000, X276)</f>
        <v>1</v>
      </c>
      <c r="Z276">
        <f>COUNTIF($A$2:$A$1000, A276)</f>
        <v>1</v>
      </c>
      <c r="AA276" t="str">
        <f>IF(Y276&gt;1, "Exact Duplicate",
  IF(Z276&gt;1, "Conflicting Duplicate - Review",
    "Unique"))</f>
        <v>Unique</v>
      </c>
      <c r="AB276" s="2">
        <f>IF(ISBLANK(R276), 0, IF(ISTEXT(R276), VALUE(SUBSTITUTE(R276, "%", ""))/100, IF(OR(R276&lt;0, R276&gt;1), "Invalid", R276)))</f>
        <v>0.15</v>
      </c>
      <c r="AC276" s="4">
        <f>IF(AB276="Invalid", "Error", P276 * Q276 * (1 - AB276))</f>
        <v>21658.221000000001</v>
      </c>
      <c r="AD276" s="4">
        <f>IF(AC276="Error", "Error", AC276 - T276)</f>
        <v>6167.5310000000009</v>
      </c>
      <c r="AE276" s="2">
        <f>IF(AC276="Error", "Error", IF(AC276=0, 0, AD276 / AC276))</f>
        <v>0.28476627881856043</v>
      </c>
      <c r="AF276" s="7">
        <f>C276-B276</f>
        <v>7</v>
      </c>
      <c r="AG276" s="2" t="str">
        <f>TEXT(B276, "mmmm")</f>
        <v>April</v>
      </c>
      <c r="AH276" s="4">
        <f>YEAR(B276)</f>
        <v>2024</v>
      </c>
      <c r="AI276" s="2" t="str">
        <f t="shared" si="18"/>
        <v>Excluded from Sales</v>
      </c>
      <c r="AJ276">
        <f>COUNTIFS($A$2:$A$1000,A276,$B$2:$B$1000,B276,$C$2:$C$1000,C276,$D$2:$D$1000,D276,$E$2:$E$1000,E276,$F$2:$F$1000,F276)</f>
        <v>1</v>
      </c>
      <c r="AK276">
        <f>COUNTIF($A$2:$A$1000, A276)</f>
        <v>1</v>
      </c>
    </row>
    <row r="277" spans="1:37">
      <c r="A277" t="s">
        <v>931</v>
      </c>
      <c r="B277" s="5">
        <v>45337</v>
      </c>
      <c r="C277" s="5">
        <v>45344</v>
      </c>
      <c r="D277" s="6">
        <f>IF(AND(C277&lt;&gt;"",B277&lt;&gt;""), C277-B277, "Missing Date")</f>
        <v>7</v>
      </c>
      <c r="E277" s="6" t="str">
        <f>IF(OR(B277="",C277=""), "Missing Date",
    IF(C277&lt;B277, "Invalid: Ship before Order",
      "OK"))</f>
        <v>OK</v>
      </c>
      <c r="F277" t="s">
        <v>932</v>
      </c>
      <c r="G277" t="s">
        <v>114</v>
      </c>
      <c r="H277" t="s">
        <v>37</v>
      </c>
      <c r="I277" t="s">
        <v>38</v>
      </c>
      <c r="J277" t="s">
        <v>99</v>
      </c>
      <c r="K277" t="s">
        <v>100</v>
      </c>
      <c r="L277" t="s">
        <v>41</v>
      </c>
      <c r="M277" t="s">
        <v>57</v>
      </c>
      <c r="N277" t="s">
        <v>933</v>
      </c>
      <c r="O277" t="s">
        <v>44</v>
      </c>
      <c r="P277">
        <v>1</v>
      </c>
      <c r="Q277">
        <v>980.51</v>
      </c>
      <c r="R277">
        <v>0</v>
      </c>
      <c r="S277">
        <v>980.51</v>
      </c>
      <c r="T277">
        <v>660.92</v>
      </c>
      <c r="U277">
        <v>319.58999999999997</v>
      </c>
      <c r="V277" t="s">
        <v>32</v>
      </c>
      <c r="W277" t="s">
        <v>33</v>
      </c>
      <c r="X277" t="str">
        <f>_xlfn.TEXTJOIN("|", TRUE, A277:W277)</f>
        <v>ORD-2024-10276|45337|45344|7|OK|CUST-2875|Priya Menon|Small Business|East|West Bengal|Kolkata|Furniture|Furnishings|Eco Furnishings 678|Same Day|1|980.51|0|980.51|660.92|319.59|Paid|Completed</v>
      </c>
      <c r="Y277">
        <f>COUNTIF($X$2:$X$1000, X277)</f>
        <v>1</v>
      </c>
      <c r="Z277">
        <f>COUNTIF($A$2:$A$1000, A277)</f>
        <v>1</v>
      </c>
      <c r="AA277" t="str">
        <f>IF(Y277&gt;1, "Exact Duplicate",
  IF(Z277&gt;1, "Conflicting Duplicate - Review",
    "Unique"))</f>
        <v>Unique</v>
      </c>
      <c r="AB277" s="2">
        <f>IF(ISBLANK(R277), 0, IF(ISTEXT(R277), VALUE(SUBSTITUTE(R277, "%", ""))/100, IF(OR(R277&lt;0, R277&gt;1), "Invalid", R277)))</f>
        <v>0</v>
      </c>
      <c r="AC277" s="4">
        <f>IF(AB277="Invalid", "Error", P277 * Q277 * (1 - AB277))</f>
        <v>980.51</v>
      </c>
      <c r="AD277" s="4">
        <f>IF(AC277="Error", "Error", AC277 - T277)</f>
        <v>319.59000000000003</v>
      </c>
      <c r="AE277" s="2">
        <f>IF(AC277="Error", "Error", IF(AC277=0, 0, AD277 / AC277))</f>
        <v>0.32594262169687205</v>
      </c>
      <c r="AF277" s="7">
        <f>C277-B277</f>
        <v>7</v>
      </c>
      <c r="AG277" s="2" t="str">
        <f>TEXT(B277, "mmmm")</f>
        <v>February</v>
      </c>
      <c r="AH277" s="4">
        <f>YEAR(B277)</f>
        <v>2024</v>
      </c>
      <c r="AI277" s="2" t="str">
        <f t="shared" si="18"/>
        <v>Clean</v>
      </c>
      <c r="AJ277">
        <f>COUNTIFS($A$2:$A$1000,A277,$B$2:$B$1000,B277,$C$2:$C$1000,C277,$D$2:$D$1000,D277,$E$2:$E$1000,E277,$F$2:$F$1000,F277)</f>
        <v>1</v>
      </c>
      <c r="AK277">
        <f>COUNTIF($A$2:$A$1000, A277)</f>
        <v>1</v>
      </c>
    </row>
    <row r="278" spans="1:37">
      <c r="A278" t="s">
        <v>934</v>
      </c>
      <c r="B278" s="5">
        <v>45313</v>
      </c>
      <c r="C278" s="5">
        <v>45314</v>
      </c>
      <c r="D278" s="6">
        <f>IF(AND(C278&lt;&gt;"",B278&lt;&gt;""), C278-B278, "Missing Date")</f>
        <v>1</v>
      </c>
      <c r="E278" s="6" t="str">
        <f>IF(OR(B278="",C278=""), "Missing Date",
    IF(C278&lt;B278, "Invalid: Ship before Order",
      "OK"))</f>
        <v>OK</v>
      </c>
      <c r="F278" t="s">
        <v>935</v>
      </c>
      <c r="G278" t="s">
        <v>128</v>
      </c>
      <c r="H278" t="s">
        <v>37</v>
      </c>
      <c r="I278" t="s">
        <v>2762</v>
      </c>
      <c r="J278" t="s">
        <v>166</v>
      </c>
      <c r="K278" t="s">
        <v>167</v>
      </c>
      <c r="L278" t="s">
        <v>41</v>
      </c>
      <c r="M278" t="s">
        <v>66</v>
      </c>
      <c r="N278" t="s">
        <v>936</v>
      </c>
      <c r="O278" t="s">
        <v>31</v>
      </c>
      <c r="P278">
        <v>6</v>
      </c>
      <c r="Q278">
        <v>3391.53</v>
      </c>
      <c r="R278">
        <v>-0.14000000000000001</v>
      </c>
      <c r="S278">
        <v>15261.89</v>
      </c>
      <c r="T278">
        <v>8413.5300000000007</v>
      </c>
      <c r="U278">
        <v>6848.36</v>
      </c>
      <c r="V278" t="s">
        <v>32</v>
      </c>
      <c r="W278" t="s">
        <v>33</v>
      </c>
      <c r="X278" t="str">
        <f>_xlfn.TEXTJOIN("|", TRUE, A278:W278)</f>
        <v>ORD-2024-10277|45313|45314|1|OK|CUST-7039|Aarav Sharma|Small Business|Unknown|Assam|Guwahati|Furniture|Chairs|Basic Chairs 141|Second Class|6|3391.53|-0.14|15261.89|8413.53|6848.36|Paid|Completed</v>
      </c>
      <c r="Y278">
        <f>COUNTIF($X$2:$X$1000, X278)</f>
        <v>1</v>
      </c>
      <c r="Z278">
        <f>COUNTIF($A$2:$A$1000, A278)</f>
        <v>2</v>
      </c>
      <c r="AA278" t="str">
        <f>IF(Y278&gt;1, "Exact Duplicate",
  IF(Z278&gt;1, "Conflicting Duplicate - Review",
    "Unique"))</f>
        <v>Conflicting Duplicate - Review</v>
      </c>
      <c r="AB278" s="2" t="str">
        <f>IF(ISBLANK(R278), 0, IF(ISTEXT(R278), VALUE(SUBSTITUTE(R278, "%", ""))/100, IF(OR(R278&lt;0, R278&gt;1), "Invalid", R278)))</f>
        <v>Invalid</v>
      </c>
      <c r="AC278" s="4" t="str">
        <f>IF(AB278="Invalid", "Error", P278 * Q278 * (1 - AB278))</f>
        <v>Error</v>
      </c>
      <c r="AD278" s="4" t="str">
        <f>IF(AC278="Error", "Error", AC278 - T278)</f>
        <v>Error</v>
      </c>
      <c r="AE278" s="2" t="str">
        <f>IF(AC278="Error", "Error", IF(AC278=0, 0, AD278 / AC278))</f>
        <v>Error</v>
      </c>
      <c r="AF278" s="7">
        <f>C278-B278</f>
        <v>1</v>
      </c>
      <c r="AG278" s="2" t="str">
        <f>TEXT(B278, "mmmm")</f>
        <v>January</v>
      </c>
      <c r="AH278" s="4">
        <f>YEAR(B278)</f>
        <v>2024</v>
      </c>
      <c r="AI278" s="2" t="str">
        <f t="shared" si="18"/>
        <v>Invalid: Discount</v>
      </c>
      <c r="AJ278">
        <f>COUNTIFS($A$2:$A$1000,A278,$B$2:$B$1000,B278,$C$2:$C$1000,C278,$D$2:$D$1000,D278,$E$2:$E$1000,E278,$F$2:$F$1000,F278)</f>
        <v>2</v>
      </c>
      <c r="AK278">
        <f>COUNTIF($A$2:$A$1000, A278)</f>
        <v>2</v>
      </c>
    </row>
    <row r="279" spans="1:37">
      <c r="A279" t="s">
        <v>937</v>
      </c>
      <c r="B279" s="5">
        <v>45812</v>
      </c>
      <c r="C279" s="5">
        <v>45812</v>
      </c>
      <c r="D279" s="6">
        <f>IF(AND(C279&lt;&gt;"",B279&lt;&gt;""), C279-B279, "Missing Date")</f>
        <v>0</v>
      </c>
      <c r="E279" s="6" t="str">
        <f>IF(OR(B279="",C279=""), "Missing Date",
    IF(C279&lt;B279, "Invalid: Ship before Order",
      "OK"))</f>
        <v>OK</v>
      </c>
      <c r="F279" t="s">
        <v>789</v>
      </c>
      <c r="G279" t="s">
        <v>47</v>
      </c>
      <c r="H279" t="s">
        <v>90</v>
      </c>
      <c r="I279" t="s">
        <v>25</v>
      </c>
      <c r="J279" t="s">
        <v>236</v>
      </c>
      <c r="K279" t="s">
        <v>237</v>
      </c>
      <c r="L279" t="s">
        <v>74</v>
      </c>
      <c r="M279" t="s">
        <v>75</v>
      </c>
      <c r="N279" t="s">
        <v>938</v>
      </c>
      <c r="O279" t="s">
        <v>31</v>
      </c>
      <c r="P279">
        <v>1</v>
      </c>
      <c r="Q279">
        <v>2133.73</v>
      </c>
      <c r="R279">
        <v>0.15</v>
      </c>
      <c r="S279">
        <v>2008.39</v>
      </c>
      <c r="T279">
        <v>1002.57</v>
      </c>
      <c r="U279">
        <v>811.1</v>
      </c>
      <c r="V279" t="s">
        <v>111</v>
      </c>
      <c r="W279" t="s">
        <v>68</v>
      </c>
      <c r="X279" t="str">
        <f>_xlfn.TEXTJOIN("|", TRUE, A279:W279)</f>
        <v>ORD-2025-10278|45812|45812|0|OK|CUST-2819|Isha Nair|Corporate|North|Haryana|Gurugram|Technology|Accessories|Elite Accessories 291|Second Class|1|2133.73|0.15|2008.39|1002.57|811.1|Pending|Cancelled</v>
      </c>
      <c r="Y279">
        <f>COUNTIF($X$2:$X$1000, X279)</f>
        <v>1</v>
      </c>
      <c r="Z279">
        <f>COUNTIF($A$2:$A$1000, A279)</f>
        <v>1</v>
      </c>
      <c r="AA279" t="str">
        <f>IF(Y279&gt;1, "Exact Duplicate",
  IF(Z279&gt;1, "Conflicting Duplicate - Review",
    "Unique"))</f>
        <v>Unique</v>
      </c>
      <c r="AB279" s="2">
        <f>IF(ISBLANK(R279), 0, IF(ISTEXT(R279), VALUE(SUBSTITUTE(R279, "%", ""))/100, IF(OR(R279&lt;0, R279&gt;1), "Invalid", R279)))</f>
        <v>0.15</v>
      </c>
      <c r="AC279" s="4">
        <f>IF(AB279="Invalid", "Error", P279 * Q279 * (1 - AB279))</f>
        <v>1813.6704999999999</v>
      </c>
      <c r="AD279" s="4">
        <f>IF(AC279="Error", "Error", AC279 - T279)</f>
        <v>811.1004999999999</v>
      </c>
      <c r="AE279" s="2">
        <f>IF(AC279="Error", "Error", IF(AC279=0, 0, AD279 / AC279))</f>
        <v>0.4472149158295291</v>
      </c>
      <c r="AF279" s="7">
        <f>C279-B279</f>
        <v>0</v>
      </c>
      <c r="AG279" s="2" t="str">
        <f>TEXT(B279, "mmmm")</f>
        <v>June</v>
      </c>
      <c r="AH279" s="4">
        <f>YEAR(B279)</f>
        <v>2025</v>
      </c>
      <c r="AI279" s="2" t="str">
        <f t="shared" si="18"/>
        <v>Excluded from Sales</v>
      </c>
      <c r="AJ279">
        <f>COUNTIFS($A$2:$A$1000,A279,$B$2:$B$1000,B279,$C$2:$C$1000,C279,$D$2:$D$1000,D279,$E$2:$E$1000,E279,$F$2:$F$1000,F279)</f>
        <v>1</v>
      </c>
      <c r="AK279">
        <f>COUNTIF($A$2:$A$1000, A279)</f>
        <v>1</v>
      </c>
    </row>
    <row r="280" spans="1:37">
      <c r="A280" t="s">
        <v>939</v>
      </c>
      <c r="B280" s="5">
        <v>45723</v>
      </c>
      <c r="C280" s="5">
        <v>45730</v>
      </c>
      <c r="D280" s="6">
        <f>IF(AND(C280&lt;&gt;"",B280&lt;&gt;""), C280-B280, "Missing Date")</f>
        <v>7</v>
      </c>
      <c r="E280" s="6" t="str">
        <f>IF(OR(B280="",C280=""), "Missing Date",
    IF(C280&lt;B280, "Invalid: Ship before Order",
      "OK"))</f>
        <v>OK</v>
      </c>
      <c r="F280" t="s">
        <v>940</v>
      </c>
      <c r="G280" t="s">
        <v>114</v>
      </c>
      <c r="H280" t="s">
        <v>37</v>
      </c>
      <c r="I280" t="s">
        <v>25</v>
      </c>
      <c r="J280" t="s">
        <v>350</v>
      </c>
      <c r="K280" t="s">
        <v>351</v>
      </c>
      <c r="L280" t="s">
        <v>74</v>
      </c>
      <c r="M280" t="s">
        <v>75</v>
      </c>
      <c r="N280" t="s">
        <v>941</v>
      </c>
      <c r="O280" t="s">
        <v>44</v>
      </c>
      <c r="P280">
        <v>1</v>
      </c>
      <c r="Q280">
        <v>3979.64</v>
      </c>
      <c r="R280">
        <v>0.05</v>
      </c>
      <c r="S280">
        <v>3780.66</v>
      </c>
      <c r="T280">
        <v>2148.31</v>
      </c>
      <c r="U280">
        <v>1632.35</v>
      </c>
      <c r="V280" t="s">
        <v>32</v>
      </c>
      <c r="W280" t="s">
        <v>103</v>
      </c>
      <c r="X280" t="str">
        <f>_xlfn.TEXTJOIN("|", TRUE, A280:W280)</f>
        <v>ORD-2025-10279|45723|45730|7|OK|CUST-8242|Priya Menon|Small Business|North|Delhi|New Delhi|Technology|Accessories|Pro Accessories 207|Same Day|1|3979.64|0.05|3780.66|2148.31|1632.35|Paid|Returned</v>
      </c>
      <c r="Y280">
        <f>COUNTIF($X$2:$X$1000, X280)</f>
        <v>1</v>
      </c>
      <c r="Z280">
        <f>COUNTIF($A$2:$A$1000, A280)</f>
        <v>1</v>
      </c>
      <c r="AA280" t="str">
        <f>IF(Y280&gt;1, "Exact Duplicate",
  IF(Z280&gt;1, "Conflicting Duplicate - Review",
    "Unique"))</f>
        <v>Unique</v>
      </c>
      <c r="AB280" s="2">
        <f>IF(ISBLANK(R280), 0, IF(ISTEXT(R280), VALUE(SUBSTITUTE(R280, "%", ""))/100, IF(OR(R280&lt;0, R280&gt;1), "Invalid", R280)))</f>
        <v>0.05</v>
      </c>
      <c r="AC280" s="4">
        <f>IF(AB280="Invalid", "Error", P280 * Q280 * (1 - AB280))</f>
        <v>3780.6579999999999</v>
      </c>
      <c r="AD280" s="4">
        <f>IF(AC280="Error", "Error", AC280 - T280)</f>
        <v>1632.348</v>
      </c>
      <c r="AE280" s="2">
        <f>IF(AC280="Error", "Error", IF(AC280=0, 0, AD280 / AC280))</f>
        <v>0.43176293650470365</v>
      </c>
      <c r="AF280" s="7">
        <f>C280-B280</f>
        <v>7</v>
      </c>
      <c r="AG280" s="2" t="str">
        <f>TEXT(B280, "mmmm")</f>
        <v>March</v>
      </c>
      <c r="AH280" s="4">
        <f>YEAR(B280)</f>
        <v>2025</v>
      </c>
      <c r="AI280" s="2" t="str">
        <f t="shared" si="18"/>
        <v>Clean</v>
      </c>
      <c r="AJ280">
        <f>COUNTIFS($A$2:$A$1000,A280,$B$2:$B$1000,B280,$C$2:$C$1000,C280,$D$2:$D$1000,D280,$E$2:$E$1000,E280,$F$2:$F$1000,F280)</f>
        <v>1</v>
      </c>
      <c r="AK280">
        <f>COUNTIF($A$2:$A$1000, A280)</f>
        <v>1</v>
      </c>
    </row>
    <row r="281" spans="1:37">
      <c r="A281" t="s">
        <v>942</v>
      </c>
      <c r="B281" s="5">
        <v>45539</v>
      </c>
      <c r="C281" s="5">
        <v>45392</v>
      </c>
      <c r="D281" s="6">
        <f>IF(AND(C281&lt;&gt;"",B281&lt;&gt;""), C281-B281, "Missing Date")</f>
        <v>-147</v>
      </c>
      <c r="E281" s="6" t="str">
        <f>IF(OR(B281="",C281=""), "Missing Date",
    IF(C281&lt;B281, "Invalid: Ship before Order",
      "OK"))</f>
        <v>Invalid: Ship before Order</v>
      </c>
      <c r="F281" t="s">
        <v>943</v>
      </c>
      <c r="G281" t="s">
        <v>141</v>
      </c>
      <c r="H281" t="s">
        <v>37</v>
      </c>
      <c r="I281" t="s">
        <v>63</v>
      </c>
      <c r="J281" t="s">
        <v>64</v>
      </c>
      <c r="K281" t="s">
        <v>65</v>
      </c>
      <c r="L281" t="s">
        <v>28</v>
      </c>
      <c r="M281" t="s">
        <v>124</v>
      </c>
      <c r="N281" t="s">
        <v>944</v>
      </c>
      <c r="O281" t="s">
        <v>50</v>
      </c>
      <c r="P281">
        <v>1</v>
      </c>
      <c r="Q281">
        <v>4359.12</v>
      </c>
      <c r="R281">
        <v>0.05</v>
      </c>
      <c r="S281">
        <v>4141.16</v>
      </c>
      <c r="T281">
        <v>2754.17</v>
      </c>
      <c r="U281">
        <v>1386.99</v>
      </c>
      <c r="V281" t="s">
        <v>32</v>
      </c>
      <c r="W281" t="s">
        <v>33</v>
      </c>
      <c r="X281" t="str">
        <f>_xlfn.TEXTJOIN("|", TRUE, A281:W281)</f>
        <v>ORD-2024-10280|45539|45392|-147|Invalid: Ship before Order|CUST-4571|Rohan Mehta|Small Business|West|Maharashtra|Mumbai|Office Supplies|Storage|Max Storage 564|First Class|1|4359.12|0.05|4141.16|2754.17|1386.99|Paid|Completed</v>
      </c>
      <c r="Y281">
        <f>COUNTIF($X$2:$X$1000, X281)</f>
        <v>1</v>
      </c>
      <c r="Z281">
        <f>COUNTIF($A$2:$A$1000, A281)</f>
        <v>1</v>
      </c>
      <c r="AA281" t="str">
        <f>IF(Y281&gt;1, "Exact Duplicate",
  IF(Z281&gt;1, "Conflicting Duplicate - Review",
    "Unique"))</f>
        <v>Unique</v>
      </c>
      <c r="AB281" s="2">
        <f>IF(ISBLANK(R281), 0, IF(ISTEXT(R281), VALUE(SUBSTITUTE(R281, "%", ""))/100, IF(OR(R281&lt;0, R281&gt;1), "Invalid", R281)))</f>
        <v>0.05</v>
      </c>
      <c r="AC281" s="4">
        <f>IF(AB281="Invalid", "Error", P281 * Q281 * (1 - AB281))</f>
        <v>4141.1639999999998</v>
      </c>
      <c r="AD281" s="4">
        <f>IF(AC281="Error", "Error", AC281 - T281)</f>
        <v>1386.9939999999997</v>
      </c>
      <c r="AE281" s="2">
        <f>IF(AC281="Error", "Error", IF(AC281=0, 0, AD281 / AC281))</f>
        <v>0.33492853700070796</v>
      </c>
      <c r="AF281" s="7">
        <f>C281-B281</f>
        <v>-147</v>
      </c>
      <c r="AG281" s="2" t="str">
        <f>TEXT(B281, "mmmm")</f>
        <v>September</v>
      </c>
      <c r="AH281" s="4">
        <f>YEAR(B281)</f>
        <v>2024</v>
      </c>
      <c r="AI281" s="2" t="str">
        <f t="shared" si="18"/>
        <v>Invalid Shipping Record</v>
      </c>
      <c r="AJ281">
        <f>COUNTIFS($A$2:$A$1000,A281,$B$2:$B$1000,B281,$C$2:$C$1000,C281,$D$2:$D$1000,D281,$E$2:$E$1000,E281,$F$2:$F$1000,F281)</f>
        <v>1</v>
      </c>
      <c r="AK281">
        <f>COUNTIF($A$2:$A$1000, A281)</f>
        <v>1</v>
      </c>
    </row>
    <row r="282" spans="1:37">
      <c r="A282" t="s">
        <v>945</v>
      </c>
      <c r="B282" s="5">
        <v>45649</v>
      </c>
      <c r="C282" s="5">
        <v>45652</v>
      </c>
      <c r="D282" s="6">
        <f>IF(AND(C282&lt;&gt;"",B282&lt;&gt;""), C282-B282, "Missing Date")</f>
        <v>3</v>
      </c>
      <c r="E282" s="6" t="str">
        <f>IF(OR(B282="",C282=""), "Missing Date",
    IF(C282&lt;B282, "Invalid: Ship before Order",
      "OK"))</f>
        <v>OK</v>
      </c>
      <c r="F282" t="s">
        <v>946</v>
      </c>
      <c r="G282" t="s">
        <v>89</v>
      </c>
      <c r="H282" t="s">
        <v>24</v>
      </c>
      <c r="I282" t="s">
        <v>54</v>
      </c>
      <c r="J282" t="s">
        <v>175</v>
      </c>
      <c r="K282" t="s">
        <v>176</v>
      </c>
      <c r="L282" t="s">
        <v>74</v>
      </c>
      <c r="M282" t="s">
        <v>80</v>
      </c>
      <c r="N282" t="s">
        <v>947</v>
      </c>
      <c r="O282" t="s">
        <v>59</v>
      </c>
      <c r="P282">
        <v>9</v>
      </c>
      <c r="Q282">
        <v>993.67</v>
      </c>
      <c r="R282">
        <v>0</v>
      </c>
      <c r="S282">
        <v>8943.0300000000007</v>
      </c>
      <c r="T282">
        <v>5165.38</v>
      </c>
      <c r="U282">
        <v>3777.65</v>
      </c>
      <c r="V282" t="s">
        <v>32</v>
      </c>
      <c r="W282" t="s">
        <v>33</v>
      </c>
      <c r="X282" t="str">
        <f>_xlfn.TEXTJOIN("|", TRUE, A282:W282)</f>
        <v>ORD-2024-10281|45649|45652|3|OK|CUST-4098|Aditi Sen|Consumer|South|Karnataka|Bengaluru|Technology|Copiers|Prime Copiers 961|Standard Class|9|993.67|0|8943.03|5165.38|3777.65|Paid|Completed</v>
      </c>
      <c r="Y282">
        <f>COUNTIF($X$2:$X$1000, X282)</f>
        <v>1</v>
      </c>
      <c r="Z282">
        <f>COUNTIF($A$2:$A$1000, A282)</f>
        <v>2</v>
      </c>
      <c r="AA282" t="str">
        <f>IF(Y282&gt;1, "Exact Duplicate",
  IF(Z282&gt;1, "Conflicting Duplicate - Review",
    "Unique"))</f>
        <v>Conflicting Duplicate - Review</v>
      </c>
      <c r="AB282" s="2">
        <f>IF(ISBLANK(R282), 0, IF(ISTEXT(R282), VALUE(SUBSTITUTE(R282, "%", ""))/100, IF(OR(R282&lt;0, R282&gt;1), "Invalid", R282)))</f>
        <v>0</v>
      </c>
      <c r="AC282" s="4">
        <f>IF(AB282="Invalid", "Error", P282 * Q282 * (1 - AB282))</f>
        <v>8943.0299999999988</v>
      </c>
      <c r="AD282" s="4">
        <f>IF(AC282="Error", "Error", AC282 - T282)</f>
        <v>3777.6499999999987</v>
      </c>
      <c r="AE282" s="2">
        <f>IF(AC282="Error", "Error", IF(AC282=0, 0, AD282 / AC282))</f>
        <v>0.42241276167026154</v>
      </c>
      <c r="AF282" s="7">
        <f>C282-B282</f>
        <v>3</v>
      </c>
      <c r="AG282" s="2" t="str">
        <f>TEXT(B282, "mmmm")</f>
        <v>December</v>
      </c>
      <c r="AH282" s="4">
        <f>YEAR(B282)</f>
        <v>2024</v>
      </c>
      <c r="AI282" s="2" t="str">
        <f t="shared" si="18"/>
        <v>Clean</v>
      </c>
      <c r="AJ282">
        <f>COUNTIFS($A$2:$A$1000,A282,$B$2:$B$1000,B282,$C$2:$C$1000,C282,$D$2:$D$1000,D282,$E$2:$E$1000,E282,$F$2:$F$1000,F282)</f>
        <v>2</v>
      </c>
      <c r="AK282">
        <f>COUNTIF($A$2:$A$1000, A282)</f>
        <v>2</v>
      </c>
    </row>
    <row r="283" spans="1:37">
      <c r="A283" t="s">
        <v>948</v>
      </c>
      <c r="B283" s="5">
        <v>45863</v>
      </c>
      <c r="C283" s="5">
        <v>45865</v>
      </c>
      <c r="D283" s="6">
        <f>IF(AND(C283&lt;&gt;"",B283&lt;&gt;""), C283-B283, "Missing Date")</f>
        <v>2</v>
      </c>
      <c r="E283" s="6" t="str">
        <f>IF(OR(B283="",C283=""), "Missing Date",
    IF(C283&lt;B283, "Invalid: Ship before Order",
      "OK"))</f>
        <v>OK</v>
      </c>
      <c r="F283" t="s">
        <v>949</v>
      </c>
      <c r="G283" t="s">
        <v>264</v>
      </c>
      <c r="H283" t="s">
        <v>24</v>
      </c>
      <c r="I283" t="s">
        <v>38</v>
      </c>
      <c r="J283" t="s">
        <v>228</v>
      </c>
      <c r="K283" t="s">
        <v>229</v>
      </c>
      <c r="L283" t="s">
        <v>28</v>
      </c>
      <c r="M283" t="s">
        <v>153</v>
      </c>
      <c r="N283" t="s">
        <v>950</v>
      </c>
      <c r="O283" t="s">
        <v>31</v>
      </c>
      <c r="P283">
        <v>6</v>
      </c>
      <c r="Q283">
        <v>3438.38</v>
      </c>
      <c r="R283">
        <v>0.2</v>
      </c>
      <c r="S283">
        <v>16504.22</v>
      </c>
      <c r="T283">
        <v>11262.71</v>
      </c>
      <c r="U283">
        <v>5241.51</v>
      </c>
      <c r="V283" t="s">
        <v>32</v>
      </c>
      <c r="W283" t="s">
        <v>33</v>
      </c>
      <c r="X283" t="str">
        <f>_xlfn.TEXTJOIN("|", TRUE, A283:W283)</f>
        <v>ORD-2025-10282|45863|45865|2|OK|CUST-2052|Kabir Singh|Consumer|East|Jharkhand|Ranchi|Office Supplies|Binders|Basic Binders 637|Second Class|6|3438.38|0.2|16504.22|11262.71|5241.51|Paid|Completed</v>
      </c>
      <c r="Y283">
        <f>COUNTIF($X$2:$X$1000, X283)</f>
        <v>1</v>
      </c>
      <c r="Z283">
        <f>COUNTIF($A$2:$A$1000, A283)</f>
        <v>1</v>
      </c>
      <c r="AA283" t="str">
        <f>IF(Y283&gt;1, "Exact Duplicate",
  IF(Z283&gt;1, "Conflicting Duplicate - Review",
    "Unique"))</f>
        <v>Unique</v>
      </c>
      <c r="AB283" s="2">
        <f>IF(ISBLANK(R283), 0, IF(ISTEXT(R283), VALUE(SUBSTITUTE(R283, "%", ""))/100, IF(OR(R283&lt;0, R283&gt;1), "Invalid", R283)))</f>
        <v>0.2</v>
      </c>
      <c r="AC283" s="4">
        <f>IF(AB283="Invalid", "Error", P283 * Q283 * (1 - AB283))</f>
        <v>16504.223999999998</v>
      </c>
      <c r="AD283" s="4">
        <f>IF(AC283="Error", "Error", AC283 - T283)</f>
        <v>5241.5139999999992</v>
      </c>
      <c r="AE283" s="2">
        <f>IF(AC283="Error", "Error", IF(AC283=0, 0, AD283 / AC283))</f>
        <v>0.31758621308096641</v>
      </c>
      <c r="AF283" s="7">
        <f>C283-B283</f>
        <v>2</v>
      </c>
      <c r="AG283" s="2" t="str">
        <f>TEXT(B283, "mmmm")</f>
        <v>July</v>
      </c>
      <c r="AH283" s="4">
        <f>YEAR(B283)</f>
        <v>2025</v>
      </c>
      <c r="AI283" s="2" t="str">
        <f t="shared" si="18"/>
        <v>Clean</v>
      </c>
      <c r="AJ283">
        <f>COUNTIFS($A$2:$A$1000,A283,$B$2:$B$1000,B283,$C$2:$C$1000,C283,$D$2:$D$1000,D283,$E$2:$E$1000,E283,$F$2:$F$1000,F283)</f>
        <v>1</v>
      </c>
      <c r="AK283">
        <f>COUNTIF($A$2:$A$1000, A283)</f>
        <v>1</v>
      </c>
    </row>
    <row r="284" spans="1:37">
      <c r="A284" t="s">
        <v>951</v>
      </c>
      <c r="B284" s="5">
        <v>45566</v>
      </c>
      <c r="C284" s="5">
        <v>45332</v>
      </c>
      <c r="D284" s="6">
        <f>IF(AND(C284&lt;&gt;"",B284&lt;&gt;""), C284-B284, "Missing Date")</f>
        <v>-234</v>
      </c>
      <c r="E284" s="6" t="str">
        <f>IF(OR(B284="",C284=""), "Missing Date",
    IF(C284&lt;B284, "Invalid: Ship before Order",
      "OK"))</f>
        <v>Invalid: Ship before Order</v>
      </c>
      <c r="F284" t="s">
        <v>952</v>
      </c>
      <c r="G284" t="s">
        <v>23</v>
      </c>
      <c r="H284" t="s">
        <v>95</v>
      </c>
      <c r="I284" t="s">
        <v>38</v>
      </c>
      <c r="J284" t="s">
        <v>166</v>
      </c>
      <c r="K284" t="s">
        <v>167</v>
      </c>
      <c r="L284" t="s">
        <v>41</v>
      </c>
      <c r="M284" t="s">
        <v>42</v>
      </c>
      <c r="N284" t="s">
        <v>953</v>
      </c>
      <c r="O284" t="s">
        <v>31</v>
      </c>
      <c r="P284">
        <v>2</v>
      </c>
      <c r="Q284">
        <v>2298</v>
      </c>
      <c r="R284">
        <v>0</v>
      </c>
      <c r="S284">
        <v>4596</v>
      </c>
      <c r="T284">
        <v>3220.33</v>
      </c>
      <c r="U284">
        <v>1375.67</v>
      </c>
      <c r="V284" t="s">
        <v>32</v>
      </c>
      <c r="W284" t="s">
        <v>33</v>
      </c>
      <c r="X284" t="str">
        <f>_xlfn.TEXTJOIN("|", TRUE, A284:W284)</f>
        <v>ORD-2024-10283|45566|45332|-234|Invalid: Ship before Order|CUST-9445|Karan Malhotra|Home Office|East|Assam|Guwahati|Furniture|Tables|Classic Tables 811|Second Class|2|2298|0|4596|3220.33|1375.67|Paid|Completed</v>
      </c>
      <c r="Y284">
        <f>COUNTIF($X$2:$X$1000, X284)</f>
        <v>1</v>
      </c>
      <c r="Z284">
        <f>COUNTIF($A$2:$A$1000, A284)</f>
        <v>1</v>
      </c>
      <c r="AA284" t="str">
        <f>IF(Y284&gt;1, "Exact Duplicate",
  IF(Z284&gt;1, "Conflicting Duplicate - Review",
    "Unique"))</f>
        <v>Unique</v>
      </c>
      <c r="AB284" s="2">
        <f>IF(ISBLANK(R284), 0, IF(ISTEXT(R284), VALUE(SUBSTITUTE(R284, "%", ""))/100, IF(OR(R284&lt;0, R284&gt;1), "Invalid", R284)))</f>
        <v>0</v>
      </c>
      <c r="AC284" s="4">
        <f>IF(AB284="Invalid", "Error", P284 * Q284 * (1 - AB284))</f>
        <v>4596</v>
      </c>
      <c r="AD284" s="4">
        <f>IF(AC284="Error", "Error", AC284 - T284)</f>
        <v>1375.67</v>
      </c>
      <c r="AE284" s="2">
        <f>IF(AC284="Error", "Error", IF(AC284=0, 0, AD284 / AC284))</f>
        <v>0.29931897302001742</v>
      </c>
      <c r="AF284" s="7">
        <f>C284-B284</f>
        <v>-234</v>
      </c>
      <c r="AG284" s="2" t="str">
        <f>TEXT(B284, "mmmm")</f>
        <v>October</v>
      </c>
      <c r="AH284" s="4">
        <f>YEAR(B284)</f>
        <v>2024</v>
      </c>
      <c r="AI284" s="2" t="str">
        <f t="shared" si="18"/>
        <v>Invalid Shipping Record</v>
      </c>
      <c r="AJ284">
        <f>COUNTIFS($A$2:$A$1000,A284,$B$2:$B$1000,B284,$C$2:$C$1000,C284,$D$2:$D$1000,D284,$E$2:$E$1000,E284,$F$2:$F$1000,F284)</f>
        <v>1</v>
      </c>
      <c r="AK284">
        <f>COUNTIF($A$2:$A$1000, A284)</f>
        <v>1</v>
      </c>
    </row>
    <row r="285" spans="1:37">
      <c r="A285" t="s">
        <v>954</v>
      </c>
      <c r="B285" s="5">
        <v>45729</v>
      </c>
      <c r="C285" s="5">
        <v>45736</v>
      </c>
      <c r="D285" s="6">
        <f>IF(AND(C285&lt;&gt;"",B285&lt;&gt;""), C285-B285, "Missing Date")</f>
        <v>7</v>
      </c>
      <c r="E285" s="6" t="str">
        <f>IF(OR(B285="",C285=""), "Missing Date",
    IF(C285&lt;B285, "Invalid: Ship before Order",
      "OK"))</f>
        <v>OK</v>
      </c>
      <c r="F285" t="s">
        <v>955</v>
      </c>
      <c r="G285" t="s">
        <v>71</v>
      </c>
      <c r="H285" t="s">
        <v>24</v>
      </c>
      <c r="I285" t="s">
        <v>63</v>
      </c>
      <c r="J285" t="s">
        <v>64</v>
      </c>
      <c r="K285" t="s">
        <v>65</v>
      </c>
      <c r="L285" t="s">
        <v>41</v>
      </c>
      <c r="M285" t="s">
        <v>57</v>
      </c>
      <c r="N285" t="s">
        <v>956</v>
      </c>
      <c r="O285" t="s">
        <v>50</v>
      </c>
      <c r="P285">
        <v>1</v>
      </c>
      <c r="Q285">
        <v>1814.01</v>
      </c>
      <c r="R285">
        <v>0</v>
      </c>
      <c r="S285">
        <v>1814.01</v>
      </c>
      <c r="T285">
        <v>1033.47</v>
      </c>
      <c r="U285">
        <v>780.54</v>
      </c>
      <c r="V285" t="s">
        <v>32</v>
      </c>
      <c r="W285" t="s">
        <v>33</v>
      </c>
      <c r="X285" t="str">
        <f>_xlfn.TEXTJOIN("|", TRUE, A285:W285)</f>
        <v>ORD-2025-10284|45729|45736|7|OK|CUST-6568|Vikram Iyer|Consumer|West|Maharashtra|Mumbai|Furniture|Furnishings|Classic Furnishings 819|First Class|1|1814.01|0|1814.01|1033.47|780.54|Paid|Completed</v>
      </c>
      <c r="Y285">
        <f>COUNTIF($X$2:$X$1000, X285)</f>
        <v>1</v>
      </c>
      <c r="Z285">
        <f>COUNTIF($A$2:$A$1000, A285)</f>
        <v>1</v>
      </c>
      <c r="AA285" t="str">
        <f>IF(Y285&gt;1, "Exact Duplicate",
  IF(Z285&gt;1, "Conflicting Duplicate - Review",
    "Unique"))</f>
        <v>Unique</v>
      </c>
      <c r="AB285" s="2">
        <f>IF(ISBLANK(R285), 0, IF(ISTEXT(R285), VALUE(SUBSTITUTE(R285, "%", ""))/100, IF(OR(R285&lt;0, R285&gt;1), "Invalid", R285)))</f>
        <v>0</v>
      </c>
      <c r="AC285" s="4">
        <f>IF(AB285="Invalid", "Error", P285 * Q285 * (1 - AB285))</f>
        <v>1814.01</v>
      </c>
      <c r="AD285" s="4">
        <f>IF(AC285="Error", "Error", AC285 - T285)</f>
        <v>780.54</v>
      </c>
      <c r="AE285" s="2">
        <f>IF(AC285="Error", "Error", IF(AC285=0, 0, AD285 / AC285))</f>
        <v>0.43028428729720342</v>
      </c>
      <c r="AF285" s="7">
        <f>C285-B285</f>
        <v>7</v>
      </c>
      <c r="AG285" s="2" t="str">
        <f>TEXT(B285, "mmmm")</f>
        <v>March</v>
      </c>
      <c r="AH285" s="4">
        <f>YEAR(B285)</f>
        <v>2025</v>
      </c>
      <c r="AI285" s="2" t="str">
        <f t="shared" si="18"/>
        <v>Clean</v>
      </c>
      <c r="AJ285">
        <f>COUNTIFS($A$2:$A$1000,A285,$B$2:$B$1000,B285,$C$2:$C$1000,C285,$D$2:$D$1000,D285,$E$2:$E$1000,E285,$F$2:$F$1000,F285)</f>
        <v>1</v>
      </c>
      <c r="AK285">
        <f>COUNTIF($A$2:$A$1000, A285)</f>
        <v>1</v>
      </c>
    </row>
    <row r="286" spans="1:37">
      <c r="A286" t="s">
        <v>957</v>
      </c>
      <c r="B286" s="5">
        <v>45516</v>
      </c>
      <c r="C286" s="5">
        <v>45640</v>
      </c>
      <c r="D286" s="6">
        <f>IF(AND(C286&lt;&gt;"",B286&lt;&gt;""), C286-B286, "Missing Date")</f>
        <v>124</v>
      </c>
      <c r="E286" s="6" t="str">
        <f>IF(OR(B286="",C286=""), "Missing Date",
    IF(C286&lt;B286, "Invalid: Ship before Order",
      "OK"))</f>
        <v>OK</v>
      </c>
      <c r="F286" t="s">
        <v>958</v>
      </c>
      <c r="G286" t="s">
        <v>23</v>
      </c>
      <c r="H286" t="s">
        <v>24</v>
      </c>
      <c r="I286" t="s">
        <v>38</v>
      </c>
      <c r="J286" t="s">
        <v>39</v>
      </c>
      <c r="K286" t="s">
        <v>40</v>
      </c>
      <c r="L286" t="s">
        <v>41</v>
      </c>
      <c r="M286" t="s">
        <v>42</v>
      </c>
      <c r="N286" t="s">
        <v>959</v>
      </c>
      <c r="O286" t="s">
        <v>44</v>
      </c>
      <c r="P286">
        <v>3</v>
      </c>
      <c r="Q286">
        <v>1576.92</v>
      </c>
      <c r="R286">
        <v>0</v>
      </c>
      <c r="S286">
        <v>4730.76</v>
      </c>
      <c r="T286">
        <v>3139.73</v>
      </c>
      <c r="U286">
        <v>1591.03</v>
      </c>
      <c r="V286" t="s">
        <v>32</v>
      </c>
      <c r="W286" t="s">
        <v>103</v>
      </c>
      <c r="X286" t="str">
        <f>_xlfn.TEXTJOIN("|", TRUE, A286:W286)</f>
        <v>ORD-2024-10285|45516|45640|124|OK|CUST-2076|Karan Malhotra|Consumer|East|Odisha|Bhubaneswar|Furniture|Tables|Prime Tables 542|Same Day|3|1576.92|0|4730.76|3139.73|1591.03|Paid|Returned</v>
      </c>
      <c r="Y286">
        <f>COUNTIF($X$2:$X$1000, X286)</f>
        <v>1</v>
      </c>
      <c r="Z286">
        <f>COUNTIF($A$2:$A$1000, A286)</f>
        <v>1</v>
      </c>
      <c r="AA286" t="str">
        <f>IF(Y286&gt;1, "Exact Duplicate",
  IF(Z286&gt;1, "Conflicting Duplicate - Review",
    "Unique"))</f>
        <v>Unique</v>
      </c>
      <c r="AB286" s="2">
        <f>IF(ISBLANK(R286), 0, IF(ISTEXT(R286), VALUE(SUBSTITUTE(R286, "%", ""))/100, IF(OR(R286&lt;0, R286&gt;1), "Invalid", R286)))</f>
        <v>0</v>
      </c>
      <c r="AC286" s="4">
        <f>IF(AB286="Invalid", "Error", P286 * Q286 * (1 - AB286))</f>
        <v>4730.76</v>
      </c>
      <c r="AD286" s="4">
        <f>IF(AC286="Error", "Error", AC286 - T286)</f>
        <v>1591.0300000000002</v>
      </c>
      <c r="AE286" s="2">
        <f>IF(AC286="Error", "Error", IF(AC286=0, 0, AD286 / AC286))</f>
        <v>0.33631594077907145</v>
      </c>
      <c r="AF286" s="7">
        <f>C286-B286</f>
        <v>124</v>
      </c>
      <c r="AG286" s="2" t="str">
        <f>TEXT(B286, "mmmm")</f>
        <v>August</v>
      </c>
      <c r="AH286" s="4">
        <f>YEAR(B286)</f>
        <v>2024</v>
      </c>
      <c r="AI286" s="2" t="str">
        <f t="shared" si="18"/>
        <v>Clean</v>
      </c>
      <c r="AJ286">
        <f>COUNTIFS($A$2:$A$1000,A286,$B$2:$B$1000,B286,$C$2:$C$1000,C286,$D$2:$D$1000,D286,$E$2:$E$1000,E286,$F$2:$F$1000,F286)</f>
        <v>1</v>
      </c>
      <c r="AK286">
        <f>COUNTIF($A$2:$A$1000, A286)</f>
        <v>1</v>
      </c>
    </row>
    <row r="287" spans="1:37">
      <c r="A287" t="s">
        <v>960</v>
      </c>
      <c r="B287" s="5">
        <v>45884</v>
      </c>
      <c r="C287" s="5">
        <v>45889</v>
      </c>
      <c r="D287" s="6">
        <f>IF(AND(C287&lt;&gt;"",B287&lt;&gt;""), C287-B287, "Missing Date")</f>
        <v>5</v>
      </c>
      <c r="E287" s="6" t="str">
        <f>IF(OR(B287="",C287=""), "Missing Date",
    IF(C287&lt;B287, "Invalid: Ship before Order",
      "OK"))</f>
        <v>OK</v>
      </c>
      <c r="F287" t="s">
        <v>961</v>
      </c>
      <c r="G287" t="s">
        <v>79</v>
      </c>
      <c r="H287" t="s">
        <v>95</v>
      </c>
      <c r="I287" t="s">
        <v>25</v>
      </c>
      <c r="J287" t="s">
        <v>26</v>
      </c>
      <c r="K287" t="s">
        <v>27</v>
      </c>
      <c r="L287" t="s">
        <v>28</v>
      </c>
      <c r="M287" t="s">
        <v>124</v>
      </c>
      <c r="N287" t="s">
        <v>962</v>
      </c>
      <c r="O287" t="s">
        <v>59</v>
      </c>
      <c r="P287">
        <v>9</v>
      </c>
      <c r="Q287">
        <v>4081.77</v>
      </c>
      <c r="R287">
        <v>0</v>
      </c>
      <c r="S287">
        <v>36735.93</v>
      </c>
      <c r="T287">
        <v>30820.84</v>
      </c>
      <c r="U287">
        <v>5915.09</v>
      </c>
      <c r="V287" t="s">
        <v>32</v>
      </c>
      <c r="W287" t="s">
        <v>33</v>
      </c>
      <c r="X287" t="str">
        <f>_xlfn.TEXTJOIN("|", TRUE, A287:W287)</f>
        <v>ORD-2025-10286|45884|45889|5|OK|CUST-5610|Neha Gupta|Home Office|North|Rajasthan|Jaipur|Office Supplies|Storage|Basic Storage 771|Standard Class|9|4081.77|0|36735.93|30820.84|5915.09|Paid|Completed</v>
      </c>
      <c r="Y287">
        <f>COUNTIF($X$2:$X$1000, X287)</f>
        <v>1</v>
      </c>
      <c r="Z287">
        <f>COUNTIF($A$2:$A$1000, A287)</f>
        <v>1</v>
      </c>
      <c r="AA287" t="str">
        <f>IF(Y287&gt;1, "Exact Duplicate",
  IF(Z287&gt;1, "Conflicting Duplicate - Review",
    "Unique"))</f>
        <v>Unique</v>
      </c>
      <c r="AB287" s="2">
        <f>IF(ISBLANK(R287), 0, IF(ISTEXT(R287), VALUE(SUBSTITUTE(R287, "%", ""))/100, IF(OR(R287&lt;0, R287&gt;1), "Invalid", R287)))</f>
        <v>0</v>
      </c>
      <c r="AC287" s="4">
        <f>IF(AB287="Invalid", "Error", P287 * Q287 * (1 - AB287))</f>
        <v>36735.93</v>
      </c>
      <c r="AD287" s="4">
        <f>IF(AC287="Error", "Error", AC287 - T287)</f>
        <v>5915.09</v>
      </c>
      <c r="AE287" s="2">
        <f>IF(AC287="Error", "Error", IF(AC287=0, 0, AD287 / AC287))</f>
        <v>0.16101647624001897</v>
      </c>
      <c r="AF287" s="7">
        <f>C287-B287</f>
        <v>5</v>
      </c>
      <c r="AG287" s="2" t="str">
        <f>TEXT(B287, "mmmm")</f>
        <v>August</v>
      </c>
      <c r="AH287" s="4">
        <f>YEAR(B287)</f>
        <v>2025</v>
      </c>
      <c r="AI287" s="2" t="str">
        <f t="shared" si="18"/>
        <v>Clean</v>
      </c>
      <c r="AJ287">
        <f>COUNTIFS($A$2:$A$1000,A287,$B$2:$B$1000,B287,$C$2:$C$1000,C287,$D$2:$D$1000,D287,$E$2:$E$1000,E287,$F$2:$F$1000,F287)</f>
        <v>1</v>
      </c>
      <c r="AK287">
        <f>COUNTIF($A$2:$A$1000, A287)</f>
        <v>1</v>
      </c>
    </row>
    <row r="288" spans="1:37">
      <c r="A288" t="s">
        <v>963</v>
      </c>
      <c r="B288" s="5">
        <v>45350</v>
      </c>
      <c r="C288" s="5">
        <v>45325</v>
      </c>
      <c r="D288" s="6">
        <f>IF(AND(C288&lt;&gt;"",B288&lt;&gt;""), C288-B288, "Missing Date")</f>
        <v>-25</v>
      </c>
      <c r="E288" s="6" t="str">
        <f>IF(OR(B288="",C288=""), "Missing Date",
    IF(C288&lt;B288, "Invalid: Ship before Order",
      "OK"))</f>
        <v>Invalid: Ship before Order</v>
      </c>
      <c r="F288" t="s">
        <v>964</v>
      </c>
      <c r="G288" t="s">
        <v>114</v>
      </c>
      <c r="H288" t="s">
        <v>37</v>
      </c>
      <c r="I288" t="s">
        <v>25</v>
      </c>
      <c r="J288" t="s">
        <v>350</v>
      </c>
      <c r="K288" t="s">
        <v>351</v>
      </c>
      <c r="L288" t="s">
        <v>41</v>
      </c>
      <c r="M288" t="s">
        <v>57</v>
      </c>
      <c r="N288" t="s">
        <v>965</v>
      </c>
      <c r="O288" t="s">
        <v>50</v>
      </c>
      <c r="P288">
        <v>7</v>
      </c>
      <c r="Q288">
        <v>701.8</v>
      </c>
      <c r="R288">
        <v>0.1</v>
      </c>
      <c r="S288">
        <v>4421.34</v>
      </c>
      <c r="T288">
        <v>2489.98</v>
      </c>
      <c r="U288">
        <v>1931.36</v>
      </c>
      <c r="V288" t="s">
        <v>111</v>
      </c>
      <c r="W288" t="s">
        <v>103</v>
      </c>
      <c r="X288" t="str">
        <f>_xlfn.TEXTJOIN("|", TRUE, A288:W288)</f>
        <v>ORD-2024-10287|45350|45325|-25|Invalid: Ship before Order|CUST-5823|Priya Menon|Small Business|North|Delhi|New Delhi|Furniture|Furnishings|Pro Furnishings 848|First Class|7|701.8|0.1|4421.34|2489.98|1931.36|Pending|Returned</v>
      </c>
      <c r="Y288">
        <f>COUNTIF($X$2:$X$1000, X288)</f>
        <v>1</v>
      </c>
      <c r="Z288">
        <f>COUNTIF($A$2:$A$1000, A288)</f>
        <v>1</v>
      </c>
      <c r="AA288" t="str">
        <f>IF(Y288&gt;1, "Exact Duplicate",
  IF(Z288&gt;1, "Conflicting Duplicate - Review",
    "Unique"))</f>
        <v>Unique</v>
      </c>
      <c r="AB288" s="2">
        <f>IF(ISBLANK(R288), 0, IF(ISTEXT(R288), VALUE(SUBSTITUTE(R288, "%", ""))/100, IF(OR(R288&lt;0, R288&gt;1), "Invalid", R288)))</f>
        <v>0.1</v>
      </c>
      <c r="AC288" s="4">
        <f>IF(AB288="Invalid", "Error", P288 * Q288 * (1 - AB288))</f>
        <v>4421.3399999999992</v>
      </c>
      <c r="AD288" s="4">
        <f>IF(AC288="Error", "Error", AC288 - T288)</f>
        <v>1931.3599999999992</v>
      </c>
      <c r="AE288" s="2">
        <f>IF(AC288="Error", "Error", IF(AC288=0, 0, AD288 / AC288))</f>
        <v>0.43682684435035524</v>
      </c>
      <c r="AF288" s="7">
        <f>C288-B288</f>
        <v>-25</v>
      </c>
      <c r="AG288" s="2" t="str">
        <f>TEXT(B288, "mmmm")</f>
        <v>February</v>
      </c>
      <c r="AH288" s="4">
        <f>YEAR(B288)</f>
        <v>2024</v>
      </c>
      <c r="AI288" s="2" t="str">
        <f t="shared" si="18"/>
        <v>Invalid Shipping Record</v>
      </c>
      <c r="AJ288">
        <f>COUNTIFS($A$2:$A$1000,A288,$B$2:$B$1000,B288,$C$2:$C$1000,C288,$D$2:$D$1000,D288,$E$2:$E$1000,E288,$F$2:$F$1000,F288)</f>
        <v>1</v>
      </c>
      <c r="AK288">
        <f>COUNTIF($A$2:$A$1000, A288)</f>
        <v>1</v>
      </c>
    </row>
    <row r="289" spans="1:37">
      <c r="A289" t="s">
        <v>966</v>
      </c>
      <c r="B289" s="5">
        <v>45421</v>
      </c>
      <c r="C289" s="5">
        <v>45542</v>
      </c>
      <c r="D289" s="6">
        <f>IF(AND(C289&lt;&gt;"",B289&lt;&gt;""), C289-B289, "Missing Date")</f>
        <v>121</v>
      </c>
      <c r="E289" s="6" t="str">
        <f>IF(OR(B289="",C289=""), "Missing Date",
    IF(C289&lt;B289, "Invalid: Ship before Order",
      "OK"))</f>
        <v>OK</v>
      </c>
      <c r="F289" t="s">
        <v>967</v>
      </c>
      <c r="G289" t="s">
        <v>79</v>
      </c>
      <c r="H289" t="s">
        <v>37</v>
      </c>
      <c r="I289" t="s">
        <v>54</v>
      </c>
      <c r="J289" t="s">
        <v>247</v>
      </c>
      <c r="K289" t="s">
        <v>248</v>
      </c>
      <c r="L289" t="s">
        <v>74</v>
      </c>
      <c r="M289" t="s">
        <v>80</v>
      </c>
      <c r="N289" t="s">
        <v>968</v>
      </c>
      <c r="O289" t="s">
        <v>59</v>
      </c>
      <c r="P289">
        <v>3</v>
      </c>
      <c r="Q289">
        <v>2555.66</v>
      </c>
      <c r="R289">
        <v>0.15</v>
      </c>
      <c r="S289">
        <v>6516.93</v>
      </c>
      <c r="T289">
        <v>4511.54</v>
      </c>
      <c r="U289">
        <v>2005.39</v>
      </c>
      <c r="V289" t="s">
        <v>32</v>
      </c>
      <c r="W289" t="s">
        <v>68</v>
      </c>
      <c r="X289" t="str">
        <f>_xlfn.TEXTJOIN("|", TRUE, A289:W289)</f>
        <v>ORD-2024-10288|45421|45542|121|OK|CUST-7095|Neha Gupta|Small Business|South|Tamil Nadu|Chennai|Technology|Copiers|Prime Copiers 924|Standard Class|3|2555.66|0.15|6516.93|4511.54|2005.39|Paid|Cancelled</v>
      </c>
      <c r="Y289">
        <f>COUNTIF($X$2:$X$1000, X289)</f>
        <v>1</v>
      </c>
      <c r="Z289">
        <f>COUNTIF($A$2:$A$1000, A289)</f>
        <v>1</v>
      </c>
      <c r="AA289" t="str">
        <f>IF(Y289&gt;1, "Exact Duplicate",
  IF(Z289&gt;1, "Conflicting Duplicate - Review",
    "Unique"))</f>
        <v>Unique</v>
      </c>
      <c r="AB289" s="2">
        <f>IF(ISBLANK(R289), 0, IF(ISTEXT(R289), VALUE(SUBSTITUTE(R289, "%", ""))/100, IF(OR(R289&lt;0, R289&gt;1), "Invalid", R289)))</f>
        <v>0.15</v>
      </c>
      <c r="AC289" s="4">
        <f>IF(AB289="Invalid", "Error", P289 * Q289 * (1 - AB289))</f>
        <v>6516.9329999999991</v>
      </c>
      <c r="AD289" s="4">
        <f>IF(AC289="Error", "Error", AC289 - T289)</f>
        <v>2005.3929999999991</v>
      </c>
      <c r="AE289" s="2">
        <f>IF(AC289="Error", "Error", IF(AC289=0, 0, AD289 / AC289))</f>
        <v>0.30772036477895343</v>
      </c>
      <c r="AF289" s="7">
        <f>C289-B289</f>
        <v>121</v>
      </c>
      <c r="AG289" s="2" t="str">
        <f>TEXT(B289, "mmmm")</f>
        <v>May</v>
      </c>
      <c r="AH289" s="4">
        <f>YEAR(B289)</f>
        <v>2024</v>
      </c>
      <c r="AI289" s="2" t="str">
        <f t="shared" si="18"/>
        <v>Excluded from Sales</v>
      </c>
      <c r="AJ289">
        <f>COUNTIFS($A$2:$A$1000,A289,$B$2:$B$1000,B289,$C$2:$C$1000,C289,$D$2:$D$1000,D289,$E$2:$E$1000,E289,$F$2:$F$1000,F289)</f>
        <v>1</v>
      </c>
      <c r="AK289">
        <f>COUNTIF($A$2:$A$1000, A289)</f>
        <v>1</v>
      </c>
    </row>
    <row r="290" spans="1:37">
      <c r="A290" t="s">
        <v>969</v>
      </c>
      <c r="B290" s="5">
        <v>45467</v>
      </c>
      <c r="C290" s="5">
        <v>45467</v>
      </c>
      <c r="D290" s="6">
        <f>IF(AND(C290&lt;&gt;"",B290&lt;&gt;""), C290-B290, "Missing Date")</f>
        <v>0</v>
      </c>
      <c r="E290" s="6" t="str">
        <f>IF(OR(B290="",C290=""), "Missing Date",
    IF(C290&lt;B290, "Invalid: Ship before Order",
      "OK"))</f>
        <v>OK</v>
      </c>
      <c r="F290" t="s">
        <v>970</v>
      </c>
      <c r="G290" t="s">
        <v>141</v>
      </c>
      <c r="H290" t="s">
        <v>37</v>
      </c>
      <c r="I290" t="s">
        <v>38</v>
      </c>
      <c r="J290" t="s">
        <v>145</v>
      </c>
      <c r="K290" t="s">
        <v>146</v>
      </c>
      <c r="L290" t="s">
        <v>28</v>
      </c>
      <c r="M290" t="s">
        <v>153</v>
      </c>
      <c r="N290" t="s">
        <v>971</v>
      </c>
      <c r="O290" t="s">
        <v>44</v>
      </c>
      <c r="P290">
        <v>2</v>
      </c>
      <c r="Q290">
        <v>4359.8999999999996</v>
      </c>
      <c r="R290">
        <v>0.15</v>
      </c>
      <c r="S290">
        <v>7411.83</v>
      </c>
      <c r="T290">
        <v>4904.63</v>
      </c>
      <c r="U290">
        <v>2507.1999999999998</v>
      </c>
      <c r="V290" t="s">
        <v>32</v>
      </c>
      <c r="W290" t="s">
        <v>33</v>
      </c>
      <c r="X290" t="str">
        <f>_xlfn.TEXTJOIN("|", TRUE, A290:W290)</f>
        <v>ORD-2024-10289|45467|45467|0|OK|CUST-4805|Rohan Mehta|Small Business|East|Bihar|Patna|Office Supplies|Binders|Classic Binders 721|Same Day|2|4359.9|0.15|7411.83|4904.63|2507.2|Paid|Completed</v>
      </c>
      <c r="Y290">
        <f>COUNTIF($X$2:$X$1000, X290)</f>
        <v>1</v>
      </c>
      <c r="Z290">
        <f>COUNTIF($A$2:$A$1000, A290)</f>
        <v>1</v>
      </c>
      <c r="AA290" t="str">
        <f>IF(Y290&gt;1, "Exact Duplicate",
  IF(Z290&gt;1, "Conflicting Duplicate - Review",
    "Unique"))</f>
        <v>Unique</v>
      </c>
      <c r="AB290" s="2">
        <f>IF(ISBLANK(R290), 0, IF(ISTEXT(R290), VALUE(SUBSTITUTE(R290, "%", ""))/100, IF(OR(R290&lt;0, R290&gt;1), "Invalid", R290)))</f>
        <v>0.15</v>
      </c>
      <c r="AC290" s="4">
        <f>IF(AB290="Invalid", "Error", P290 * Q290 * (1 - AB290))</f>
        <v>7411.829999999999</v>
      </c>
      <c r="AD290" s="4">
        <f>IF(AC290="Error", "Error", AC290 - T290)</f>
        <v>2507.1999999999989</v>
      </c>
      <c r="AE290" s="2">
        <f>IF(AC290="Error", "Error", IF(AC290=0, 0, AD290 / AC290))</f>
        <v>0.3382700358750807</v>
      </c>
      <c r="AF290" s="7">
        <f>C290-B290</f>
        <v>0</v>
      </c>
      <c r="AG290" s="2" t="str">
        <f>TEXT(B290, "mmmm")</f>
        <v>June</v>
      </c>
      <c r="AH290" s="4">
        <f>YEAR(B290)</f>
        <v>2024</v>
      </c>
      <c r="AI290" s="2" t="str">
        <f t="shared" si="18"/>
        <v>Clean</v>
      </c>
      <c r="AJ290">
        <f>COUNTIFS($A$2:$A$1000,A290,$B$2:$B$1000,B290,$C$2:$C$1000,C290,$D$2:$D$1000,D290,$E$2:$E$1000,E290,$F$2:$F$1000,F290)</f>
        <v>1</v>
      </c>
      <c r="AK290">
        <f>COUNTIF($A$2:$A$1000, A290)</f>
        <v>1</v>
      </c>
    </row>
    <row r="291" spans="1:37">
      <c r="A291" t="s">
        <v>972</v>
      </c>
      <c r="B291" s="5">
        <v>45827</v>
      </c>
      <c r="C291" s="5">
        <v>45835</v>
      </c>
      <c r="D291" s="6">
        <f>IF(AND(C291&lt;&gt;"",B291&lt;&gt;""), C291-B291, "Missing Date")</f>
        <v>8</v>
      </c>
      <c r="E291" s="6" t="str">
        <f>IF(OR(B291="",C291=""), "Missing Date",
    IF(C291&lt;B291, "Invalid: Ship before Order",
      "OK"))</f>
        <v>OK</v>
      </c>
      <c r="F291" t="s">
        <v>973</v>
      </c>
      <c r="G291" t="s">
        <v>23</v>
      </c>
      <c r="H291" t="s">
        <v>95</v>
      </c>
      <c r="I291" t="s">
        <v>54</v>
      </c>
      <c r="J291" t="s">
        <v>247</v>
      </c>
      <c r="K291" t="s">
        <v>248</v>
      </c>
      <c r="L291" t="s">
        <v>41</v>
      </c>
      <c r="M291" t="s">
        <v>158</v>
      </c>
      <c r="N291" t="s">
        <v>974</v>
      </c>
      <c r="O291" t="s">
        <v>50</v>
      </c>
      <c r="P291">
        <v>2</v>
      </c>
      <c r="Q291">
        <v>4346.6899999999996</v>
      </c>
      <c r="R291">
        <v>0.05</v>
      </c>
      <c r="S291">
        <v>8258.7099999999991</v>
      </c>
      <c r="T291">
        <v>7018.97</v>
      </c>
      <c r="U291">
        <v>1239.74</v>
      </c>
      <c r="V291" t="s">
        <v>32</v>
      </c>
      <c r="W291" t="s">
        <v>33</v>
      </c>
      <c r="X291" t="str">
        <f>_xlfn.TEXTJOIN("|", TRUE, A291:W291)</f>
        <v>ORD-2025-10290|45827|45835|8|OK|CUST-9114|Karan Malhotra|Home Office|South|Tamil Nadu|Chennai|Furniture|Bookcases|Basic Bookcases 823|First Class|2|4346.69|0.05|8258.71|7018.97|1239.74|Paid|Completed</v>
      </c>
      <c r="Y291">
        <f>COUNTIF($X$2:$X$1000, X291)</f>
        <v>1</v>
      </c>
      <c r="Z291">
        <f>COUNTIF($A$2:$A$1000, A291)</f>
        <v>1</v>
      </c>
      <c r="AA291" t="str">
        <f>IF(Y291&gt;1, "Exact Duplicate",
  IF(Z291&gt;1, "Conflicting Duplicate - Review",
    "Unique"))</f>
        <v>Unique</v>
      </c>
      <c r="AB291" s="2">
        <f>IF(ISBLANK(R291), 0, IF(ISTEXT(R291), VALUE(SUBSTITUTE(R291, "%", ""))/100, IF(OR(R291&lt;0, R291&gt;1), "Invalid", R291)))</f>
        <v>0.05</v>
      </c>
      <c r="AC291" s="4">
        <f>IF(AB291="Invalid", "Error", P291 * Q291 * (1 - AB291))</f>
        <v>8258.7109999999993</v>
      </c>
      <c r="AD291" s="4">
        <f>IF(AC291="Error", "Error", AC291 - T291)</f>
        <v>1239.7409999999991</v>
      </c>
      <c r="AE291" s="2">
        <f>IF(AC291="Error", "Error", IF(AC291=0, 0, AD291 / AC291))</f>
        <v>0.15011313508851432</v>
      </c>
      <c r="AF291" s="7">
        <f>C291-B291</f>
        <v>8</v>
      </c>
      <c r="AG291" s="2" t="str">
        <f>TEXT(B291, "mmmm")</f>
        <v>June</v>
      </c>
      <c r="AH291" s="4">
        <f>YEAR(B291)</f>
        <v>2025</v>
      </c>
      <c r="AI291" s="2" t="str">
        <f t="shared" si="18"/>
        <v>Clean</v>
      </c>
      <c r="AJ291">
        <f>COUNTIFS($A$2:$A$1000,A291,$B$2:$B$1000,B291,$C$2:$C$1000,C291,$D$2:$D$1000,D291,$E$2:$E$1000,E291,$F$2:$F$1000,F291)</f>
        <v>1</v>
      </c>
      <c r="AK291">
        <f>COUNTIF($A$2:$A$1000, A291)</f>
        <v>1</v>
      </c>
    </row>
    <row r="292" spans="1:37">
      <c r="A292" t="s">
        <v>975</v>
      </c>
      <c r="B292" s="5">
        <v>45891</v>
      </c>
      <c r="C292" s="5">
        <v>45895</v>
      </c>
      <c r="D292" s="6">
        <f>IF(AND(C292&lt;&gt;"",B292&lt;&gt;""), C292-B292, "Missing Date")</f>
        <v>4</v>
      </c>
      <c r="E292" s="6" t="str">
        <f>IF(OR(B292="",C292=""), "Missing Date",
    IF(C292&lt;B292, "Invalid: Ship before Order",
      "OK"))</f>
        <v>OK</v>
      </c>
      <c r="F292" t="s">
        <v>976</v>
      </c>
      <c r="G292" t="s">
        <v>162</v>
      </c>
      <c r="H292" t="s">
        <v>95</v>
      </c>
      <c r="I292" t="s">
        <v>38</v>
      </c>
      <c r="J292" t="s">
        <v>228</v>
      </c>
      <c r="K292" t="s">
        <v>229</v>
      </c>
      <c r="L292" t="s">
        <v>41</v>
      </c>
      <c r="M292" t="s">
        <v>42</v>
      </c>
      <c r="N292" t="s">
        <v>977</v>
      </c>
      <c r="O292" t="s">
        <v>59</v>
      </c>
      <c r="P292">
        <v>1</v>
      </c>
      <c r="Q292">
        <v>1842.63</v>
      </c>
      <c r="R292">
        <v>0.1</v>
      </c>
      <c r="S292">
        <v>1658.37</v>
      </c>
      <c r="T292">
        <v>971.12</v>
      </c>
      <c r="U292">
        <v>687.25</v>
      </c>
      <c r="V292" t="s">
        <v>32</v>
      </c>
      <c r="W292" t="s">
        <v>33</v>
      </c>
      <c r="X292" t="str">
        <f>_xlfn.TEXTJOIN("|", TRUE, A292:W292)</f>
        <v>ORD-2025-10291|45891|45895|4|OK|CUST-8557|Diya Patel|Home Office|East|Jharkhand|Ranchi|Furniture|Tables|Classic Tables 178|Standard Class|1|1842.63|0.1|1658.37|971.12|687.25|Paid|Completed</v>
      </c>
      <c r="Y292">
        <f>COUNTIF($X$2:$X$1000, X292)</f>
        <v>1</v>
      </c>
      <c r="Z292">
        <f>COUNTIF($A$2:$A$1000, A292)</f>
        <v>1</v>
      </c>
      <c r="AA292" t="str">
        <f>IF(Y292&gt;1, "Exact Duplicate",
  IF(Z292&gt;1, "Conflicting Duplicate - Review",
    "Unique"))</f>
        <v>Unique</v>
      </c>
      <c r="AB292" s="2">
        <f>IF(ISBLANK(R292), 0, IF(ISTEXT(R292), VALUE(SUBSTITUTE(R292, "%", ""))/100, IF(OR(R292&lt;0, R292&gt;1), "Invalid", R292)))</f>
        <v>0.1</v>
      </c>
      <c r="AC292" s="4">
        <f>IF(AB292="Invalid", "Error", P292 * Q292 * (1 - AB292))</f>
        <v>1658.3670000000002</v>
      </c>
      <c r="AD292" s="4">
        <f>IF(AC292="Error", "Error", AC292 - T292)</f>
        <v>687.24700000000018</v>
      </c>
      <c r="AE292" s="2">
        <f>IF(AC292="Error", "Error", IF(AC292=0, 0, AD292 / AC292))</f>
        <v>0.41441188832146331</v>
      </c>
      <c r="AF292" s="7">
        <f>C292-B292</f>
        <v>4</v>
      </c>
      <c r="AG292" s="2" t="str">
        <f>TEXT(B292, "mmmm")</f>
        <v>August</v>
      </c>
      <c r="AH292" s="4">
        <f>YEAR(B292)</f>
        <v>2025</v>
      </c>
      <c r="AI292" s="2" t="str">
        <f t="shared" si="18"/>
        <v>Clean</v>
      </c>
      <c r="AJ292">
        <f>COUNTIFS($A$2:$A$1000,A292,$B$2:$B$1000,B292,$C$2:$C$1000,C292,$D$2:$D$1000,D292,$E$2:$E$1000,E292,$F$2:$F$1000,F292)</f>
        <v>1</v>
      </c>
      <c r="AK292">
        <f>COUNTIF($A$2:$A$1000, A292)</f>
        <v>1</v>
      </c>
    </row>
    <row r="293" spans="1:37">
      <c r="A293" t="s">
        <v>978</v>
      </c>
      <c r="B293" s="5">
        <v>45416</v>
      </c>
      <c r="C293" s="5">
        <v>45392</v>
      </c>
      <c r="D293" s="6">
        <f>IF(AND(C293&lt;&gt;"",B293&lt;&gt;""), C293-B293, "Missing Date")</f>
        <v>-24</v>
      </c>
      <c r="E293" s="6" t="str">
        <f>IF(OR(B293="",C293=""), "Missing Date",
    IF(C293&lt;B293, "Invalid: Ship before Order",
      "OK"))</f>
        <v>Invalid: Ship before Order</v>
      </c>
      <c r="F293" t="s">
        <v>979</v>
      </c>
      <c r="G293" t="s">
        <v>114</v>
      </c>
      <c r="H293" t="s">
        <v>95</v>
      </c>
      <c r="I293" t="s">
        <v>25</v>
      </c>
      <c r="J293" t="s">
        <v>26</v>
      </c>
      <c r="K293" t="s">
        <v>27</v>
      </c>
      <c r="L293" t="s">
        <v>28</v>
      </c>
      <c r="M293" t="s">
        <v>153</v>
      </c>
      <c r="N293" t="s">
        <v>980</v>
      </c>
      <c r="O293" t="s">
        <v>59</v>
      </c>
      <c r="P293">
        <v>4</v>
      </c>
      <c r="Q293">
        <v>3228.66</v>
      </c>
      <c r="R293">
        <v>0.25</v>
      </c>
      <c r="S293">
        <v>9685.98</v>
      </c>
      <c r="T293">
        <v>7730.04</v>
      </c>
      <c r="U293">
        <v>1955.94</v>
      </c>
      <c r="V293" t="s">
        <v>32</v>
      </c>
      <c r="W293" t="s">
        <v>33</v>
      </c>
      <c r="X293" t="str">
        <f>_xlfn.TEXTJOIN("|", TRUE, A293:W293)</f>
        <v>ORD-2024-10292|45416|45392|-24|Invalid: Ship before Order|CUST-2860|Priya Menon|Home Office|North|Rajasthan|Jaipur|Office Supplies|Binders|Eco Binders 153|Standard Class|4|3228.66|0.25|9685.98|7730.04|1955.94|Paid|Completed</v>
      </c>
      <c r="Y293">
        <f>COUNTIF($X$2:$X$1000, X293)</f>
        <v>1</v>
      </c>
      <c r="Z293">
        <f>COUNTIF($A$2:$A$1000, A293)</f>
        <v>1</v>
      </c>
      <c r="AA293" t="str">
        <f>IF(Y293&gt;1, "Exact Duplicate",
  IF(Z293&gt;1, "Conflicting Duplicate - Review",
    "Unique"))</f>
        <v>Unique</v>
      </c>
      <c r="AB293" s="2">
        <f>IF(ISBLANK(R293), 0, IF(ISTEXT(R293), VALUE(SUBSTITUTE(R293, "%", ""))/100, IF(OR(R293&lt;0, R293&gt;1), "Invalid", R293)))</f>
        <v>0.25</v>
      </c>
      <c r="AC293" s="4">
        <f>IF(AB293="Invalid", "Error", P293 * Q293 * (1 - AB293))</f>
        <v>9685.98</v>
      </c>
      <c r="AD293" s="4">
        <f>IF(AC293="Error", "Error", AC293 - T293)</f>
        <v>1955.9399999999996</v>
      </c>
      <c r="AE293" s="2">
        <f>IF(AC293="Error", "Error", IF(AC293=0, 0, AD293 / AC293))</f>
        <v>0.20193516815025425</v>
      </c>
      <c r="AF293" s="7">
        <f>C293-B293</f>
        <v>-24</v>
      </c>
      <c r="AG293" s="2" t="str">
        <f>TEXT(B293, "mmmm")</f>
        <v>May</v>
      </c>
      <c r="AH293" s="4">
        <f>YEAR(B293)</f>
        <v>2024</v>
      </c>
      <c r="AI293" s="2" t="str">
        <f t="shared" si="18"/>
        <v>Invalid Shipping Record</v>
      </c>
      <c r="AJ293">
        <f>COUNTIFS($A$2:$A$1000,A293,$B$2:$B$1000,B293,$C$2:$C$1000,C293,$D$2:$D$1000,D293,$E$2:$E$1000,E293,$F$2:$F$1000,F293)</f>
        <v>1</v>
      </c>
      <c r="AK293">
        <f>COUNTIF($A$2:$A$1000, A293)</f>
        <v>1</v>
      </c>
    </row>
    <row r="294" spans="1:37">
      <c r="A294" t="s">
        <v>981</v>
      </c>
      <c r="B294" s="5">
        <v>45716</v>
      </c>
      <c r="C294" s="5">
        <v>45719</v>
      </c>
      <c r="D294" s="6">
        <f>IF(AND(C294&lt;&gt;"",B294&lt;&gt;""), C294-B294, "Missing Date")</f>
        <v>3</v>
      </c>
      <c r="E294" s="6" t="str">
        <f>IF(OR(B294="",C294=""), "Missing Date",
    IF(C294&lt;B294, "Invalid: Ship before Order",
      "OK"))</f>
        <v>OK</v>
      </c>
      <c r="F294" t="s">
        <v>982</v>
      </c>
      <c r="G294" t="s">
        <v>264</v>
      </c>
      <c r="H294" t="s">
        <v>95</v>
      </c>
      <c r="I294" t="s">
        <v>25</v>
      </c>
      <c r="J294" t="s">
        <v>236</v>
      </c>
      <c r="K294" t="s">
        <v>237</v>
      </c>
      <c r="L294" t="s">
        <v>28</v>
      </c>
      <c r="M294" t="s">
        <v>48</v>
      </c>
      <c r="N294" t="s">
        <v>983</v>
      </c>
      <c r="O294" t="s">
        <v>44</v>
      </c>
      <c r="P294">
        <v>9</v>
      </c>
      <c r="Q294">
        <v>3748.95</v>
      </c>
      <c r="R294">
        <v>0</v>
      </c>
      <c r="S294">
        <v>33740.550000000003</v>
      </c>
      <c r="T294">
        <v>24621.89</v>
      </c>
      <c r="U294">
        <v>9118.66</v>
      </c>
      <c r="V294" t="s">
        <v>111</v>
      </c>
      <c r="W294" t="s">
        <v>68</v>
      </c>
      <c r="X294" t="str">
        <f>_xlfn.TEXTJOIN("|", TRUE, A294:W294)</f>
        <v>ORD-2025-10293|45716|45719|3|OK|CUST-7837|Kabir Singh|Home Office|North|Haryana|Gurugram|Office Supplies|Art|Classic Art 183|Same Day|9|3748.95|0|33740.55|24621.89|9118.66|Pending|Cancelled</v>
      </c>
      <c r="Y294">
        <f>COUNTIF($X$2:$X$1000, X294)</f>
        <v>1</v>
      </c>
      <c r="Z294">
        <f>COUNTIF($A$2:$A$1000, A294)</f>
        <v>1</v>
      </c>
      <c r="AA294" t="str">
        <f>IF(Y294&gt;1, "Exact Duplicate",
  IF(Z294&gt;1, "Conflicting Duplicate - Review",
    "Unique"))</f>
        <v>Unique</v>
      </c>
      <c r="AB294" s="2">
        <f>IF(ISBLANK(R294), 0, IF(ISTEXT(R294), VALUE(SUBSTITUTE(R294, "%", ""))/100, IF(OR(R294&lt;0, R294&gt;1), "Invalid", R294)))</f>
        <v>0</v>
      </c>
      <c r="AC294" s="4">
        <f>IF(AB294="Invalid", "Error", P294 * Q294 * (1 - AB294))</f>
        <v>33740.549999999996</v>
      </c>
      <c r="AD294" s="4">
        <f>IF(AC294="Error", "Error", AC294 - T294)</f>
        <v>9118.6599999999962</v>
      </c>
      <c r="AE294" s="2">
        <f>IF(AC294="Error", "Error", IF(AC294=0, 0, AD294 / AC294))</f>
        <v>0.2702581908119458</v>
      </c>
      <c r="AF294" s="7">
        <f>C294-B294</f>
        <v>3</v>
      </c>
      <c r="AG294" s="2" t="str">
        <f>TEXT(B294, "mmmm")</f>
        <v>February</v>
      </c>
      <c r="AH294" s="4">
        <f>YEAR(B294)</f>
        <v>2025</v>
      </c>
      <c r="AI294" s="2" t="str">
        <f t="shared" si="18"/>
        <v>Excluded from Sales</v>
      </c>
      <c r="AJ294">
        <f>COUNTIFS($A$2:$A$1000,A294,$B$2:$B$1000,B294,$C$2:$C$1000,C294,$D$2:$D$1000,D294,$E$2:$E$1000,E294,$F$2:$F$1000,F294)</f>
        <v>1</v>
      </c>
      <c r="AK294">
        <f>COUNTIF($A$2:$A$1000, A294)</f>
        <v>1</v>
      </c>
    </row>
    <row r="295" spans="1:37">
      <c r="A295" t="s">
        <v>984</v>
      </c>
      <c r="B295" s="5">
        <v>45476</v>
      </c>
      <c r="C295" s="5">
        <v>45362</v>
      </c>
      <c r="D295" s="6">
        <f>IF(AND(C295&lt;&gt;"",B295&lt;&gt;""), C295-B295, "Missing Date")</f>
        <v>-114</v>
      </c>
      <c r="E295" s="6" t="str">
        <f>IF(OR(B295="",C295=""), "Missing Date",
    IF(C295&lt;B295, "Invalid: Ship before Order",
      "OK"))</f>
        <v>Invalid: Ship before Order</v>
      </c>
      <c r="F295" t="s">
        <v>985</v>
      </c>
      <c r="G295" t="s">
        <v>53</v>
      </c>
      <c r="H295" t="s">
        <v>95</v>
      </c>
      <c r="I295" t="s">
        <v>54</v>
      </c>
      <c r="J295" t="s">
        <v>55</v>
      </c>
      <c r="K295" t="s">
        <v>56</v>
      </c>
      <c r="L295" t="s">
        <v>74</v>
      </c>
      <c r="M295" t="s">
        <v>171</v>
      </c>
      <c r="N295" t="s">
        <v>986</v>
      </c>
      <c r="O295" t="s">
        <v>50</v>
      </c>
      <c r="P295">
        <v>2</v>
      </c>
      <c r="Q295">
        <v>4401.51</v>
      </c>
      <c r="R295">
        <v>0.65</v>
      </c>
      <c r="S295">
        <v>8362.8700000000008</v>
      </c>
      <c r="T295">
        <v>6541.04</v>
      </c>
      <c r="U295">
        <v>1821.83</v>
      </c>
      <c r="V295" t="s">
        <v>32</v>
      </c>
      <c r="W295" t="s">
        <v>33</v>
      </c>
      <c r="X295" t="str">
        <f>_xlfn.TEXTJOIN("|", TRUE, A295:W295)</f>
        <v>ORD-2024-10294|45476|45362|-114|Invalid: Ship before Order|CUST-7010|Arjun Bose|Home Office|South|Telangana|Hyderabad|Technology|Phones|Pro Phones 455|First Class|2|4401.51|0.65|8362.87|6541.04|1821.83|Paid|Completed</v>
      </c>
      <c r="Y295">
        <f>COUNTIF($X$2:$X$1000, X295)</f>
        <v>1</v>
      </c>
      <c r="Z295">
        <f>COUNTIF($A$2:$A$1000, A295)</f>
        <v>1</v>
      </c>
      <c r="AA295" t="str">
        <f>IF(Y295&gt;1, "Exact Duplicate",
  IF(Z295&gt;1, "Conflicting Duplicate - Review",
    "Unique"))</f>
        <v>Unique</v>
      </c>
      <c r="AB295" s="2">
        <f>IF(ISBLANK(R295), 0, IF(ISTEXT(R295), VALUE(SUBSTITUTE(R295, "%", ""))/100, IF(OR(R295&lt;0, R295&gt;1), "Invalid", R295)))</f>
        <v>0.65</v>
      </c>
      <c r="AC295" s="4">
        <f>IF(AB295="Invalid", "Error", P295 * Q295 * (1 - AB295))</f>
        <v>3081.0569999999998</v>
      </c>
      <c r="AD295" s="4">
        <f>IF(AC295="Error", "Error", AC295 - T295)</f>
        <v>-3459.9830000000002</v>
      </c>
      <c r="AE295" s="2">
        <f>IF(AC295="Error", "Error", IF(AC295=0, 0, AD295 / AC295))</f>
        <v>-1.1229857156164267</v>
      </c>
      <c r="AF295" s="7">
        <f>C295-B295</f>
        <v>-114</v>
      </c>
      <c r="AG295" s="2" t="str">
        <f>TEXT(B295, "mmmm")</f>
        <v>July</v>
      </c>
      <c r="AH295" s="4">
        <f>YEAR(B295)</f>
        <v>2024</v>
      </c>
      <c r="AI295" s="2" t="str">
        <f t="shared" si="18"/>
        <v>Invalid Shipping Record</v>
      </c>
      <c r="AJ295">
        <f>COUNTIFS($A$2:$A$1000,A295,$B$2:$B$1000,B295,$C$2:$C$1000,C295,$D$2:$D$1000,D295,$E$2:$E$1000,E295,$F$2:$F$1000,F295)</f>
        <v>1</v>
      </c>
      <c r="AK295">
        <f>COUNTIF($A$2:$A$1000, A295)</f>
        <v>1</v>
      </c>
    </row>
    <row r="296" spans="1:37">
      <c r="A296" t="s">
        <v>987</v>
      </c>
      <c r="B296" s="5">
        <v>45854</v>
      </c>
      <c r="C296" s="5">
        <v>45860</v>
      </c>
      <c r="D296" s="6">
        <f>IF(AND(C296&lt;&gt;"",B296&lt;&gt;""), C296-B296, "Missing Date")</f>
        <v>6</v>
      </c>
      <c r="E296" s="6" t="str">
        <f>IF(OR(B296="",C296=""), "Missing Date",
    IF(C296&lt;B296, "Invalid: Ship before Order",
      "OK"))</f>
        <v>OK</v>
      </c>
      <c r="F296" t="s">
        <v>988</v>
      </c>
      <c r="G296" t="s">
        <v>114</v>
      </c>
      <c r="H296" t="s">
        <v>24</v>
      </c>
      <c r="I296" t="s">
        <v>38</v>
      </c>
      <c r="J296" t="s">
        <v>39</v>
      </c>
      <c r="K296" t="s">
        <v>40</v>
      </c>
      <c r="L296" t="s">
        <v>74</v>
      </c>
      <c r="M296" t="s">
        <v>171</v>
      </c>
      <c r="N296" t="s">
        <v>989</v>
      </c>
      <c r="O296" t="s">
        <v>31</v>
      </c>
      <c r="P296">
        <v>6</v>
      </c>
      <c r="Q296">
        <v>4159.33</v>
      </c>
      <c r="R296">
        <v>0.25</v>
      </c>
      <c r="S296">
        <v>18716.990000000002</v>
      </c>
      <c r="T296">
        <v>12282.43</v>
      </c>
      <c r="U296">
        <v>6434.56</v>
      </c>
      <c r="V296" t="s">
        <v>32</v>
      </c>
      <c r="W296" t="s">
        <v>103</v>
      </c>
      <c r="X296" t="str">
        <f>_xlfn.TEXTJOIN("|", TRUE, A296:W296)</f>
        <v>ORD-2025-10295|45854|45860|6|OK|CUST-4755|Priya Menon|Consumer|East|Odisha|Bhubaneswar|Technology|Phones|Basic Phones 326|Second Class|6|4159.33|0.25|18716.99|12282.43|6434.56|Paid|Returned</v>
      </c>
      <c r="Y296">
        <f>COUNTIF($X$2:$X$1000, X296)</f>
        <v>1</v>
      </c>
      <c r="Z296">
        <f>COUNTIF($A$2:$A$1000, A296)</f>
        <v>1</v>
      </c>
      <c r="AA296" t="str">
        <f>IF(Y296&gt;1, "Exact Duplicate",
  IF(Z296&gt;1, "Conflicting Duplicate - Review",
    "Unique"))</f>
        <v>Unique</v>
      </c>
      <c r="AB296" s="2">
        <f>IF(ISBLANK(R296), 0, IF(ISTEXT(R296), VALUE(SUBSTITUTE(R296, "%", ""))/100, IF(OR(R296&lt;0, R296&gt;1), "Invalid", R296)))</f>
        <v>0.25</v>
      </c>
      <c r="AC296" s="4">
        <f>IF(AB296="Invalid", "Error", P296 * Q296 * (1 - AB296))</f>
        <v>18716.985000000001</v>
      </c>
      <c r="AD296" s="4">
        <f>IF(AC296="Error", "Error", AC296 - T296)</f>
        <v>6434.5550000000003</v>
      </c>
      <c r="AE296" s="2">
        <f>IF(AC296="Error", "Error", IF(AC296=0, 0, AD296 / AC296))</f>
        <v>0.34378159730319813</v>
      </c>
      <c r="AF296" s="7">
        <f>C296-B296</f>
        <v>6</v>
      </c>
      <c r="AG296" s="2" t="str">
        <f>TEXT(B296, "mmmm")</f>
        <v>July</v>
      </c>
      <c r="AH296" s="4">
        <f>YEAR(B296)</f>
        <v>2025</v>
      </c>
      <c r="AI296" s="2" t="str">
        <f t="shared" si="18"/>
        <v>Clean</v>
      </c>
      <c r="AJ296">
        <f>COUNTIFS($A$2:$A$1000,A296,$B$2:$B$1000,B296,$C$2:$C$1000,C296,$D$2:$D$1000,D296,$E$2:$E$1000,E296,$F$2:$F$1000,F296)</f>
        <v>1</v>
      </c>
      <c r="AK296">
        <f>COUNTIF($A$2:$A$1000, A296)</f>
        <v>1</v>
      </c>
    </row>
    <row r="297" spans="1:37">
      <c r="A297" t="s">
        <v>990</v>
      </c>
      <c r="B297" s="5">
        <v>45833</v>
      </c>
      <c r="C297" s="5">
        <v>45836</v>
      </c>
      <c r="D297" s="6">
        <f>IF(AND(C297&lt;&gt;"",B297&lt;&gt;""), C297-B297, "Missing Date")</f>
        <v>3</v>
      </c>
      <c r="E297" s="6" t="str">
        <f>IF(OR(B297="",C297=""), "Missing Date",
    IF(C297&lt;B297, "Invalid: Ship before Order",
      "OK"))</f>
        <v>OK</v>
      </c>
      <c r="F297" t="s">
        <v>991</v>
      </c>
      <c r="G297" t="s">
        <v>89</v>
      </c>
      <c r="H297" t="s">
        <v>37</v>
      </c>
      <c r="I297" t="s">
        <v>38</v>
      </c>
      <c r="J297" t="s">
        <v>166</v>
      </c>
      <c r="K297" t="s">
        <v>167</v>
      </c>
      <c r="L297" t="s">
        <v>28</v>
      </c>
      <c r="M297" t="s">
        <v>153</v>
      </c>
      <c r="N297" t="s">
        <v>992</v>
      </c>
      <c r="O297" t="s">
        <v>59</v>
      </c>
      <c r="P297">
        <v>3</v>
      </c>
      <c r="Q297">
        <v>3476.05</v>
      </c>
      <c r="R297">
        <v>0.1</v>
      </c>
      <c r="S297">
        <v>9385.34</v>
      </c>
      <c r="T297">
        <v>5828.54</v>
      </c>
      <c r="U297">
        <v>3556.8</v>
      </c>
      <c r="V297" t="s">
        <v>32</v>
      </c>
      <c r="W297" t="s">
        <v>33</v>
      </c>
      <c r="X297" t="str">
        <f>_xlfn.TEXTJOIN("|", TRUE, A297:W297)</f>
        <v>ORD-2025-10296|45833|45836|3|OK|CUST-6778|Aditi Sen|Small Business|East|Assam|Guwahati|Office Supplies|Binders|Max Binders 587|Standard Class|3|3476.05|0.1|9385.34|5828.54|3556.8|Paid|Completed</v>
      </c>
      <c r="Y297">
        <f>COUNTIF($X$2:$X$1000, X297)</f>
        <v>1</v>
      </c>
      <c r="Z297">
        <f>COUNTIF($A$2:$A$1000, A297)</f>
        <v>1</v>
      </c>
      <c r="AA297" t="str">
        <f>IF(Y297&gt;1, "Exact Duplicate",
  IF(Z297&gt;1, "Conflicting Duplicate - Review",
    "Unique"))</f>
        <v>Unique</v>
      </c>
      <c r="AB297" s="2">
        <f>IF(ISBLANK(R297), 0, IF(ISTEXT(R297), VALUE(SUBSTITUTE(R297, "%", ""))/100, IF(OR(R297&lt;0, R297&gt;1), "Invalid", R297)))</f>
        <v>0.1</v>
      </c>
      <c r="AC297" s="4">
        <f>IF(AB297="Invalid", "Error", P297 * Q297 * (1 - AB297))</f>
        <v>9385.3350000000009</v>
      </c>
      <c r="AD297" s="4">
        <f>IF(AC297="Error", "Error", AC297 - T297)</f>
        <v>3556.795000000001</v>
      </c>
      <c r="AE297" s="2">
        <f>IF(AC297="Error", "Error", IF(AC297=0, 0, AD297 / AC297))</f>
        <v>0.37897368607513748</v>
      </c>
      <c r="AF297" s="7">
        <f>C297-B297</f>
        <v>3</v>
      </c>
      <c r="AG297" s="2" t="str">
        <f>TEXT(B297, "mmmm")</f>
        <v>June</v>
      </c>
      <c r="AH297" s="4">
        <f>YEAR(B297)</f>
        <v>2025</v>
      </c>
      <c r="AI297" s="2" t="str">
        <f t="shared" si="18"/>
        <v>Clean</v>
      </c>
      <c r="AJ297">
        <f>COUNTIFS($A$2:$A$1000,A297,$B$2:$B$1000,B297,$C$2:$C$1000,C297,$D$2:$D$1000,D297,$E$2:$E$1000,E297,$F$2:$F$1000,F297)</f>
        <v>1</v>
      </c>
      <c r="AK297">
        <f>COUNTIF($A$2:$A$1000, A297)</f>
        <v>1</v>
      </c>
    </row>
    <row r="298" spans="1:37">
      <c r="A298" t="s">
        <v>993</v>
      </c>
      <c r="B298" s="5">
        <v>45801</v>
      </c>
      <c r="C298" s="5">
        <v>45803</v>
      </c>
      <c r="D298" s="6">
        <f>IF(AND(C298&lt;&gt;"",B298&lt;&gt;""), C298-B298, "Missing Date")</f>
        <v>2</v>
      </c>
      <c r="E298" s="6" t="str">
        <f>IF(OR(B298="",C298=""), "Missing Date",
    IF(C298&lt;B298, "Invalid: Ship before Order",
      "OK"))</f>
        <v>OK</v>
      </c>
      <c r="F298" t="s">
        <v>994</v>
      </c>
      <c r="G298" t="s">
        <v>89</v>
      </c>
      <c r="H298" t="s">
        <v>95</v>
      </c>
      <c r="I298" t="s">
        <v>25</v>
      </c>
      <c r="J298" t="s">
        <v>236</v>
      </c>
      <c r="K298" t="s">
        <v>237</v>
      </c>
      <c r="L298" t="s">
        <v>41</v>
      </c>
      <c r="M298" t="s">
        <v>57</v>
      </c>
      <c r="N298" t="s">
        <v>995</v>
      </c>
      <c r="O298" t="s">
        <v>44</v>
      </c>
      <c r="P298">
        <v>6</v>
      </c>
      <c r="Q298">
        <v>3495.41</v>
      </c>
      <c r="R298">
        <v>0.15</v>
      </c>
      <c r="S298">
        <v>17826.59</v>
      </c>
      <c r="T298">
        <v>10855.35</v>
      </c>
      <c r="U298">
        <v>6971.24</v>
      </c>
      <c r="V298" t="s">
        <v>32</v>
      </c>
      <c r="W298" t="s">
        <v>33</v>
      </c>
      <c r="X298" t="str">
        <f>_xlfn.TEXTJOIN("|", TRUE, A298:W298)</f>
        <v>ORD-2025-10297|45801|45803|2|OK|CUST-7629|Aditi Sen|Home Office|North|Haryana|Gurugram|Furniture|Furnishings|Basic Furnishings 617|Same Day|6|3495.41|0.15|17826.59|10855.35|6971.24|Paid|Completed</v>
      </c>
      <c r="Y298">
        <f>COUNTIF($X$2:$X$1000, X298)</f>
        <v>1</v>
      </c>
      <c r="Z298">
        <f>COUNTIF($A$2:$A$1000, A298)</f>
        <v>1</v>
      </c>
      <c r="AA298" t="str">
        <f>IF(Y298&gt;1, "Exact Duplicate",
  IF(Z298&gt;1, "Conflicting Duplicate - Review",
    "Unique"))</f>
        <v>Unique</v>
      </c>
      <c r="AB298" s="2">
        <f>IF(ISBLANK(R298), 0, IF(ISTEXT(R298), VALUE(SUBSTITUTE(R298, "%", ""))/100, IF(OR(R298&lt;0, R298&gt;1), "Invalid", R298)))</f>
        <v>0.15</v>
      </c>
      <c r="AC298" s="4">
        <f>IF(AB298="Invalid", "Error", P298 * Q298 * (1 - AB298))</f>
        <v>17826.591</v>
      </c>
      <c r="AD298" s="4">
        <f>IF(AC298="Error", "Error", AC298 - T298)</f>
        <v>6971.241</v>
      </c>
      <c r="AE298" s="2">
        <f>IF(AC298="Error", "Error", IF(AC298=0, 0, AD298 / AC298))</f>
        <v>0.39105855965394615</v>
      </c>
      <c r="AF298" s="7">
        <f>C298-B298</f>
        <v>2</v>
      </c>
      <c r="AG298" s="2" t="str">
        <f>TEXT(B298, "mmmm")</f>
        <v>May</v>
      </c>
      <c r="AH298" s="4">
        <f>YEAR(B298)</f>
        <v>2025</v>
      </c>
      <c r="AI298" s="2" t="str">
        <f t="shared" si="18"/>
        <v>Clean</v>
      </c>
      <c r="AJ298">
        <f>COUNTIFS($A$2:$A$1000,A298,$B$2:$B$1000,B298,$C$2:$C$1000,C298,$D$2:$D$1000,D298,$E$2:$E$1000,E298,$F$2:$F$1000,F298)</f>
        <v>1</v>
      </c>
      <c r="AK298">
        <f>COUNTIF($A$2:$A$1000, A298)</f>
        <v>1</v>
      </c>
    </row>
    <row r="299" spans="1:37">
      <c r="A299" t="s">
        <v>996</v>
      </c>
      <c r="B299" s="5">
        <v>45594</v>
      </c>
      <c r="C299" s="5">
        <v>45602</v>
      </c>
      <c r="D299" s="6">
        <f>IF(AND(C299&lt;&gt;"",B299&lt;&gt;""), C299-B299, "Missing Date")</f>
        <v>8</v>
      </c>
      <c r="E299" s="6" t="str">
        <f>IF(OR(B299="",C299=""), "Missing Date",
    IF(C299&lt;B299, "Invalid: Ship before Order",
      "OK"))</f>
        <v>OK</v>
      </c>
      <c r="F299" t="s">
        <v>997</v>
      </c>
      <c r="G299" t="s">
        <v>132</v>
      </c>
      <c r="H299" t="s">
        <v>90</v>
      </c>
      <c r="I299" t="s">
        <v>54</v>
      </c>
      <c r="J299" t="s">
        <v>247</v>
      </c>
      <c r="K299" t="s">
        <v>248</v>
      </c>
      <c r="L299" t="s">
        <v>74</v>
      </c>
      <c r="M299" t="s">
        <v>80</v>
      </c>
      <c r="N299" t="s">
        <v>998</v>
      </c>
      <c r="O299" t="s">
        <v>44</v>
      </c>
      <c r="P299">
        <v>6</v>
      </c>
      <c r="Q299">
        <v>1169.92</v>
      </c>
      <c r="R299">
        <v>0.15</v>
      </c>
      <c r="S299">
        <v>5966.59</v>
      </c>
      <c r="T299">
        <v>3994.72</v>
      </c>
      <c r="U299">
        <v>1971.87</v>
      </c>
      <c r="V299" t="s">
        <v>32</v>
      </c>
      <c r="W299" t="s">
        <v>33</v>
      </c>
      <c r="X299" t="str">
        <f>_xlfn.TEXTJOIN("|", TRUE, A299:W299)</f>
        <v>ORD-2024-10298|45594|45602|8|OK|CUST-6724|Sneha Kapoor|Corporate|South|Tamil Nadu|Chennai|Technology|Copiers|Prime Copiers 669|Same Day|6|1169.92|0.15|5966.59|3994.72|1971.87|Paid|Completed</v>
      </c>
      <c r="Y299">
        <f>COUNTIF($X$2:$X$1000, X299)</f>
        <v>1</v>
      </c>
      <c r="Z299">
        <f>COUNTIF($A$2:$A$1000, A299)</f>
        <v>1</v>
      </c>
      <c r="AA299" t="str">
        <f>IF(Y299&gt;1, "Exact Duplicate",
  IF(Z299&gt;1, "Conflicting Duplicate - Review",
    "Unique"))</f>
        <v>Unique</v>
      </c>
      <c r="AB299" s="2">
        <f>IF(ISBLANK(R299), 0, IF(ISTEXT(R299), VALUE(SUBSTITUTE(R299, "%", ""))/100, IF(OR(R299&lt;0, R299&gt;1), "Invalid", R299)))</f>
        <v>0.15</v>
      </c>
      <c r="AC299" s="4">
        <f>IF(AB299="Invalid", "Error", P299 * Q299 * (1 - AB299))</f>
        <v>5966.5920000000006</v>
      </c>
      <c r="AD299" s="4">
        <f>IF(AC299="Error", "Error", AC299 - T299)</f>
        <v>1971.8720000000008</v>
      </c>
      <c r="AE299" s="2">
        <f>IF(AC299="Error", "Error", IF(AC299=0, 0, AD299 / AC299))</f>
        <v>0.33048547646629778</v>
      </c>
      <c r="AF299" s="7">
        <f>C299-B299</f>
        <v>8</v>
      </c>
      <c r="AG299" s="2" t="str">
        <f>TEXT(B299, "mmmm")</f>
        <v>October</v>
      </c>
      <c r="AH299" s="4">
        <f>YEAR(B299)</f>
        <v>2024</v>
      </c>
      <c r="AI299" s="2" t="str">
        <f t="shared" si="18"/>
        <v>Clean</v>
      </c>
      <c r="AJ299">
        <f>COUNTIFS($A$2:$A$1000,A299,$B$2:$B$1000,B299,$C$2:$C$1000,C299,$D$2:$D$1000,D299,$E$2:$E$1000,E299,$F$2:$F$1000,F299)</f>
        <v>1</v>
      </c>
      <c r="AK299">
        <f>COUNTIF($A$2:$A$1000, A299)</f>
        <v>1</v>
      </c>
    </row>
    <row r="300" spans="1:37">
      <c r="A300" t="s">
        <v>999</v>
      </c>
      <c r="B300" s="5">
        <v>45680</v>
      </c>
      <c r="C300" s="5">
        <v>45683</v>
      </c>
      <c r="D300" s="6">
        <f>IF(AND(C300&lt;&gt;"",B300&lt;&gt;""), C300-B300, "Missing Date")</f>
        <v>3</v>
      </c>
      <c r="E300" s="6" t="str">
        <f>IF(OR(B300="",C300=""), "Missing Date",
    IF(C300&lt;B300, "Invalid: Ship before Order",
      "OK"))</f>
        <v>OK</v>
      </c>
      <c r="F300" t="s">
        <v>1000</v>
      </c>
      <c r="G300" t="s">
        <v>47</v>
      </c>
      <c r="H300" t="s">
        <v>24</v>
      </c>
      <c r="I300" t="s">
        <v>54</v>
      </c>
      <c r="J300" t="s">
        <v>185</v>
      </c>
      <c r="K300" t="s">
        <v>186</v>
      </c>
      <c r="L300" t="s">
        <v>74</v>
      </c>
      <c r="M300" t="s">
        <v>80</v>
      </c>
      <c r="N300" t="s">
        <v>1001</v>
      </c>
      <c r="O300" t="s">
        <v>50</v>
      </c>
      <c r="P300">
        <v>7</v>
      </c>
      <c r="Q300">
        <v>348.49</v>
      </c>
      <c r="R300">
        <v>0.2</v>
      </c>
      <c r="S300">
        <v>1951.54</v>
      </c>
      <c r="T300">
        <v>1609.95</v>
      </c>
      <c r="U300">
        <v>341.59</v>
      </c>
      <c r="V300" t="s">
        <v>155</v>
      </c>
      <c r="W300" t="s">
        <v>103</v>
      </c>
      <c r="X300" t="str">
        <f>_xlfn.TEXTJOIN("|", TRUE, A300:W300)</f>
        <v>ORD-2025-10299|45680|45683|3|OK|CUST-2141|Isha Nair|Consumer|South|Kerala|Kochi|Technology|Copiers|Eco Copiers 894|First Class|7|348.49|0.2|1951.54|1609.95|341.59|Failed|Returned</v>
      </c>
      <c r="Y300">
        <f>COUNTIF($X$2:$X$1000, X300)</f>
        <v>1</v>
      </c>
      <c r="Z300">
        <f>COUNTIF($A$2:$A$1000, A300)</f>
        <v>1</v>
      </c>
      <c r="AA300" t="str">
        <f>IF(Y300&gt;1, "Exact Duplicate",
  IF(Z300&gt;1, "Conflicting Duplicate - Review",
    "Unique"))</f>
        <v>Unique</v>
      </c>
      <c r="AB300" s="2">
        <f>IF(ISBLANK(R300), 0, IF(ISTEXT(R300), VALUE(SUBSTITUTE(R300, "%", ""))/100, IF(OR(R300&lt;0, R300&gt;1), "Invalid", R300)))</f>
        <v>0.2</v>
      </c>
      <c r="AC300" s="4">
        <f>IF(AB300="Invalid", "Error", P300 * Q300 * (1 - AB300))</f>
        <v>1951.5440000000003</v>
      </c>
      <c r="AD300" s="4">
        <f>IF(AC300="Error", "Error", AC300 - T300)</f>
        <v>341.59400000000028</v>
      </c>
      <c r="AE300" s="2">
        <f>IF(AC300="Error", "Error", IF(AC300=0, 0, AD300 / AC300))</f>
        <v>0.17503781621116421</v>
      </c>
      <c r="AF300" s="7">
        <f>C300-B300</f>
        <v>3</v>
      </c>
      <c r="AG300" s="2" t="str">
        <f>TEXT(B300, "mmmm")</f>
        <v>January</v>
      </c>
      <c r="AH300" s="4">
        <f>YEAR(B300)</f>
        <v>2025</v>
      </c>
      <c r="AI300" s="2" t="str">
        <f t="shared" si="18"/>
        <v>Excluded from Sales</v>
      </c>
      <c r="AJ300">
        <f>COUNTIFS($A$2:$A$1000,A300,$B$2:$B$1000,B300,$C$2:$C$1000,C300,$D$2:$D$1000,D300,$E$2:$E$1000,E300,$F$2:$F$1000,F300)</f>
        <v>1</v>
      </c>
      <c r="AK300">
        <f>COUNTIF($A$2:$A$1000, A300)</f>
        <v>1</v>
      </c>
    </row>
    <row r="301" spans="1:37">
      <c r="A301" t="s">
        <v>1002</v>
      </c>
      <c r="B301" s="5">
        <v>45602</v>
      </c>
      <c r="C301" s="5">
        <v>45608</v>
      </c>
      <c r="D301" s="6">
        <f>IF(AND(C301&lt;&gt;"",B301&lt;&gt;""), C301-B301, "Missing Date")</f>
        <v>6</v>
      </c>
      <c r="E301" s="6" t="str">
        <f>IF(OR(B301="",C301=""), "Missing Date",
    IF(C301&lt;B301, "Invalid: Ship before Order",
      "OK"))</f>
        <v>OK</v>
      </c>
      <c r="F301" t="s">
        <v>1003</v>
      </c>
      <c r="G301" t="s">
        <v>118</v>
      </c>
      <c r="H301" t="s">
        <v>37</v>
      </c>
      <c r="I301" t="s">
        <v>63</v>
      </c>
      <c r="J301" t="s">
        <v>180</v>
      </c>
      <c r="K301" t="s">
        <v>181</v>
      </c>
      <c r="L301" t="s">
        <v>74</v>
      </c>
      <c r="M301" t="s">
        <v>75</v>
      </c>
      <c r="N301" t="s">
        <v>1004</v>
      </c>
      <c r="O301" t="s">
        <v>59</v>
      </c>
      <c r="P301">
        <v>7</v>
      </c>
      <c r="Q301">
        <v>1719.05</v>
      </c>
      <c r="R301">
        <v>0.1</v>
      </c>
      <c r="S301">
        <v>10830.02</v>
      </c>
      <c r="T301">
        <v>7055.31</v>
      </c>
      <c r="U301">
        <v>3774.71</v>
      </c>
      <c r="V301" t="s">
        <v>32</v>
      </c>
      <c r="W301" t="s">
        <v>33</v>
      </c>
      <c r="X301" t="str">
        <f>_xlfn.TEXTJOIN("|", TRUE, A301:W301)</f>
        <v>ORD-2024-10300|45602|45608|6|OK|CUST-7264|Rahul Verma|Small Business|West|Gujarat|Ahmedabad|Technology|Accessories|Max Accessories 145|Standard Class|7|1719.05|0.1|10830.02|7055.31|3774.71|Paid|Completed</v>
      </c>
      <c r="Y301">
        <f>COUNTIF($X$2:$X$1000, X301)</f>
        <v>1</v>
      </c>
      <c r="Z301">
        <f>COUNTIF($A$2:$A$1000, A301)</f>
        <v>1</v>
      </c>
      <c r="AA301" t="str">
        <f>IF(Y301&gt;1, "Exact Duplicate",
  IF(Z301&gt;1, "Conflicting Duplicate - Review",
    "Unique"))</f>
        <v>Unique</v>
      </c>
      <c r="AB301" s="2">
        <f>IF(ISBLANK(R301), 0, IF(ISTEXT(R301), VALUE(SUBSTITUTE(R301, "%", ""))/100, IF(OR(R301&lt;0, R301&gt;1), "Invalid", R301)))</f>
        <v>0.1</v>
      </c>
      <c r="AC301" s="4">
        <f>IF(AB301="Invalid", "Error", P301 * Q301 * (1 - AB301))</f>
        <v>10830.015000000001</v>
      </c>
      <c r="AD301" s="4">
        <f>IF(AC301="Error", "Error", AC301 - T301)</f>
        <v>3774.7050000000008</v>
      </c>
      <c r="AE301" s="2">
        <f>IF(AC301="Error", "Error", IF(AC301=0, 0, AD301 / AC301))</f>
        <v>0.34854106850267524</v>
      </c>
      <c r="AF301" s="7">
        <f>C301-B301</f>
        <v>6</v>
      </c>
      <c r="AG301" s="2" t="str">
        <f>TEXT(B301, "mmmm")</f>
        <v>November</v>
      </c>
      <c r="AH301" s="4">
        <f>YEAR(B301)</f>
        <v>2024</v>
      </c>
      <c r="AI301" s="2" t="str">
        <f t="shared" si="18"/>
        <v>Clean</v>
      </c>
      <c r="AJ301">
        <f>COUNTIFS($A$2:$A$1000,A301,$B$2:$B$1000,B301,$C$2:$C$1000,C301,$D$2:$D$1000,D301,$E$2:$E$1000,E301,$F$2:$F$1000,F301)</f>
        <v>1</v>
      </c>
      <c r="AK301">
        <f>COUNTIF($A$2:$A$1000, A301)</f>
        <v>1</v>
      </c>
    </row>
    <row r="302" spans="1:37">
      <c r="A302" t="s">
        <v>1005</v>
      </c>
      <c r="B302" s="5">
        <v>45397</v>
      </c>
      <c r="C302" s="5">
        <v>45405</v>
      </c>
      <c r="D302" s="6">
        <f>IF(AND(C302&lt;&gt;"",B302&lt;&gt;""), C302-B302, "Missing Date")</f>
        <v>8</v>
      </c>
      <c r="E302" s="6" t="str">
        <f>IF(OR(B302="",C302=""), "Missing Date",
    IF(C302&lt;B302, "Invalid: Ship before Order",
      "OK"))</f>
        <v>OK</v>
      </c>
      <c r="F302" t="s">
        <v>1006</v>
      </c>
      <c r="G302" t="s">
        <v>162</v>
      </c>
      <c r="H302" t="s">
        <v>37</v>
      </c>
      <c r="I302" t="s">
        <v>25</v>
      </c>
      <c r="J302" t="s">
        <v>122</v>
      </c>
      <c r="K302" t="s">
        <v>123</v>
      </c>
      <c r="L302" t="s">
        <v>74</v>
      </c>
      <c r="M302" t="s">
        <v>75</v>
      </c>
      <c r="N302" t="s">
        <v>1007</v>
      </c>
      <c r="O302" t="s">
        <v>31</v>
      </c>
      <c r="P302">
        <v>9</v>
      </c>
      <c r="Q302">
        <v>3893.74</v>
      </c>
      <c r="R302">
        <v>0.1</v>
      </c>
      <c r="S302">
        <v>31539.29</v>
      </c>
      <c r="T302">
        <v>22100.14</v>
      </c>
      <c r="U302">
        <v>9439.15</v>
      </c>
      <c r="V302" t="s">
        <v>32</v>
      </c>
      <c r="W302" t="s">
        <v>33</v>
      </c>
      <c r="X302" t="str">
        <f>_xlfn.TEXTJOIN("|", TRUE, A302:W302)</f>
        <v>ORD-2024-10301|45397|45405|8|OK|CUST-2668|Diya Patel|Small Business|North|Punjab|Ludhiana|Technology|Accessories|Classic Accessories 126|Second Class|9|3893.74|0.1|31539.29|22100.14|9439.15|Paid|Completed</v>
      </c>
      <c r="Y302">
        <f>COUNTIF($X$2:$X$1000, X302)</f>
        <v>1</v>
      </c>
      <c r="Z302">
        <f>COUNTIF($A$2:$A$1000, A302)</f>
        <v>1</v>
      </c>
      <c r="AA302" t="str">
        <f>IF(Y302&gt;1, "Exact Duplicate",
  IF(Z302&gt;1, "Conflicting Duplicate - Review",
    "Unique"))</f>
        <v>Unique</v>
      </c>
      <c r="AB302" s="2">
        <f>IF(ISBLANK(R302), 0, IF(ISTEXT(R302), VALUE(SUBSTITUTE(R302, "%", ""))/100, IF(OR(R302&lt;0, R302&gt;1), "Invalid", R302)))</f>
        <v>0.1</v>
      </c>
      <c r="AC302" s="4">
        <f>IF(AB302="Invalid", "Error", P302 * Q302 * (1 - AB302))</f>
        <v>31539.293999999998</v>
      </c>
      <c r="AD302" s="4">
        <f>IF(AC302="Error", "Error", AC302 - T302)</f>
        <v>9439.1539999999986</v>
      </c>
      <c r="AE302" s="2">
        <f>IF(AC302="Error", "Error", IF(AC302=0, 0, AD302 / AC302))</f>
        <v>0.29928234918638313</v>
      </c>
      <c r="AF302" s="7">
        <f>C302-B302</f>
        <v>8</v>
      </c>
      <c r="AG302" s="2" t="str">
        <f>TEXT(B302, "mmmm")</f>
        <v>April</v>
      </c>
      <c r="AH302" s="4">
        <f>YEAR(B302)</f>
        <v>2024</v>
      </c>
      <c r="AI302" s="2" t="str">
        <f t="shared" si="18"/>
        <v>Clean</v>
      </c>
      <c r="AJ302">
        <f>COUNTIFS($A$2:$A$1000,A302,$B$2:$B$1000,B302,$C$2:$C$1000,C302,$D$2:$D$1000,D302,$E$2:$E$1000,E302,$F$2:$F$1000,F302)</f>
        <v>1</v>
      </c>
      <c r="AK302">
        <f>COUNTIF($A$2:$A$1000, A302)</f>
        <v>1</v>
      </c>
    </row>
    <row r="303" spans="1:37">
      <c r="A303" t="s">
        <v>1008</v>
      </c>
      <c r="B303" s="5">
        <v>45805</v>
      </c>
      <c r="C303" s="5">
        <v>45809</v>
      </c>
      <c r="D303" s="6">
        <f>IF(AND(C303&lt;&gt;"",B303&lt;&gt;""), C303-B303, "Missing Date")</f>
        <v>4</v>
      </c>
      <c r="E303" s="6" t="str">
        <f>IF(OR(B303="",C303=""), "Missing Date",
    IF(C303&lt;B303, "Invalid: Ship before Order",
      "OK"))</f>
        <v>OK</v>
      </c>
      <c r="F303" t="s">
        <v>1009</v>
      </c>
      <c r="G303" t="s">
        <v>47</v>
      </c>
      <c r="H303" t="s">
        <v>95</v>
      </c>
      <c r="I303" t="s">
        <v>38</v>
      </c>
      <c r="J303" t="s">
        <v>145</v>
      </c>
      <c r="K303" t="s">
        <v>146</v>
      </c>
      <c r="L303" t="s">
        <v>74</v>
      </c>
      <c r="M303" t="s">
        <v>171</v>
      </c>
      <c r="N303" t="s">
        <v>1010</v>
      </c>
      <c r="O303" t="s">
        <v>44</v>
      </c>
      <c r="P303">
        <v>4</v>
      </c>
      <c r="Q303">
        <v>1654.11</v>
      </c>
      <c r="R303">
        <v>0.05</v>
      </c>
      <c r="S303">
        <v>6285.62</v>
      </c>
      <c r="T303">
        <v>3705.38</v>
      </c>
      <c r="U303">
        <v>2580.2399999999998</v>
      </c>
      <c r="V303" t="s">
        <v>32</v>
      </c>
      <c r="W303" t="s">
        <v>33</v>
      </c>
      <c r="X303" t="str">
        <f>_xlfn.TEXTJOIN("|", TRUE, A303:W303)</f>
        <v>ORD-2025-10302|45805|45809|4|OK|CUST-5599|Isha Nair|Home Office|East|Bihar|Patna|Technology|Phones|Elite Phones 202|Same Day|4|1654.11|0.05|6285.62|3705.38|2580.24|Paid|Completed</v>
      </c>
      <c r="Y303">
        <f>COUNTIF($X$2:$X$1000, X303)</f>
        <v>1</v>
      </c>
      <c r="Z303">
        <f>COUNTIF($A$2:$A$1000, A303)</f>
        <v>1</v>
      </c>
      <c r="AA303" t="str">
        <f>IF(Y303&gt;1, "Exact Duplicate",
  IF(Z303&gt;1, "Conflicting Duplicate - Review",
    "Unique"))</f>
        <v>Unique</v>
      </c>
      <c r="AB303" s="2">
        <f>IF(ISBLANK(R303), 0, IF(ISTEXT(R303), VALUE(SUBSTITUTE(R303, "%", ""))/100, IF(OR(R303&lt;0, R303&gt;1), "Invalid", R303)))</f>
        <v>0.05</v>
      </c>
      <c r="AC303" s="4">
        <f>IF(AB303="Invalid", "Error", P303 * Q303 * (1 - AB303))</f>
        <v>6285.6179999999995</v>
      </c>
      <c r="AD303" s="4">
        <f>IF(AC303="Error", "Error", AC303 - T303)</f>
        <v>2580.2379999999994</v>
      </c>
      <c r="AE303" s="2">
        <f>IF(AC303="Error", "Error", IF(AC303=0, 0, AD303 / AC303))</f>
        <v>0.41049869718458865</v>
      </c>
      <c r="AF303" s="7">
        <f>C303-B303</f>
        <v>4</v>
      </c>
      <c r="AG303" s="2" t="str">
        <f>TEXT(B303, "mmmm")</f>
        <v>May</v>
      </c>
      <c r="AH303" s="4">
        <f>YEAR(B303)</f>
        <v>2025</v>
      </c>
      <c r="AI303" s="2" t="str">
        <f t="shared" si="18"/>
        <v>Clean</v>
      </c>
      <c r="AJ303">
        <f>COUNTIFS($A$2:$A$1000,A303,$B$2:$B$1000,B303,$C$2:$C$1000,C303,$D$2:$D$1000,D303,$E$2:$E$1000,E303,$F$2:$F$1000,F303)</f>
        <v>1</v>
      </c>
      <c r="AK303">
        <f>COUNTIF($A$2:$A$1000, A303)</f>
        <v>1</v>
      </c>
    </row>
    <row r="304" spans="1:37">
      <c r="A304" t="s">
        <v>1011</v>
      </c>
      <c r="B304" s="5">
        <v>45812</v>
      </c>
      <c r="C304" s="5">
        <v>45820</v>
      </c>
      <c r="D304" s="6">
        <f>IF(AND(C304&lt;&gt;"",B304&lt;&gt;""), C304-B304, "Missing Date")</f>
        <v>8</v>
      </c>
      <c r="E304" s="6" t="str">
        <f>IF(OR(B304="",C304=""), "Missing Date",
    IF(C304&lt;B304, "Invalid: Ship before Order",
      "OK"))</f>
        <v>OK</v>
      </c>
      <c r="F304" t="s">
        <v>1012</v>
      </c>
      <c r="G304" t="s">
        <v>79</v>
      </c>
      <c r="H304" t="s">
        <v>24</v>
      </c>
      <c r="I304" t="s">
        <v>63</v>
      </c>
      <c r="J304" t="s">
        <v>190</v>
      </c>
      <c r="K304" t="s">
        <v>191</v>
      </c>
      <c r="L304" t="s">
        <v>28</v>
      </c>
      <c r="M304" t="s">
        <v>124</v>
      </c>
      <c r="N304" t="s">
        <v>1013</v>
      </c>
      <c r="O304" t="s">
        <v>44</v>
      </c>
      <c r="P304">
        <v>2</v>
      </c>
      <c r="Q304">
        <v>2703.28</v>
      </c>
      <c r="R304">
        <v>0.25</v>
      </c>
      <c r="S304">
        <v>4054.92</v>
      </c>
      <c r="T304">
        <v>2424.83</v>
      </c>
      <c r="U304">
        <v>1630.09</v>
      </c>
      <c r="V304" t="s">
        <v>32</v>
      </c>
      <c r="W304" t="s">
        <v>33</v>
      </c>
      <c r="X304" t="str">
        <f>_xlfn.TEXTJOIN("|", TRUE, A304:W304)</f>
        <v>ORD-2025-10303|45812|45820|8|OK|CUST-1623|Neha Gupta|Consumer|West|Goa|Panaji|Office Supplies|Storage|Elite Storage 535|Same Day|2|2703.28|0.25|4054.92|2424.83|1630.09|Paid|Completed</v>
      </c>
      <c r="Y304">
        <f>COUNTIF($X$2:$X$1000, X304)</f>
        <v>1</v>
      </c>
      <c r="Z304">
        <f>COUNTIF($A$2:$A$1000, A304)</f>
        <v>1</v>
      </c>
      <c r="AA304" t="str">
        <f>IF(Y304&gt;1, "Exact Duplicate",
  IF(Z304&gt;1, "Conflicting Duplicate - Review",
    "Unique"))</f>
        <v>Unique</v>
      </c>
      <c r="AB304" s="2">
        <f>IF(ISBLANK(R304), 0, IF(ISTEXT(R304), VALUE(SUBSTITUTE(R304, "%", ""))/100, IF(OR(R304&lt;0, R304&gt;1), "Invalid", R304)))</f>
        <v>0.25</v>
      </c>
      <c r="AC304" s="4">
        <f>IF(AB304="Invalid", "Error", P304 * Q304 * (1 - AB304))</f>
        <v>4054.92</v>
      </c>
      <c r="AD304" s="4">
        <f>IF(AC304="Error", "Error", AC304 - T304)</f>
        <v>1630.0900000000001</v>
      </c>
      <c r="AE304" s="2">
        <f>IF(AC304="Error", "Error", IF(AC304=0, 0, AD304 / AC304))</f>
        <v>0.40200299882611745</v>
      </c>
      <c r="AF304" s="7">
        <f>C304-B304</f>
        <v>8</v>
      </c>
      <c r="AG304" s="2" t="str">
        <f>TEXT(B304, "mmmm")</f>
        <v>June</v>
      </c>
      <c r="AH304" s="4">
        <f>YEAR(B304)</f>
        <v>2025</v>
      </c>
      <c r="AI304" s="2" t="str">
        <f t="shared" si="18"/>
        <v>Clean</v>
      </c>
      <c r="AJ304">
        <f>COUNTIFS($A$2:$A$1000,A304,$B$2:$B$1000,B304,$C$2:$C$1000,C304,$D$2:$D$1000,D304,$E$2:$E$1000,E304,$F$2:$F$1000,F304)</f>
        <v>1</v>
      </c>
      <c r="AK304">
        <f>COUNTIF($A$2:$A$1000, A304)</f>
        <v>1</v>
      </c>
    </row>
    <row r="305" spans="1:37">
      <c r="A305" t="s">
        <v>1014</v>
      </c>
      <c r="B305" s="5">
        <v>45466</v>
      </c>
      <c r="C305" s="5">
        <v>45471</v>
      </c>
      <c r="D305" s="6">
        <f>IF(AND(C305&lt;&gt;"",B305&lt;&gt;""), C305-B305, "Missing Date")</f>
        <v>5</v>
      </c>
      <c r="E305" s="6" t="str">
        <f>IF(OR(B305="",C305=""), "Missing Date",
    IF(C305&lt;B305, "Invalid: Ship before Order",
      "OK"))</f>
        <v>OK</v>
      </c>
      <c r="F305" t="s">
        <v>1015</v>
      </c>
      <c r="G305" t="s">
        <v>162</v>
      </c>
      <c r="H305" t="s">
        <v>95</v>
      </c>
      <c r="I305" t="s">
        <v>63</v>
      </c>
      <c r="J305" t="s">
        <v>180</v>
      </c>
      <c r="K305" t="s">
        <v>181</v>
      </c>
      <c r="L305" t="s">
        <v>41</v>
      </c>
      <c r="M305" t="s">
        <v>66</v>
      </c>
      <c r="N305" t="s">
        <v>1016</v>
      </c>
      <c r="O305" t="s">
        <v>59</v>
      </c>
      <c r="P305">
        <v>2</v>
      </c>
      <c r="Q305">
        <v>1313.14</v>
      </c>
      <c r="R305">
        <v>0.1</v>
      </c>
      <c r="S305">
        <v>2363.65</v>
      </c>
      <c r="T305">
        <v>1876.1</v>
      </c>
      <c r="U305">
        <v>487.55</v>
      </c>
      <c r="V305" t="s">
        <v>111</v>
      </c>
      <c r="W305" t="s">
        <v>103</v>
      </c>
      <c r="X305" t="str">
        <f>_xlfn.TEXTJOIN("|", TRUE, A305:W305)</f>
        <v>ORD-2024-10304|45466|45471|5|OK|CUST-9035|Diya Patel|Home Office|West|Gujarat|Ahmedabad|Furniture|Chairs|Elite Chairs 107|Standard Class|2|1313.14|0.1|2363.65|1876.1|487.55|Pending|Returned</v>
      </c>
      <c r="Y305">
        <f>COUNTIF($X$2:$X$1000, X305)</f>
        <v>1</v>
      </c>
      <c r="Z305">
        <f>COUNTIF($A$2:$A$1000, A305)</f>
        <v>1</v>
      </c>
      <c r="AA305" t="str">
        <f>IF(Y305&gt;1, "Exact Duplicate",
  IF(Z305&gt;1, "Conflicting Duplicate - Review",
    "Unique"))</f>
        <v>Unique</v>
      </c>
      <c r="AB305" s="2">
        <f>IF(ISBLANK(R305), 0, IF(ISTEXT(R305), VALUE(SUBSTITUTE(R305, "%", ""))/100, IF(OR(R305&lt;0, R305&gt;1), "Invalid", R305)))</f>
        <v>0.1</v>
      </c>
      <c r="AC305" s="4">
        <f>IF(AB305="Invalid", "Error", P305 * Q305 * (1 - AB305))</f>
        <v>2363.652</v>
      </c>
      <c r="AD305" s="4">
        <f>IF(AC305="Error", "Error", AC305 - T305)</f>
        <v>487.55200000000013</v>
      </c>
      <c r="AE305" s="2">
        <f>IF(AC305="Error", "Error", IF(AC305=0, 0, AD305 / AC305))</f>
        <v>0.20627063544041174</v>
      </c>
      <c r="AF305" s="7">
        <f>C305-B305</f>
        <v>5</v>
      </c>
      <c r="AG305" s="2" t="str">
        <f>TEXT(B305, "mmmm")</f>
        <v>June</v>
      </c>
      <c r="AH305" s="4">
        <f>YEAR(B305)</f>
        <v>2024</v>
      </c>
      <c r="AI305" s="2" t="str">
        <f t="shared" si="18"/>
        <v>Clean</v>
      </c>
      <c r="AJ305">
        <f>COUNTIFS($A$2:$A$1000,A305,$B$2:$B$1000,B305,$C$2:$C$1000,C305,$D$2:$D$1000,D305,$E$2:$E$1000,E305,$F$2:$F$1000,F305)</f>
        <v>1</v>
      </c>
      <c r="AK305">
        <f>COUNTIF($A$2:$A$1000, A305)</f>
        <v>1</v>
      </c>
    </row>
    <row r="306" spans="1:37">
      <c r="A306" t="s">
        <v>1017</v>
      </c>
      <c r="B306" s="5">
        <v>45446</v>
      </c>
      <c r="C306" s="5">
        <v>45364</v>
      </c>
      <c r="D306" s="6">
        <f>IF(AND(C306&lt;&gt;"",B306&lt;&gt;""), C306-B306, "Missing Date")</f>
        <v>-82</v>
      </c>
      <c r="E306" s="6" t="str">
        <f>IF(OR(B306="",C306=""), "Missing Date",
    IF(C306&lt;B306, "Invalid: Ship before Order",
      "OK"))</f>
        <v>Invalid: Ship before Order</v>
      </c>
      <c r="F306" t="s">
        <v>1018</v>
      </c>
      <c r="G306" t="s">
        <v>23</v>
      </c>
      <c r="H306" t="s">
        <v>24</v>
      </c>
      <c r="I306" t="s">
        <v>25</v>
      </c>
      <c r="J306" t="s">
        <v>122</v>
      </c>
      <c r="K306" t="s">
        <v>123</v>
      </c>
      <c r="L306" t="s">
        <v>41</v>
      </c>
      <c r="M306" t="s">
        <v>57</v>
      </c>
      <c r="N306" t="s">
        <v>1019</v>
      </c>
      <c r="O306" t="s">
        <v>59</v>
      </c>
      <c r="P306">
        <v>6</v>
      </c>
      <c r="Q306">
        <v>2403.0500000000002</v>
      </c>
      <c r="R306">
        <v>0.1</v>
      </c>
      <c r="S306">
        <v>12976.47</v>
      </c>
      <c r="T306">
        <v>10019.98</v>
      </c>
      <c r="U306">
        <v>2956.49</v>
      </c>
      <c r="V306" t="s">
        <v>32</v>
      </c>
      <c r="W306" t="s">
        <v>33</v>
      </c>
      <c r="X306" t="str">
        <f>_xlfn.TEXTJOIN("|", TRUE, A306:W306)</f>
        <v>ORD-2024-10305|45446|45364|-82|Invalid: Ship before Order|CUST-6286|Karan Malhotra|Consumer|North|Punjab|Ludhiana|Furniture|Furnishings|Pro Furnishings 991|Standard Class|6|2403.05|0.1|12976.47|10019.98|2956.49|Paid|Completed</v>
      </c>
      <c r="Y306">
        <f>COUNTIF($X$2:$X$1000, X306)</f>
        <v>1</v>
      </c>
      <c r="Z306">
        <f>COUNTIF($A$2:$A$1000, A306)</f>
        <v>1</v>
      </c>
      <c r="AA306" t="str">
        <f>IF(Y306&gt;1, "Exact Duplicate",
  IF(Z306&gt;1, "Conflicting Duplicate - Review",
    "Unique"))</f>
        <v>Unique</v>
      </c>
      <c r="AB306" s="2">
        <f>IF(ISBLANK(R306), 0, IF(ISTEXT(R306), VALUE(SUBSTITUTE(R306, "%", ""))/100, IF(OR(R306&lt;0, R306&gt;1), "Invalid", R306)))</f>
        <v>0.1</v>
      </c>
      <c r="AC306" s="4">
        <f>IF(AB306="Invalid", "Error", P306 * Q306 * (1 - AB306))</f>
        <v>12976.470000000001</v>
      </c>
      <c r="AD306" s="4">
        <f>IF(AC306="Error", "Error", AC306 - T306)</f>
        <v>2956.4900000000016</v>
      </c>
      <c r="AE306" s="2">
        <f>IF(AC306="Error", "Error", IF(AC306=0, 0, AD306 / AC306))</f>
        <v>0.22783468847845378</v>
      </c>
      <c r="AF306" s="7">
        <f>C306-B306</f>
        <v>-82</v>
      </c>
      <c r="AG306" s="2" t="str">
        <f>TEXT(B306, "mmmm")</f>
        <v>June</v>
      </c>
      <c r="AH306" s="4">
        <f>YEAR(B306)</f>
        <v>2024</v>
      </c>
      <c r="AI306" s="2" t="str">
        <f t="shared" si="18"/>
        <v>Invalid Shipping Record</v>
      </c>
      <c r="AJ306">
        <f>COUNTIFS($A$2:$A$1000,A306,$B$2:$B$1000,B306,$C$2:$C$1000,C306,$D$2:$D$1000,D306,$E$2:$E$1000,E306,$F$2:$F$1000,F306)</f>
        <v>1</v>
      </c>
      <c r="AK306">
        <f>COUNTIF($A$2:$A$1000, A306)</f>
        <v>1</v>
      </c>
    </row>
    <row r="307" spans="1:37">
      <c r="A307" t="s">
        <v>1020</v>
      </c>
      <c r="B307" s="5">
        <v>45413</v>
      </c>
      <c r="C307" s="5">
        <v>45327</v>
      </c>
      <c r="D307" s="6">
        <f>IF(AND(C307&lt;&gt;"",B307&lt;&gt;""), C307-B307, "Missing Date")</f>
        <v>-86</v>
      </c>
      <c r="E307" s="6" t="str">
        <f>IF(OR(B307="",C307=""), "Missing Date",
    IF(C307&lt;B307, "Invalid: Ship before Order",
      "OK"))</f>
        <v>Invalid: Ship before Order</v>
      </c>
      <c r="F307" t="s">
        <v>1021</v>
      </c>
      <c r="G307" t="s">
        <v>62</v>
      </c>
      <c r="H307" t="s">
        <v>24</v>
      </c>
      <c r="I307" t="s">
        <v>38</v>
      </c>
      <c r="J307" t="s">
        <v>166</v>
      </c>
      <c r="K307" t="s">
        <v>167</v>
      </c>
      <c r="L307" t="s">
        <v>41</v>
      </c>
      <c r="M307" t="s">
        <v>66</v>
      </c>
      <c r="N307" t="s">
        <v>1022</v>
      </c>
      <c r="O307" t="s">
        <v>50</v>
      </c>
      <c r="P307">
        <v>4</v>
      </c>
      <c r="Q307">
        <v>4156.0600000000004</v>
      </c>
      <c r="R307">
        <v>0.55000000000000004</v>
      </c>
      <c r="S307">
        <v>13299.39</v>
      </c>
      <c r="T307">
        <v>9851.91</v>
      </c>
      <c r="U307">
        <v>3447.48</v>
      </c>
      <c r="V307" t="s">
        <v>32</v>
      </c>
      <c r="W307" t="s">
        <v>68</v>
      </c>
      <c r="X307" t="str">
        <f>_xlfn.TEXTJOIN("|", TRUE, A307:W307)</f>
        <v>ORD-2024-10306|45413|45327|-86|Invalid: Ship before Order|CUST-7246|Ananya Rao|Consumer|East|Assam|Guwahati|Furniture|Chairs|Eco Chairs 105|First Class|4|4156.06|0.55|13299.39|9851.91|3447.48|Paid|Cancelled</v>
      </c>
      <c r="Y307">
        <f>COUNTIF($X$2:$X$1000, X307)</f>
        <v>1</v>
      </c>
      <c r="Z307">
        <f>COUNTIF($A$2:$A$1000, A307)</f>
        <v>1</v>
      </c>
      <c r="AA307" t="str">
        <f>IF(Y307&gt;1, "Exact Duplicate",
  IF(Z307&gt;1, "Conflicting Duplicate - Review",
    "Unique"))</f>
        <v>Unique</v>
      </c>
      <c r="AB307" s="2">
        <f>IF(ISBLANK(R307), 0, IF(ISTEXT(R307), VALUE(SUBSTITUTE(R307, "%", ""))/100, IF(OR(R307&lt;0, R307&gt;1), "Invalid", R307)))</f>
        <v>0.55000000000000004</v>
      </c>
      <c r="AC307" s="4">
        <f>IF(AB307="Invalid", "Error", P307 * Q307 * (1 - AB307))</f>
        <v>7480.9080000000004</v>
      </c>
      <c r="AD307" s="4">
        <f>IF(AC307="Error", "Error", AC307 - T307)</f>
        <v>-2371.0019999999995</v>
      </c>
      <c r="AE307" s="2">
        <f>IF(AC307="Error", "Error", IF(AC307=0, 0, AD307 / AC307))</f>
        <v>-0.31694040349112695</v>
      </c>
      <c r="AF307" s="7">
        <f>C307-B307</f>
        <v>-86</v>
      </c>
      <c r="AG307" s="2" t="str">
        <f>TEXT(B307, "mmmm")</f>
        <v>May</v>
      </c>
      <c r="AH307" s="4">
        <f>YEAR(B307)</f>
        <v>2024</v>
      </c>
      <c r="AI307" s="2" t="str">
        <f t="shared" si="18"/>
        <v>Excluded from Sales</v>
      </c>
      <c r="AJ307">
        <f>COUNTIFS($A$2:$A$1000,A307,$B$2:$B$1000,B307,$C$2:$C$1000,C307,$D$2:$D$1000,D307,$E$2:$E$1000,E307,$F$2:$F$1000,F307)</f>
        <v>1</v>
      </c>
      <c r="AK307">
        <f>COUNTIF($A$2:$A$1000, A307)</f>
        <v>1</v>
      </c>
    </row>
    <row r="308" spans="1:37">
      <c r="A308" t="s">
        <v>1023</v>
      </c>
      <c r="B308" s="5">
        <v>45708</v>
      </c>
      <c r="C308" s="5">
        <v>45711</v>
      </c>
      <c r="D308" s="6">
        <f>IF(AND(C308&lt;&gt;"",B308&lt;&gt;""), C308-B308, "Missing Date")</f>
        <v>3</v>
      </c>
      <c r="E308" s="6" t="str">
        <f>IF(OR(B308="",C308=""), "Missing Date",
    IF(C308&lt;B308, "Invalid: Ship before Order",
      "OK"))</f>
        <v>OK</v>
      </c>
      <c r="F308" t="s">
        <v>1024</v>
      </c>
      <c r="G308" t="s">
        <v>128</v>
      </c>
      <c r="H308" t="s">
        <v>24</v>
      </c>
      <c r="I308" t="s">
        <v>25</v>
      </c>
      <c r="J308" t="s">
        <v>26</v>
      </c>
      <c r="K308" t="s">
        <v>27</v>
      </c>
      <c r="L308" t="s">
        <v>74</v>
      </c>
      <c r="M308" t="s">
        <v>171</v>
      </c>
      <c r="N308" t="s">
        <v>1025</v>
      </c>
      <c r="O308" t="s">
        <v>31</v>
      </c>
      <c r="P308">
        <v>4</v>
      </c>
      <c r="Q308">
        <v>3673.11</v>
      </c>
      <c r="R308">
        <v>0</v>
      </c>
      <c r="S308">
        <v>14692.44</v>
      </c>
      <c r="T308">
        <v>10082.19</v>
      </c>
      <c r="U308">
        <v>4610.25</v>
      </c>
      <c r="V308" t="s">
        <v>32</v>
      </c>
      <c r="W308" t="s">
        <v>33</v>
      </c>
      <c r="X308" t="str">
        <f>_xlfn.TEXTJOIN("|", TRUE, A308:W308)</f>
        <v>ORD-2025-10307|45708|45711|3|OK|CUST-2589|Aarav Sharma|Consumer|North|Rajasthan|Jaipur|Technology|Phones|Pro Phones 530|Second Class|4|3673.11|0|14692.44|10082.19|4610.25|Paid|Completed</v>
      </c>
      <c r="Y308">
        <f>COUNTIF($X$2:$X$1000, X308)</f>
        <v>1</v>
      </c>
      <c r="Z308">
        <f>COUNTIF($A$2:$A$1000, A308)</f>
        <v>1</v>
      </c>
      <c r="AA308" t="str">
        <f>IF(Y308&gt;1, "Exact Duplicate",
  IF(Z308&gt;1, "Conflicting Duplicate - Review",
    "Unique"))</f>
        <v>Unique</v>
      </c>
      <c r="AB308" s="2">
        <f>IF(ISBLANK(R308), 0, IF(ISTEXT(R308), VALUE(SUBSTITUTE(R308, "%", ""))/100, IF(OR(R308&lt;0, R308&gt;1), "Invalid", R308)))</f>
        <v>0</v>
      </c>
      <c r="AC308" s="4">
        <f>IF(AB308="Invalid", "Error", P308 * Q308 * (1 - AB308))</f>
        <v>14692.44</v>
      </c>
      <c r="AD308" s="4">
        <f>IF(AC308="Error", "Error", AC308 - T308)</f>
        <v>4610.25</v>
      </c>
      <c r="AE308" s="2">
        <f>IF(AC308="Error", "Error", IF(AC308=0, 0, AD308 / AC308))</f>
        <v>0.31378382351740075</v>
      </c>
      <c r="AF308" s="7">
        <f>C308-B308</f>
        <v>3</v>
      </c>
      <c r="AG308" s="2" t="str">
        <f>TEXT(B308, "mmmm")</f>
        <v>February</v>
      </c>
      <c r="AH308" s="4">
        <f>YEAR(B308)</f>
        <v>2025</v>
      </c>
      <c r="AI308" s="2" t="str">
        <f t="shared" si="18"/>
        <v>Clean</v>
      </c>
      <c r="AJ308">
        <f>COUNTIFS($A$2:$A$1000,A308,$B$2:$B$1000,B308,$C$2:$C$1000,C308,$D$2:$D$1000,D308,$E$2:$E$1000,E308,$F$2:$F$1000,F308)</f>
        <v>1</v>
      </c>
      <c r="AK308">
        <f>COUNTIF($A$2:$A$1000, A308)</f>
        <v>1</v>
      </c>
    </row>
    <row r="309" spans="1:37">
      <c r="A309" t="s">
        <v>1026</v>
      </c>
      <c r="B309" s="5">
        <v>45850</v>
      </c>
      <c r="C309" s="5">
        <v>45857</v>
      </c>
      <c r="D309" s="6">
        <f>IF(AND(C309&lt;&gt;"",B309&lt;&gt;""), C309-B309, "Missing Date")</f>
        <v>7</v>
      </c>
      <c r="E309" s="6" t="str">
        <f>IF(OR(B309="",C309=""), "Missing Date",
    IF(C309&lt;B309, "Invalid: Ship before Order",
      "OK"))</f>
        <v>OK</v>
      </c>
      <c r="F309" t="s">
        <v>1027</v>
      </c>
      <c r="G309" t="s">
        <v>62</v>
      </c>
      <c r="H309" t="s">
        <v>90</v>
      </c>
      <c r="I309" t="s">
        <v>25</v>
      </c>
      <c r="J309" t="s">
        <v>136</v>
      </c>
      <c r="K309" t="s">
        <v>137</v>
      </c>
      <c r="L309" t="s">
        <v>41</v>
      </c>
      <c r="M309" t="s">
        <v>42</v>
      </c>
      <c r="N309" t="s">
        <v>1028</v>
      </c>
      <c r="O309" t="s">
        <v>50</v>
      </c>
      <c r="P309">
        <v>9</v>
      </c>
      <c r="Q309">
        <v>4093.04</v>
      </c>
      <c r="R309">
        <v>0.2</v>
      </c>
      <c r="S309">
        <v>29469.89</v>
      </c>
      <c r="T309">
        <v>18935.509999999998</v>
      </c>
      <c r="U309">
        <v>10534.38</v>
      </c>
      <c r="V309" t="s">
        <v>111</v>
      </c>
      <c r="W309" t="s">
        <v>68</v>
      </c>
      <c r="X309" t="str">
        <f>_xlfn.TEXTJOIN("|", TRUE, A309:W309)</f>
        <v>ORD-2025-10308|45850|45857|7|OK|CUST-4153|Ananya Rao|Corporate|North|Uttar Pradesh|Noida|Furniture|Tables|Basic Tables 911|First Class|9|4093.04|0.2|29469.89|18935.51|10534.38|Pending|Cancelled</v>
      </c>
      <c r="Y309">
        <f>COUNTIF($X$2:$X$1000, X309)</f>
        <v>1</v>
      </c>
      <c r="Z309">
        <f>COUNTIF($A$2:$A$1000, A309)</f>
        <v>1</v>
      </c>
      <c r="AA309" t="str">
        <f>IF(Y309&gt;1, "Exact Duplicate",
  IF(Z309&gt;1, "Conflicting Duplicate - Review",
    "Unique"))</f>
        <v>Unique</v>
      </c>
      <c r="AB309" s="2">
        <f>IF(ISBLANK(R309), 0, IF(ISTEXT(R309), VALUE(SUBSTITUTE(R309, "%", ""))/100, IF(OR(R309&lt;0, R309&gt;1), "Invalid", R309)))</f>
        <v>0.2</v>
      </c>
      <c r="AC309" s="4">
        <f>IF(AB309="Invalid", "Error", P309 * Q309 * (1 - AB309))</f>
        <v>29469.888000000003</v>
      </c>
      <c r="AD309" s="4">
        <f>IF(AC309="Error", "Error", AC309 - T309)</f>
        <v>10534.378000000004</v>
      </c>
      <c r="AE309" s="2">
        <f>IF(AC309="Error", "Error", IF(AC309=0, 0, AD309 / AC309))</f>
        <v>0.3574624375905332</v>
      </c>
      <c r="AF309" s="7">
        <f>C309-B309</f>
        <v>7</v>
      </c>
      <c r="AG309" s="2" t="str">
        <f>TEXT(B309, "mmmm")</f>
        <v>July</v>
      </c>
      <c r="AH309" s="4">
        <f>YEAR(B309)</f>
        <v>2025</v>
      </c>
      <c r="AI309" s="2" t="str">
        <f t="shared" si="18"/>
        <v>Excluded from Sales</v>
      </c>
      <c r="AJ309">
        <f>COUNTIFS($A$2:$A$1000,A309,$B$2:$B$1000,B309,$C$2:$C$1000,C309,$D$2:$D$1000,D309,$E$2:$E$1000,E309,$F$2:$F$1000,F309)</f>
        <v>1</v>
      </c>
      <c r="AK309">
        <f>COUNTIF($A$2:$A$1000, A309)</f>
        <v>1</v>
      </c>
    </row>
    <row r="310" spans="1:37">
      <c r="A310" t="s">
        <v>1029</v>
      </c>
      <c r="B310" s="5">
        <v>45821</v>
      </c>
      <c r="C310" s="5">
        <v>45827</v>
      </c>
      <c r="D310" s="6">
        <f>IF(AND(C310&lt;&gt;"",B310&lt;&gt;""), C310-B310, "Missing Date")</f>
        <v>6</v>
      </c>
      <c r="E310" s="6" t="str">
        <f>IF(OR(B310="",C310=""), "Missing Date",
    IF(C310&lt;B310, "Invalid: Ship before Order",
      "OK"))</f>
        <v>OK</v>
      </c>
      <c r="F310" t="s">
        <v>1030</v>
      </c>
      <c r="G310" t="s">
        <v>141</v>
      </c>
      <c r="H310" t="s">
        <v>24</v>
      </c>
      <c r="I310" t="s">
        <v>25</v>
      </c>
      <c r="J310" t="s">
        <v>26</v>
      </c>
      <c r="K310" t="s">
        <v>27</v>
      </c>
      <c r="L310" t="s">
        <v>41</v>
      </c>
      <c r="M310" t="s">
        <v>42</v>
      </c>
      <c r="N310" t="s">
        <v>1031</v>
      </c>
      <c r="O310" t="s">
        <v>50</v>
      </c>
      <c r="P310">
        <v>4</v>
      </c>
      <c r="Q310">
        <v>731.57</v>
      </c>
      <c r="R310">
        <v>0.2</v>
      </c>
      <c r="S310">
        <v>2341.02</v>
      </c>
      <c r="T310">
        <v>1565.49</v>
      </c>
      <c r="U310">
        <v>775.53</v>
      </c>
      <c r="V310" t="s">
        <v>32</v>
      </c>
      <c r="W310" t="s">
        <v>33</v>
      </c>
      <c r="X310" t="str">
        <f>_xlfn.TEXTJOIN("|", TRUE, A310:W310)</f>
        <v>ORD-2025-10309|45821|45827|6|OK|CUST-6727|Rohan Mehta|Consumer|North|Rajasthan|Jaipur|Furniture|Tables|Classic Tables 224|First Class|4|731.57|0.2|2341.02|1565.49|775.53|Paid|Completed</v>
      </c>
      <c r="Y310">
        <f>COUNTIF($X$2:$X$1000, X310)</f>
        <v>1</v>
      </c>
      <c r="Z310">
        <f>COUNTIF($A$2:$A$1000, A310)</f>
        <v>1</v>
      </c>
      <c r="AA310" t="str">
        <f>IF(Y310&gt;1, "Exact Duplicate",
  IF(Z310&gt;1, "Conflicting Duplicate - Review",
    "Unique"))</f>
        <v>Unique</v>
      </c>
      <c r="AB310" s="2">
        <f>IF(ISBLANK(R310), 0, IF(ISTEXT(R310), VALUE(SUBSTITUTE(R310, "%", ""))/100, IF(OR(R310&lt;0, R310&gt;1), "Invalid", R310)))</f>
        <v>0.2</v>
      </c>
      <c r="AC310" s="4">
        <f>IF(AB310="Invalid", "Error", P310 * Q310 * (1 - AB310))</f>
        <v>2341.0240000000003</v>
      </c>
      <c r="AD310" s="4">
        <f>IF(AC310="Error", "Error", AC310 - T310)</f>
        <v>775.53400000000033</v>
      </c>
      <c r="AE310" s="2">
        <f>IF(AC310="Error", "Error", IF(AC310=0, 0, AD310 / AC310))</f>
        <v>0.33127981601213835</v>
      </c>
      <c r="AF310" s="7">
        <f>C310-B310</f>
        <v>6</v>
      </c>
      <c r="AG310" s="2" t="str">
        <f>TEXT(B310, "mmmm")</f>
        <v>June</v>
      </c>
      <c r="AH310" s="4">
        <f>YEAR(B310)</f>
        <v>2025</v>
      </c>
      <c r="AI310" s="2" t="str">
        <f t="shared" si="18"/>
        <v>Clean</v>
      </c>
      <c r="AJ310">
        <f>COUNTIFS($A$2:$A$1000,A310,$B$2:$B$1000,B310,$C$2:$C$1000,C310,$D$2:$D$1000,D310,$E$2:$E$1000,E310,$F$2:$F$1000,F310)</f>
        <v>1</v>
      </c>
      <c r="AK310">
        <f>COUNTIF($A$2:$A$1000, A310)</f>
        <v>1</v>
      </c>
    </row>
    <row r="311" spans="1:37">
      <c r="A311" t="s">
        <v>1032</v>
      </c>
      <c r="B311" s="5">
        <v>45493</v>
      </c>
      <c r="C311" s="5">
        <v>45495</v>
      </c>
      <c r="D311" s="6">
        <f>IF(AND(C311&lt;&gt;"",B311&lt;&gt;""), C311-B311, "Missing Date")</f>
        <v>2</v>
      </c>
      <c r="E311" s="6" t="str">
        <f>IF(OR(B311="",C311=""), "Missing Date",
    IF(C311&lt;B311, "Invalid: Ship before Order",
      "OK"))</f>
        <v>OK</v>
      </c>
      <c r="F311" t="s">
        <v>1033</v>
      </c>
      <c r="G311" t="s">
        <v>62</v>
      </c>
      <c r="H311" t="s">
        <v>24</v>
      </c>
      <c r="I311" t="s">
        <v>54</v>
      </c>
      <c r="J311" t="s">
        <v>247</v>
      </c>
      <c r="K311" t="s">
        <v>248</v>
      </c>
      <c r="L311" t="s">
        <v>41</v>
      </c>
      <c r="M311" t="s">
        <v>42</v>
      </c>
      <c r="N311" t="s">
        <v>1034</v>
      </c>
      <c r="O311" t="s">
        <v>50</v>
      </c>
      <c r="P311">
        <v>7</v>
      </c>
      <c r="Q311">
        <v>2060.73</v>
      </c>
      <c r="R311">
        <v>0.1</v>
      </c>
      <c r="S311">
        <v>12982.6</v>
      </c>
      <c r="T311">
        <v>7246.36</v>
      </c>
      <c r="U311">
        <v>5736.24</v>
      </c>
      <c r="V311" t="s">
        <v>32</v>
      </c>
      <c r="W311" t="s">
        <v>68</v>
      </c>
      <c r="X311" t="str">
        <f>_xlfn.TEXTJOIN("|", TRUE, A311:W311)</f>
        <v>ORD-2024-10310|45493|45495|2|OK|CUST-8860|Ananya Rao|Consumer|South|Tamil Nadu|Chennai|Furniture|Tables|Prime Tables 214|First Class|7|2060.73|0.1|12982.6|7246.36|5736.24|Paid|Cancelled</v>
      </c>
      <c r="Y311">
        <f>COUNTIF($X$2:$X$1000, X311)</f>
        <v>1</v>
      </c>
      <c r="Z311">
        <f>COUNTIF($A$2:$A$1000, A311)</f>
        <v>1</v>
      </c>
      <c r="AA311" t="str">
        <f>IF(Y311&gt;1, "Exact Duplicate",
  IF(Z311&gt;1, "Conflicting Duplicate - Review",
    "Unique"))</f>
        <v>Unique</v>
      </c>
      <c r="AB311" s="2">
        <f>IF(ISBLANK(R311), 0, IF(ISTEXT(R311), VALUE(SUBSTITUTE(R311, "%", ""))/100, IF(OR(R311&lt;0, R311&gt;1), "Invalid", R311)))</f>
        <v>0.1</v>
      </c>
      <c r="AC311" s="4">
        <f>IF(AB311="Invalid", "Error", P311 * Q311 * (1 - AB311))</f>
        <v>12982.599</v>
      </c>
      <c r="AD311" s="4">
        <f>IF(AC311="Error", "Error", AC311 - T311)</f>
        <v>5736.2390000000005</v>
      </c>
      <c r="AE311" s="2">
        <f>IF(AC311="Error", "Error", IF(AC311=0, 0, AD311 / AC311))</f>
        <v>0.441840574448922</v>
      </c>
      <c r="AF311" s="7">
        <f>C311-B311</f>
        <v>2</v>
      </c>
      <c r="AG311" s="2" t="str">
        <f>TEXT(B311, "mmmm")</f>
        <v>July</v>
      </c>
      <c r="AH311" s="4">
        <f>YEAR(B311)</f>
        <v>2024</v>
      </c>
      <c r="AI311" s="2" t="str">
        <f t="shared" si="18"/>
        <v>Excluded from Sales</v>
      </c>
      <c r="AJ311">
        <f>COUNTIFS($A$2:$A$1000,A311,$B$2:$B$1000,B311,$C$2:$C$1000,C311,$D$2:$D$1000,D311,$E$2:$E$1000,E311,$F$2:$F$1000,F311)</f>
        <v>1</v>
      </c>
      <c r="AK311">
        <f>COUNTIF($A$2:$A$1000, A311)</f>
        <v>1</v>
      </c>
    </row>
    <row r="312" spans="1:37">
      <c r="A312" t="s">
        <v>1035</v>
      </c>
      <c r="B312" s="5">
        <v>45477</v>
      </c>
      <c r="C312" s="5">
        <v>45481</v>
      </c>
      <c r="D312" s="6">
        <f>IF(AND(C312&lt;&gt;"",B312&lt;&gt;""), C312-B312, "Missing Date")</f>
        <v>4</v>
      </c>
      <c r="E312" s="6" t="str">
        <f>IF(OR(B312="",C312=""), "Missing Date",
    IF(C312&lt;B312, "Invalid: Ship before Order",
      "OK"))</f>
        <v>OK</v>
      </c>
      <c r="F312" t="s">
        <v>1036</v>
      </c>
      <c r="G312" t="s">
        <v>141</v>
      </c>
      <c r="H312" t="s">
        <v>37</v>
      </c>
      <c r="I312" t="s">
        <v>54</v>
      </c>
      <c r="J312" t="s">
        <v>247</v>
      </c>
      <c r="K312" t="s">
        <v>248</v>
      </c>
      <c r="L312" t="s">
        <v>74</v>
      </c>
      <c r="M312" t="s">
        <v>274</v>
      </c>
      <c r="N312" t="s">
        <v>1037</v>
      </c>
      <c r="O312" t="s">
        <v>50</v>
      </c>
      <c r="P312">
        <v>8</v>
      </c>
      <c r="Q312">
        <v>2034.25</v>
      </c>
      <c r="R312">
        <v>0</v>
      </c>
      <c r="S312">
        <v>16274</v>
      </c>
      <c r="T312">
        <v>9424.25</v>
      </c>
      <c r="U312">
        <v>6849.75</v>
      </c>
      <c r="V312" t="s">
        <v>32</v>
      </c>
      <c r="W312" t="s">
        <v>33</v>
      </c>
      <c r="X312" t="str">
        <f>_xlfn.TEXTJOIN("|", TRUE, A312:W312)</f>
        <v>ORD-2024-10311|45477|45481|4|OK|CUST-3784|Rohan Mehta|Small Business|South|Tamil Nadu|Chennai|Technology|Machines|Max Machines 988|First Class|8|2034.25|0|16274|9424.25|6849.75|Paid|Completed</v>
      </c>
      <c r="Y312">
        <f>COUNTIF($X$2:$X$1000, X312)</f>
        <v>1</v>
      </c>
      <c r="Z312">
        <f>COUNTIF($A$2:$A$1000, A312)</f>
        <v>1</v>
      </c>
      <c r="AA312" t="str">
        <f>IF(Y312&gt;1, "Exact Duplicate",
  IF(Z312&gt;1, "Conflicting Duplicate - Review",
    "Unique"))</f>
        <v>Unique</v>
      </c>
      <c r="AB312" s="2">
        <f>IF(ISBLANK(R312), 0, IF(ISTEXT(R312), VALUE(SUBSTITUTE(R312, "%", ""))/100, IF(OR(R312&lt;0, R312&gt;1), "Invalid", R312)))</f>
        <v>0</v>
      </c>
      <c r="AC312" s="4">
        <f>IF(AB312="Invalid", "Error", P312 * Q312 * (1 - AB312))</f>
        <v>16274</v>
      </c>
      <c r="AD312" s="4">
        <f>IF(AC312="Error", "Error", AC312 - T312)</f>
        <v>6849.75</v>
      </c>
      <c r="AE312" s="2">
        <f>IF(AC312="Error", "Error", IF(AC312=0, 0, AD312 / AC312))</f>
        <v>0.42090143787636719</v>
      </c>
      <c r="AF312" s="7">
        <f>C312-B312</f>
        <v>4</v>
      </c>
      <c r="AG312" s="2" t="str">
        <f>TEXT(B312, "mmmm")</f>
        <v>July</v>
      </c>
      <c r="AH312" s="4">
        <f>YEAR(B312)</f>
        <v>2024</v>
      </c>
      <c r="AI312" s="2" t="str">
        <f t="shared" si="18"/>
        <v>Clean</v>
      </c>
      <c r="AJ312">
        <f>COUNTIFS($A$2:$A$1000,A312,$B$2:$B$1000,B312,$C$2:$C$1000,C312,$D$2:$D$1000,D312,$E$2:$E$1000,E312,$F$2:$F$1000,F312)</f>
        <v>1</v>
      </c>
      <c r="AK312">
        <f>COUNTIF($A$2:$A$1000, A312)</f>
        <v>1</v>
      </c>
    </row>
    <row r="313" spans="1:37">
      <c r="A313" t="s">
        <v>1038</v>
      </c>
      <c r="B313" s="5">
        <v>45409</v>
      </c>
      <c r="C313" s="5">
        <v>45414</v>
      </c>
      <c r="D313" s="6">
        <f>IF(AND(C313&lt;&gt;"",B313&lt;&gt;""), C313-B313, "Missing Date")</f>
        <v>5</v>
      </c>
      <c r="E313" s="6" t="str">
        <f>IF(OR(B313="",C313=""), "Missing Date",
    IF(C313&lt;B313, "Invalid: Ship before Order",
      "OK"))</f>
        <v>OK</v>
      </c>
      <c r="F313" t="s">
        <v>1039</v>
      </c>
      <c r="G313" t="s">
        <v>36</v>
      </c>
      <c r="H313" t="s">
        <v>90</v>
      </c>
      <c r="I313" t="s">
        <v>54</v>
      </c>
      <c r="J313" t="s">
        <v>175</v>
      </c>
      <c r="K313" t="s">
        <v>176</v>
      </c>
      <c r="L313" t="s">
        <v>28</v>
      </c>
      <c r="M313" t="s">
        <v>153</v>
      </c>
      <c r="N313" t="s">
        <v>1040</v>
      </c>
      <c r="O313" t="s">
        <v>31</v>
      </c>
      <c r="P313">
        <v>5</v>
      </c>
      <c r="Q313">
        <v>554.04</v>
      </c>
      <c r="R313">
        <v>0.1</v>
      </c>
      <c r="S313">
        <v>2493.1799999999998</v>
      </c>
      <c r="T313">
        <v>1764</v>
      </c>
      <c r="U313">
        <v>729.18</v>
      </c>
      <c r="V313" t="s">
        <v>32</v>
      </c>
      <c r="W313" t="s">
        <v>33</v>
      </c>
      <c r="X313" t="str">
        <f>_xlfn.TEXTJOIN("|", TRUE, A313:W313)</f>
        <v>ORD-2024-10312|45409|45414|5|OK|CUST-3545|Mira Das|Corporate|South|Karnataka|Bengaluru|Office Supplies|Binders|Max Binders 425|Second Class|5|554.04|0.1|2493.18|1764|729.18|Paid|Completed</v>
      </c>
      <c r="Y313">
        <f>COUNTIF($X$2:$X$1000, X313)</f>
        <v>1</v>
      </c>
      <c r="Z313">
        <f>COUNTIF($A$2:$A$1000, A313)</f>
        <v>1</v>
      </c>
      <c r="AA313" t="str">
        <f>IF(Y313&gt;1, "Exact Duplicate",
  IF(Z313&gt;1, "Conflicting Duplicate - Review",
    "Unique"))</f>
        <v>Unique</v>
      </c>
      <c r="AB313" s="2">
        <f>IF(ISBLANK(R313), 0, IF(ISTEXT(R313), VALUE(SUBSTITUTE(R313, "%", ""))/100, IF(OR(R313&lt;0, R313&gt;1), "Invalid", R313)))</f>
        <v>0.1</v>
      </c>
      <c r="AC313" s="4">
        <f>IF(AB313="Invalid", "Error", P313 * Q313 * (1 - AB313))</f>
        <v>2493.1799999999998</v>
      </c>
      <c r="AD313" s="4">
        <f>IF(AC313="Error", "Error", AC313 - T313)</f>
        <v>729.17999999999984</v>
      </c>
      <c r="AE313" s="2">
        <f>IF(AC313="Error", "Error", IF(AC313=0, 0, AD313 / AC313))</f>
        <v>0.29246985777200196</v>
      </c>
      <c r="AF313" s="7">
        <f>C313-B313</f>
        <v>5</v>
      </c>
      <c r="AG313" s="2" t="str">
        <f>TEXT(B313, "mmmm")</f>
        <v>April</v>
      </c>
      <c r="AH313" s="4">
        <f>YEAR(B313)</f>
        <v>2024</v>
      </c>
      <c r="AI313" s="2" t="str">
        <f t="shared" si="18"/>
        <v>Clean</v>
      </c>
      <c r="AJ313">
        <f>COUNTIFS($A$2:$A$1000,A313,$B$2:$B$1000,B313,$C$2:$C$1000,C313,$D$2:$D$1000,D313,$E$2:$E$1000,E313,$F$2:$F$1000,F313)</f>
        <v>1</v>
      </c>
      <c r="AK313">
        <f>COUNTIF($A$2:$A$1000, A313)</f>
        <v>1</v>
      </c>
    </row>
    <row r="314" spans="1:37">
      <c r="A314" t="s">
        <v>1041</v>
      </c>
      <c r="B314" s="5">
        <v>45504</v>
      </c>
      <c r="C314" s="5">
        <v>45508</v>
      </c>
      <c r="D314" s="6">
        <f>IF(AND(C314&lt;&gt;"",B314&lt;&gt;""), C314-B314, "Missing Date")</f>
        <v>4</v>
      </c>
      <c r="E314" s="6" t="str">
        <f>IF(OR(B314="",C314=""), "Missing Date",
    IF(C314&lt;B314, "Invalid: Ship before Order",
      "OK"))</f>
        <v>OK</v>
      </c>
      <c r="F314" t="s">
        <v>1042</v>
      </c>
      <c r="G314" t="s">
        <v>23</v>
      </c>
      <c r="H314" t="s">
        <v>37</v>
      </c>
      <c r="I314" t="s">
        <v>38</v>
      </c>
      <c r="J314" t="s">
        <v>166</v>
      </c>
      <c r="K314" t="s">
        <v>167</v>
      </c>
      <c r="L314" t="s">
        <v>74</v>
      </c>
      <c r="M314" t="s">
        <v>171</v>
      </c>
      <c r="N314" t="s">
        <v>1043</v>
      </c>
      <c r="O314" t="s">
        <v>59</v>
      </c>
      <c r="P314">
        <v>8</v>
      </c>
      <c r="Q314">
        <v>2614.7399999999998</v>
      </c>
      <c r="S314">
        <v>15688.44</v>
      </c>
      <c r="T314">
        <v>10047.33</v>
      </c>
      <c r="U314">
        <v>5641.11</v>
      </c>
      <c r="V314" t="s">
        <v>32</v>
      </c>
      <c r="W314" t="s">
        <v>68</v>
      </c>
      <c r="X314" t="str">
        <f>_xlfn.TEXTJOIN("|", TRUE, A314:W314)</f>
        <v>ORD-2024-10313|45504|45508|4|OK|CUST-4851|Karan Malhotra|Small Business|East|Assam|Guwahati|Technology|Phones|Elite Phones 679|Standard Class|8|2614.74|15688.44|10047.33|5641.11|Paid|Cancelled</v>
      </c>
      <c r="Y314">
        <f>COUNTIF($X$2:$X$1000, X314)</f>
        <v>1</v>
      </c>
      <c r="Z314">
        <f>COUNTIF($A$2:$A$1000, A314)</f>
        <v>1</v>
      </c>
      <c r="AA314" t="str">
        <f>IF(Y314&gt;1, "Exact Duplicate",
  IF(Z314&gt;1, "Conflicting Duplicate - Review",
    "Unique"))</f>
        <v>Unique</v>
      </c>
      <c r="AB314" s="2">
        <f>IF(ISBLANK(R314), 0, IF(ISTEXT(R314), VALUE(SUBSTITUTE(R314, "%", ""))/100, IF(OR(R314&lt;0, R314&gt;1), "Invalid", R314)))</f>
        <v>0</v>
      </c>
      <c r="AC314" s="4">
        <f>IF(AB314="Invalid", "Error", P314 * Q314 * (1 - AB314))</f>
        <v>20917.919999999998</v>
      </c>
      <c r="AD314" s="4">
        <f>IF(AC314="Error", "Error", AC314 - T314)</f>
        <v>10870.589999999998</v>
      </c>
      <c r="AE314" s="2">
        <f>IF(AC314="Error", "Error", IF(AC314=0, 0, AD314 / AC314))</f>
        <v>0.5196783427797792</v>
      </c>
      <c r="AF314" s="7">
        <f>C314-B314</f>
        <v>4</v>
      </c>
      <c r="AG314" s="2" t="str">
        <f>TEXT(B314, "mmmm")</f>
        <v>July</v>
      </c>
      <c r="AH314" s="4">
        <f>YEAR(B314)</f>
        <v>2024</v>
      </c>
      <c r="AI314" s="2" t="str">
        <f t="shared" si="18"/>
        <v>Excluded from Sales</v>
      </c>
      <c r="AJ314">
        <f>COUNTIFS($A$2:$A$1000,A314,$B$2:$B$1000,B314,$C$2:$C$1000,C314,$D$2:$D$1000,D314,$E$2:$E$1000,E314,$F$2:$F$1000,F314)</f>
        <v>1</v>
      </c>
      <c r="AK314">
        <f>COUNTIF($A$2:$A$1000, A314)</f>
        <v>1</v>
      </c>
    </row>
    <row r="315" spans="1:37">
      <c r="A315" t="s">
        <v>1044</v>
      </c>
      <c r="B315" s="5">
        <v>45807</v>
      </c>
      <c r="C315" s="5">
        <v>45808</v>
      </c>
      <c r="D315" s="6">
        <f>IF(AND(C315&lt;&gt;"",B315&lt;&gt;""), C315-B315, "Missing Date")</f>
        <v>1</v>
      </c>
      <c r="E315" s="6" t="str">
        <f>IF(OR(B315="",C315=""), "Missing Date",
    IF(C315&lt;B315, "Invalid: Ship before Order",
      "OK"))</f>
        <v>OK</v>
      </c>
      <c r="F315" t="s">
        <v>1045</v>
      </c>
      <c r="G315" t="s">
        <v>118</v>
      </c>
      <c r="H315" t="s">
        <v>90</v>
      </c>
      <c r="I315" t="s">
        <v>25</v>
      </c>
      <c r="J315" t="s">
        <v>136</v>
      </c>
      <c r="K315" t="s">
        <v>137</v>
      </c>
      <c r="L315" t="s">
        <v>74</v>
      </c>
      <c r="M315" t="s">
        <v>171</v>
      </c>
      <c r="N315" t="s">
        <v>1046</v>
      </c>
      <c r="O315" t="s">
        <v>50</v>
      </c>
      <c r="P315">
        <v>8</v>
      </c>
      <c r="Q315">
        <v>2081.4299999999998</v>
      </c>
      <c r="R315">
        <v>0.25</v>
      </c>
      <c r="S315">
        <v>12488.58</v>
      </c>
      <c r="T315">
        <v>10717.4</v>
      </c>
      <c r="U315">
        <v>1771.18</v>
      </c>
      <c r="V315" t="s">
        <v>102</v>
      </c>
      <c r="W315" t="s">
        <v>68</v>
      </c>
      <c r="X315" t="str">
        <f>_xlfn.TEXTJOIN("|", TRUE, A315:W315)</f>
        <v>ORD-2025-10314|45807|45808|1|OK|CUST-4770|Rahul Verma|Corporate|North|Uttar Pradesh|Noida|Technology|Phones|Pro Phones 764|First Class|8|2081.43|0.25|12488.58|10717.4|1771.18|Refunded|Cancelled</v>
      </c>
      <c r="Y315">
        <f>COUNTIF($X$2:$X$1000, X315)</f>
        <v>1</v>
      </c>
      <c r="Z315">
        <f>COUNTIF($A$2:$A$1000, A315)</f>
        <v>1</v>
      </c>
      <c r="AA315" t="str">
        <f>IF(Y315&gt;1, "Exact Duplicate",
  IF(Z315&gt;1, "Conflicting Duplicate - Review",
    "Unique"))</f>
        <v>Unique</v>
      </c>
      <c r="AB315" s="2">
        <f>IF(ISBLANK(R315), 0, IF(ISTEXT(R315), VALUE(SUBSTITUTE(R315, "%", ""))/100, IF(OR(R315&lt;0, R315&gt;1), "Invalid", R315)))</f>
        <v>0.25</v>
      </c>
      <c r="AC315" s="4">
        <f>IF(AB315="Invalid", "Error", P315 * Q315 * (1 - AB315))</f>
        <v>12488.579999999998</v>
      </c>
      <c r="AD315" s="4">
        <f>IF(AC315="Error", "Error", AC315 - T315)</f>
        <v>1771.1799999999985</v>
      </c>
      <c r="AE315" s="2">
        <f>IF(AC315="Error", "Error", IF(AC315=0, 0, AD315 / AC315))</f>
        <v>0.14182397037933847</v>
      </c>
      <c r="AF315" s="7">
        <f>C315-B315</f>
        <v>1</v>
      </c>
      <c r="AG315" s="2" t="str">
        <f>TEXT(B315, "mmmm")</f>
        <v>May</v>
      </c>
      <c r="AH315" s="4">
        <f>YEAR(B315)</f>
        <v>2025</v>
      </c>
      <c r="AI315" s="2" t="str">
        <f t="shared" si="18"/>
        <v>Excluded from Sales</v>
      </c>
      <c r="AJ315">
        <f>COUNTIFS($A$2:$A$1000,A315,$B$2:$B$1000,B315,$C$2:$C$1000,C315,$D$2:$D$1000,D315,$E$2:$E$1000,E315,$F$2:$F$1000,F315)</f>
        <v>1</v>
      </c>
      <c r="AK315">
        <f>COUNTIF($A$2:$A$1000, A315)</f>
        <v>1</v>
      </c>
    </row>
    <row r="316" spans="1:37">
      <c r="A316" t="s">
        <v>1047</v>
      </c>
      <c r="B316" s="5">
        <v>45795</v>
      </c>
      <c r="C316" s="5">
        <v>45797</v>
      </c>
      <c r="D316" s="6">
        <f>IF(AND(C316&lt;&gt;"",B316&lt;&gt;""), C316-B316, "Missing Date")</f>
        <v>2</v>
      </c>
      <c r="E316" s="6" t="str">
        <f>IF(OR(B316="",C316=""), "Missing Date",
    IF(C316&lt;B316, "Invalid: Ship before Order",
      "OK"))</f>
        <v>OK</v>
      </c>
      <c r="F316" t="s">
        <v>1048</v>
      </c>
      <c r="G316" t="s">
        <v>47</v>
      </c>
      <c r="H316" t="s">
        <v>90</v>
      </c>
      <c r="I316" t="s">
        <v>63</v>
      </c>
      <c r="J316" t="s">
        <v>72</v>
      </c>
      <c r="K316" t="s">
        <v>73</v>
      </c>
      <c r="L316" t="s">
        <v>28</v>
      </c>
      <c r="M316" t="s">
        <v>91</v>
      </c>
      <c r="N316" t="s">
        <v>1049</v>
      </c>
      <c r="O316" t="s">
        <v>59</v>
      </c>
      <c r="P316">
        <v>9</v>
      </c>
      <c r="Q316">
        <v>847.76</v>
      </c>
      <c r="R316">
        <v>0.15</v>
      </c>
      <c r="S316">
        <v>6485.36</v>
      </c>
      <c r="T316">
        <v>5376.17</v>
      </c>
      <c r="U316">
        <v>1109.19</v>
      </c>
      <c r="V316" t="s">
        <v>155</v>
      </c>
      <c r="W316" t="s">
        <v>103</v>
      </c>
      <c r="X316" t="str">
        <f>_xlfn.TEXTJOIN("|", TRUE, A316:W316)</f>
        <v>ORD-2025-10315|45795|45797|2|OK|CUST-1945|Isha Nair|Corporate|West|Madhya Pradesh|Indore|Office Supplies|Labels|Elite Labels 544|Standard Class|9|847.76|0.15|6485.36|5376.17|1109.19|Failed|Returned</v>
      </c>
      <c r="Y316">
        <f>COUNTIF($X$2:$X$1000, X316)</f>
        <v>1</v>
      </c>
      <c r="Z316">
        <f>COUNTIF($A$2:$A$1000, A316)</f>
        <v>2</v>
      </c>
      <c r="AA316" t="str">
        <f>IF(Y316&gt;1, "Exact Duplicate",
  IF(Z316&gt;1, "Conflicting Duplicate - Review",
    "Unique"))</f>
        <v>Conflicting Duplicate - Review</v>
      </c>
      <c r="AB316" s="2">
        <f>IF(ISBLANK(R316), 0, IF(ISTEXT(R316), VALUE(SUBSTITUTE(R316, "%", ""))/100, IF(OR(R316&lt;0, R316&gt;1), "Invalid", R316)))</f>
        <v>0.15</v>
      </c>
      <c r="AC316" s="4">
        <f>IF(AB316="Invalid", "Error", P316 * Q316 * (1 - AB316))</f>
        <v>6485.3639999999996</v>
      </c>
      <c r="AD316" s="4">
        <f>IF(AC316="Error", "Error", AC316 - T316)</f>
        <v>1109.1939999999995</v>
      </c>
      <c r="AE316" s="2">
        <f>IF(AC316="Error", "Error", IF(AC316=0, 0, AD316 / AC316))</f>
        <v>0.17103033846673826</v>
      </c>
      <c r="AF316" s="7">
        <f>C316-B316</f>
        <v>2</v>
      </c>
      <c r="AG316" s="2" t="str">
        <f>TEXT(B316, "mmmm")</f>
        <v>May</v>
      </c>
      <c r="AH316" s="4">
        <f>YEAR(B316)</f>
        <v>2025</v>
      </c>
      <c r="AI316" s="2" t="str">
        <f t="shared" si="18"/>
        <v>Excluded from Sales</v>
      </c>
      <c r="AJ316">
        <f>COUNTIFS($A$2:$A$1000,A316,$B$2:$B$1000,B316,$C$2:$C$1000,C316,$D$2:$D$1000,D316,$E$2:$E$1000,E316,$F$2:$F$1000,F316)</f>
        <v>2</v>
      </c>
      <c r="AK316">
        <f>COUNTIF($A$2:$A$1000, A316)</f>
        <v>2</v>
      </c>
    </row>
    <row r="317" spans="1:37">
      <c r="A317" t="s">
        <v>1050</v>
      </c>
      <c r="B317" s="5">
        <v>45475</v>
      </c>
      <c r="C317" s="5">
        <v>45481</v>
      </c>
      <c r="D317" s="6">
        <f>IF(AND(C317&lt;&gt;"",B317&lt;&gt;""), C317-B317, "Missing Date")</f>
        <v>6</v>
      </c>
      <c r="E317" s="6" t="str">
        <f>IF(OR(B317="",C317=""), "Missing Date",
    IF(C317&lt;B317, "Invalid: Ship before Order",
      "OK"))</f>
        <v>OK</v>
      </c>
      <c r="F317" t="s">
        <v>1051</v>
      </c>
      <c r="G317" t="s">
        <v>141</v>
      </c>
      <c r="H317" t="s">
        <v>24</v>
      </c>
      <c r="I317" t="s">
        <v>25</v>
      </c>
      <c r="J317" t="s">
        <v>350</v>
      </c>
      <c r="K317" t="s">
        <v>351</v>
      </c>
      <c r="L317" t="s">
        <v>28</v>
      </c>
      <c r="M317" t="s">
        <v>29</v>
      </c>
      <c r="N317" t="s">
        <v>1052</v>
      </c>
      <c r="O317" t="s">
        <v>59</v>
      </c>
      <c r="P317">
        <v>9</v>
      </c>
      <c r="Q317">
        <v>3450.4</v>
      </c>
      <c r="R317">
        <v>0.05</v>
      </c>
      <c r="S317">
        <v>29500.92</v>
      </c>
      <c r="T317">
        <v>17989.68</v>
      </c>
      <c r="U317">
        <v>11511.24</v>
      </c>
      <c r="V317" t="s">
        <v>111</v>
      </c>
      <c r="W317" t="s">
        <v>103</v>
      </c>
      <c r="X317" t="str">
        <f>_xlfn.TEXTJOIN("|", TRUE, A317:W317)</f>
        <v>ORD-2024-10316|45475|45481|6|OK|CUST-7565|Rohan Mehta|Consumer|North|Delhi|New Delhi|Office Supplies|Paper|Smart Paper 817|Standard Class|9|3450.4|0.05|29500.92|17989.68|11511.24|Pending|Returned</v>
      </c>
      <c r="Y317">
        <f>COUNTIF($X$2:$X$1000, X317)</f>
        <v>1</v>
      </c>
      <c r="Z317">
        <f>COUNTIF($A$2:$A$1000, A317)</f>
        <v>1</v>
      </c>
      <c r="AA317" t="str">
        <f>IF(Y317&gt;1, "Exact Duplicate",
  IF(Z317&gt;1, "Conflicting Duplicate - Review",
    "Unique"))</f>
        <v>Unique</v>
      </c>
      <c r="AB317" s="2">
        <f>IF(ISBLANK(R317), 0, IF(ISTEXT(R317), VALUE(SUBSTITUTE(R317, "%", ""))/100, IF(OR(R317&lt;0, R317&gt;1), "Invalid", R317)))</f>
        <v>0.05</v>
      </c>
      <c r="AC317" s="4">
        <f>IF(AB317="Invalid", "Error", P317 * Q317 * (1 - AB317))</f>
        <v>29500.920000000002</v>
      </c>
      <c r="AD317" s="4">
        <f>IF(AC317="Error", "Error", AC317 - T317)</f>
        <v>11511.240000000002</v>
      </c>
      <c r="AE317" s="2">
        <f>IF(AC317="Error", "Error", IF(AC317=0, 0, AD317 / AC317))</f>
        <v>0.39019935649464493</v>
      </c>
      <c r="AF317" s="7">
        <f>C317-B317</f>
        <v>6</v>
      </c>
      <c r="AG317" s="2" t="str">
        <f>TEXT(B317, "mmmm")</f>
        <v>July</v>
      </c>
      <c r="AH317" s="4">
        <f>YEAR(B317)</f>
        <v>2024</v>
      </c>
      <c r="AI317" s="2" t="str">
        <f t="shared" si="18"/>
        <v>Clean</v>
      </c>
      <c r="AJ317">
        <f>COUNTIFS($A$2:$A$1000,A317,$B$2:$B$1000,B317,$C$2:$C$1000,C317,$D$2:$D$1000,D317,$E$2:$E$1000,E317,$F$2:$F$1000,F317)</f>
        <v>1</v>
      </c>
      <c r="AK317">
        <f>COUNTIF($A$2:$A$1000, A317)</f>
        <v>1</v>
      </c>
    </row>
    <row r="318" spans="1:37">
      <c r="A318" t="s">
        <v>1053</v>
      </c>
      <c r="B318" s="5">
        <v>45338</v>
      </c>
      <c r="C318" s="5">
        <v>45340</v>
      </c>
      <c r="D318" s="6">
        <f>IF(AND(C318&lt;&gt;"",B318&lt;&gt;""), C318-B318, "Missing Date")</f>
        <v>2</v>
      </c>
      <c r="E318" s="6" t="str">
        <f>IF(OR(B318="",C318=""), "Missing Date",
    IF(C318&lt;B318, "Invalid: Ship before Order",
      "OK"))</f>
        <v>OK</v>
      </c>
      <c r="F318" t="s">
        <v>1054</v>
      </c>
      <c r="G318" t="s">
        <v>23</v>
      </c>
      <c r="H318" t="s">
        <v>90</v>
      </c>
      <c r="I318" t="s">
        <v>25</v>
      </c>
      <c r="J318" t="s">
        <v>122</v>
      </c>
      <c r="K318" t="s">
        <v>123</v>
      </c>
      <c r="L318" t="s">
        <v>28</v>
      </c>
      <c r="M318" t="s">
        <v>91</v>
      </c>
      <c r="N318" t="s">
        <v>1055</v>
      </c>
      <c r="O318" t="s">
        <v>59</v>
      </c>
      <c r="P318">
        <v>2</v>
      </c>
      <c r="Q318">
        <v>1947.53</v>
      </c>
      <c r="R318">
        <v>0.2</v>
      </c>
      <c r="S318">
        <v>3116.05</v>
      </c>
      <c r="T318">
        <v>1956.63</v>
      </c>
      <c r="U318">
        <v>1159.42</v>
      </c>
      <c r="V318" t="s">
        <v>32</v>
      </c>
      <c r="W318" t="s">
        <v>68</v>
      </c>
      <c r="X318" t="str">
        <f>_xlfn.TEXTJOIN("|", TRUE, A318:W318)</f>
        <v>ORD-2024-10317|45338|45340|2|OK|CUST-9913|Karan Malhotra|Corporate|North|Punjab|Ludhiana|Office Supplies|Labels|Classic Labels 466|Standard Class|2|1947.53|0.2|3116.05|1956.63|1159.42|Paid|Cancelled</v>
      </c>
      <c r="Y318">
        <f>COUNTIF($X$2:$X$1000, X318)</f>
        <v>1</v>
      </c>
      <c r="Z318">
        <f>COUNTIF($A$2:$A$1000, A318)</f>
        <v>1</v>
      </c>
      <c r="AA318" t="str">
        <f>IF(Y318&gt;1, "Exact Duplicate",
  IF(Z318&gt;1, "Conflicting Duplicate - Review",
    "Unique"))</f>
        <v>Unique</v>
      </c>
      <c r="AB318" s="2">
        <f>IF(ISBLANK(R318), 0, IF(ISTEXT(R318), VALUE(SUBSTITUTE(R318, "%", ""))/100, IF(OR(R318&lt;0, R318&gt;1), "Invalid", R318)))</f>
        <v>0.2</v>
      </c>
      <c r="AC318" s="4">
        <f>IF(AB318="Invalid", "Error", P318 * Q318 * (1 - AB318))</f>
        <v>3116.0480000000002</v>
      </c>
      <c r="AD318" s="4">
        <f>IF(AC318="Error", "Error", AC318 - T318)</f>
        <v>1159.4180000000001</v>
      </c>
      <c r="AE318" s="2">
        <f>IF(AC318="Error", "Error", IF(AC318=0, 0, AD318 / AC318))</f>
        <v>0.37207963420332424</v>
      </c>
      <c r="AF318" s="7">
        <f>C318-B318</f>
        <v>2</v>
      </c>
      <c r="AG318" s="2" t="str">
        <f>TEXT(B318, "mmmm")</f>
        <v>February</v>
      </c>
      <c r="AH318" s="4">
        <f>YEAR(B318)</f>
        <v>2024</v>
      </c>
      <c r="AI318" s="2" t="str">
        <f t="shared" si="18"/>
        <v>Excluded from Sales</v>
      </c>
      <c r="AJ318">
        <f>COUNTIFS($A$2:$A$1000,A318,$B$2:$B$1000,B318,$C$2:$C$1000,C318,$D$2:$D$1000,D318,$E$2:$E$1000,E318,$F$2:$F$1000,F318)</f>
        <v>1</v>
      </c>
      <c r="AK318">
        <f>COUNTIF($A$2:$A$1000, A318)</f>
        <v>1</v>
      </c>
    </row>
    <row r="319" spans="1:37">
      <c r="A319" t="s">
        <v>1056</v>
      </c>
      <c r="B319" s="5">
        <v>45898</v>
      </c>
      <c r="C319" s="5">
        <v>45904</v>
      </c>
      <c r="D319" s="6">
        <f>IF(AND(C319&lt;&gt;"",B319&lt;&gt;""), C319-B319, "Missing Date")</f>
        <v>6</v>
      </c>
      <c r="E319" s="6" t="str">
        <f>IF(OR(B319="",C319=""), "Missing Date",
    IF(C319&lt;B319, "Invalid: Ship before Order",
      "OK"))</f>
        <v>OK</v>
      </c>
      <c r="F319" t="s">
        <v>1057</v>
      </c>
      <c r="G319" t="s">
        <v>79</v>
      </c>
      <c r="H319" t="s">
        <v>90</v>
      </c>
      <c r="I319" t="s">
        <v>54</v>
      </c>
      <c r="J319" t="s">
        <v>185</v>
      </c>
      <c r="K319" t="s">
        <v>186</v>
      </c>
      <c r="L319" t="s">
        <v>41</v>
      </c>
      <c r="M319" t="s">
        <v>42</v>
      </c>
      <c r="N319" t="s">
        <v>1058</v>
      </c>
      <c r="O319" t="s">
        <v>50</v>
      </c>
      <c r="P319">
        <v>9</v>
      </c>
      <c r="Q319">
        <v>2996.97</v>
      </c>
      <c r="R319">
        <v>0.15</v>
      </c>
      <c r="S319">
        <v>22926.82</v>
      </c>
      <c r="T319">
        <v>14621.59</v>
      </c>
      <c r="U319">
        <v>8305.23</v>
      </c>
      <c r="V319" t="s">
        <v>32</v>
      </c>
      <c r="W319" t="s">
        <v>33</v>
      </c>
      <c r="X319" t="str">
        <f>_xlfn.TEXTJOIN("|", TRUE, A319:W319)</f>
        <v>ORD-2025-10318|45898|45904|6|OK|CUST-7992|Neha Gupta|Corporate|South|Kerala|Kochi|Furniture|Tables|Pro Tables 778|First Class|9|2996.97|0.15|22926.82|14621.59|8305.23|Paid|Completed</v>
      </c>
      <c r="Y319">
        <f>COUNTIF($X$2:$X$1000, X319)</f>
        <v>1</v>
      </c>
      <c r="Z319">
        <f>COUNTIF($A$2:$A$1000, A319)</f>
        <v>1</v>
      </c>
      <c r="AA319" t="str">
        <f>IF(Y319&gt;1, "Exact Duplicate",
  IF(Z319&gt;1, "Conflicting Duplicate - Review",
    "Unique"))</f>
        <v>Unique</v>
      </c>
      <c r="AB319" s="2">
        <f>IF(ISBLANK(R319), 0, IF(ISTEXT(R319), VALUE(SUBSTITUTE(R319, "%", ""))/100, IF(OR(R319&lt;0, R319&gt;1), "Invalid", R319)))</f>
        <v>0.15</v>
      </c>
      <c r="AC319" s="4">
        <f>IF(AB319="Invalid", "Error", P319 * Q319 * (1 - AB319))</f>
        <v>22926.820499999998</v>
      </c>
      <c r="AD319" s="4">
        <f>IF(AC319="Error", "Error", AC319 - T319)</f>
        <v>8305.2304999999978</v>
      </c>
      <c r="AE319" s="2">
        <f>IF(AC319="Error", "Error", IF(AC319=0, 0, AD319 / AC319))</f>
        <v>0.36224955396671765</v>
      </c>
      <c r="AF319" s="7">
        <f>C319-B319</f>
        <v>6</v>
      </c>
      <c r="AG319" s="2" t="str">
        <f>TEXT(B319, "mmmm")</f>
        <v>August</v>
      </c>
      <c r="AH319" s="4">
        <f>YEAR(B319)</f>
        <v>2025</v>
      </c>
      <c r="AI319" s="2" t="str">
        <f t="shared" si="18"/>
        <v>Clean</v>
      </c>
      <c r="AJ319">
        <f>COUNTIFS($A$2:$A$1000,A319,$B$2:$B$1000,B319,$C$2:$C$1000,C319,$D$2:$D$1000,D319,$E$2:$E$1000,E319,$F$2:$F$1000,F319)</f>
        <v>1</v>
      </c>
      <c r="AK319">
        <f>COUNTIF($A$2:$A$1000, A319)</f>
        <v>1</v>
      </c>
    </row>
    <row r="320" spans="1:37">
      <c r="A320" t="s">
        <v>1059</v>
      </c>
      <c r="B320" s="5">
        <v>45407</v>
      </c>
      <c r="C320" s="5">
        <v>45412</v>
      </c>
      <c r="D320" s="6">
        <f>IF(AND(C320&lt;&gt;"",B320&lt;&gt;""), C320-B320, "Missing Date")</f>
        <v>5</v>
      </c>
      <c r="E320" s="6" t="str">
        <f>IF(OR(B320="",C320=""), "Missing Date",
    IF(C320&lt;B320, "Invalid: Ship before Order",
      "OK"))</f>
        <v>OK</v>
      </c>
      <c r="F320" t="s">
        <v>1060</v>
      </c>
      <c r="G320" t="s">
        <v>36</v>
      </c>
      <c r="H320" t="s">
        <v>37</v>
      </c>
      <c r="I320" t="s">
        <v>54</v>
      </c>
      <c r="J320" t="s">
        <v>175</v>
      </c>
      <c r="K320" t="s">
        <v>176</v>
      </c>
      <c r="L320" t="s">
        <v>74</v>
      </c>
      <c r="M320" t="s">
        <v>171</v>
      </c>
      <c r="N320" t="s">
        <v>1061</v>
      </c>
      <c r="O320" t="s">
        <v>59</v>
      </c>
      <c r="P320">
        <v>3</v>
      </c>
      <c r="Q320">
        <v>4149.46</v>
      </c>
      <c r="R320">
        <v>0.1</v>
      </c>
      <c r="S320">
        <v>11203.54</v>
      </c>
      <c r="T320">
        <v>8452.93</v>
      </c>
      <c r="U320">
        <v>2750.61</v>
      </c>
      <c r="V320" t="s">
        <v>32</v>
      </c>
      <c r="W320" t="s">
        <v>33</v>
      </c>
      <c r="X320" t="str">
        <f>_xlfn.TEXTJOIN("|", TRUE, A320:W320)</f>
        <v>ORD-2024-10319|45407|45412|5|OK|CUST-8877|Mira Das|Small Business|South|Karnataka|Bengaluru|Technology|Phones|Basic Phones 789|Standard Class|3|4149.46|0.1|11203.54|8452.93|2750.61|Paid|Completed</v>
      </c>
      <c r="Y320">
        <f>COUNTIF($X$2:$X$1000, X320)</f>
        <v>1</v>
      </c>
      <c r="Z320">
        <f>COUNTIF($A$2:$A$1000, A320)</f>
        <v>1</v>
      </c>
      <c r="AA320" t="str">
        <f>IF(Y320&gt;1, "Exact Duplicate",
  IF(Z320&gt;1, "Conflicting Duplicate - Review",
    "Unique"))</f>
        <v>Unique</v>
      </c>
      <c r="AB320" s="2">
        <f>IF(ISBLANK(R320), 0, IF(ISTEXT(R320), VALUE(SUBSTITUTE(R320, "%", ""))/100, IF(OR(R320&lt;0, R320&gt;1), "Invalid", R320)))</f>
        <v>0.1</v>
      </c>
      <c r="AC320" s="4">
        <f>IF(AB320="Invalid", "Error", P320 * Q320 * (1 - AB320))</f>
        <v>11203.542000000001</v>
      </c>
      <c r="AD320" s="4">
        <f>IF(AC320="Error", "Error", AC320 - T320)</f>
        <v>2750.612000000001</v>
      </c>
      <c r="AE320" s="2">
        <f>IF(AC320="Error", "Error", IF(AC320=0, 0, AD320 / AC320))</f>
        <v>0.24551271374713468</v>
      </c>
      <c r="AF320" s="7">
        <f>C320-B320</f>
        <v>5</v>
      </c>
      <c r="AG320" s="2" t="str">
        <f>TEXT(B320, "mmmm")</f>
        <v>April</v>
      </c>
      <c r="AH320" s="4">
        <f>YEAR(B320)</f>
        <v>2024</v>
      </c>
      <c r="AI320" s="2" t="str">
        <f t="shared" si="18"/>
        <v>Clean</v>
      </c>
      <c r="AJ320">
        <f>COUNTIFS($A$2:$A$1000,A320,$B$2:$B$1000,B320,$C$2:$C$1000,C320,$D$2:$D$1000,D320,$E$2:$E$1000,E320,$F$2:$F$1000,F320)</f>
        <v>1</v>
      </c>
      <c r="AK320">
        <f>COUNTIF($A$2:$A$1000, A320)</f>
        <v>1</v>
      </c>
    </row>
    <row r="321" spans="1:37">
      <c r="A321" t="s">
        <v>1062</v>
      </c>
      <c r="B321" s="5">
        <v>45525</v>
      </c>
      <c r="C321" s="5">
        <v>45529</v>
      </c>
      <c r="D321" s="6">
        <f>IF(AND(C321&lt;&gt;"",B321&lt;&gt;""), C321-B321, "Missing Date")</f>
        <v>4</v>
      </c>
      <c r="E321" s="6" t="str">
        <f>IF(OR(B321="",C321=""), "Missing Date",
    IF(C321&lt;B321, "Invalid: Ship before Order",
      "OK"))</f>
        <v>OK</v>
      </c>
      <c r="F321" t="s">
        <v>1063</v>
      </c>
      <c r="G321" t="s">
        <v>162</v>
      </c>
      <c r="H321" t="s">
        <v>24</v>
      </c>
      <c r="I321" t="s">
        <v>63</v>
      </c>
      <c r="J321" t="s">
        <v>180</v>
      </c>
      <c r="K321" t="s">
        <v>181</v>
      </c>
      <c r="L321" t="s">
        <v>28</v>
      </c>
      <c r="M321" t="s">
        <v>153</v>
      </c>
      <c r="N321" t="s">
        <v>1064</v>
      </c>
      <c r="O321" t="s">
        <v>50</v>
      </c>
      <c r="P321">
        <v>1</v>
      </c>
      <c r="Q321">
        <v>270.27999999999997</v>
      </c>
      <c r="R321">
        <v>0</v>
      </c>
      <c r="S321">
        <v>270.27999999999997</v>
      </c>
      <c r="T321">
        <v>156.34</v>
      </c>
      <c r="U321">
        <v>113.94</v>
      </c>
      <c r="V321" t="s">
        <v>32</v>
      </c>
      <c r="W321" t="s">
        <v>33</v>
      </c>
      <c r="X321" t="str">
        <f>_xlfn.TEXTJOIN("|", TRUE, A321:W321)</f>
        <v>ORD-2024-10320|45525|45529|4|OK|CUST-4589|Diya Patel|Consumer|West|Gujarat|Ahmedabad|Office Supplies|Binders|Prime Binders 554|First Class|1|270.28|0|270.28|156.34|113.94|Paid|Completed</v>
      </c>
      <c r="Y321">
        <f>COUNTIF($X$2:$X$1000, X321)</f>
        <v>1</v>
      </c>
      <c r="Z321">
        <f>COUNTIF($A$2:$A$1000, A321)</f>
        <v>1</v>
      </c>
      <c r="AA321" t="str">
        <f>IF(Y321&gt;1, "Exact Duplicate",
  IF(Z321&gt;1, "Conflicting Duplicate - Review",
    "Unique"))</f>
        <v>Unique</v>
      </c>
      <c r="AB321" s="2">
        <f>IF(ISBLANK(R321), 0, IF(ISTEXT(R321), VALUE(SUBSTITUTE(R321, "%", ""))/100, IF(OR(R321&lt;0, R321&gt;1), "Invalid", R321)))</f>
        <v>0</v>
      </c>
      <c r="AC321" s="4">
        <f>IF(AB321="Invalid", "Error", P321 * Q321 * (1 - AB321))</f>
        <v>270.27999999999997</v>
      </c>
      <c r="AD321" s="4">
        <f>IF(AC321="Error", "Error", AC321 - T321)</f>
        <v>113.93999999999997</v>
      </c>
      <c r="AE321" s="2">
        <f>IF(AC321="Error", "Error", IF(AC321=0, 0, AD321 / AC321))</f>
        <v>0.42156282373834536</v>
      </c>
      <c r="AF321" s="7">
        <f>C321-B321</f>
        <v>4</v>
      </c>
      <c r="AG321" s="2" t="str">
        <f>TEXT(B321, "mmmm")</f>
        <v>August</v>
      </c>
      <c r="AH321" s="4">
        <f>YEAR(B321)</f>
        <v>2024</v>
      </c>
      <c r="AI321" s="2" t="str">
        <f t="shared" si="18"/>
        <v>Clean</v>
      </c>
      <c r="AJ321">
        <f>COUNTIFS($A$2:$A$1000,A321,$B$2:$B$1000,B321,$C$2:$C$1000,C321,$D$2:$D$1000,D321,$E$2:$E$1000,E321,$F$2:$F$1000,F321)</f>
        <v>1</v>
      </c>
      <c r="AK321">
        <f>COUNTIF($A$2:$A$1000, A321)</f>
        <v>1</v>
      </c>
    </row>
    <row r="322" spans="1:37">
      <c r="A322" t="s">
        <v>1065</v>
      </c>
      <c r="B322" s="5">
        <v>45394</v>
      </c>
      <c r="C322" s="5">
        <v>45455</v>
      </c>
      <c r="D322" s="6">
        <f>IF(AND(C322&lt;&gt;"",B322&lt;&gt;""), C322-B322, "Missing Date")</f>
        <v>61</v>
      </c>
      <c r="E322" s="6" t="str">
        <f>IF(OR(B322="",C322=""), "Missing Date",
    IF(C322&lt;B322, "Invalid: Ship before Order",
      "OK"))</f>
        <v>OK</v>
      </c>
      <c r="F322" t="s">
        <v>1066</v>
      </c>
      <c r="G322" t="s">
        <v>128</v>
      </c>
      <c r="H322" t="s">
        <v>95</v>
      </c>
      <c r="I322" t="s">
        <v>38</v>
      </c>
      <c r="J322" t="s">
        <v>99</v>
      </c>
      <c r="K322" t="s">
        <v>100</v>
      </c>
      <c r="L322" t="s">
        <v>28</v>
      </c>
      <c r="M322" t="s">
        <v>48</v>
      </c>
      <c r="N322" t="s">
        <v>1067</v>
      </c>
      <c r="O322" t="s">
        <v>31</v>
      </c>
      <c r="P322">
        <v>3</v>
      </c>
      <c r="Q322">
        <v>876.14</v>
      </c>
      <c r="R322" s="9">
        <v>0.7</v>
      </c>
      <c r="S322">
        <v>2628.42</v>
      </c>
      <c r="T322">
        <v>1541.54</v>
      </c>
      <c r="U322">
        <v>1086.8800000000001</v>
      </c>
      <c r="V322" t="s">
        <v>111</v>
      </c>
      <c r="W322" t="s">
        <v>103</v>
      </c>
      <c r="X322" t="str">
        <f>_xlfn.TEXTJOIN("|", TRUE, A322:W322)</f>
        <v>ORD-2024-10321|45394|45455|61|OK|CUST-4667|Aarav Sharma|Home Office|East|West Bengal|Kolkata|Office Supplies|Art|Classic Art 299|Second Class|3|876.14|0.7|2628.42|1541.54|1086.88|Pending|Returned</v>
      </c>
      <c r="Y322">
        <f>COUNTIF($X$2:$X$1000, X322)</f>
        <v>1</v>
      </c>
      <c r="Z322">
        <f>COUNTIF($A$2:$A$1000, A322)</f>
        <v>1</v>
      </c>
      <c r="AA322" t="str">
        <f>IF(Y322&gt;1, "Exact Duplicate",
  IF(Z322&gt;1, "Conflicting Duplicate - Review",
    "Unique"))</f>
        <v>Unique</v>
      </c>
      <c r="AB322" s="2">
        <f>IF(ISBLANK(R322), 0, IF(ISTEXT(R322), VALUE(SUBSTITUTE(R322, "%", ""))/100, IF(OR(R322&lt;0, R322&gt;1), "Invalid", R322)))</f>
        <v>0.7</v>
      </c>
      <c r="AC322" s="4">
        <f>IF(AB322="Invalid", "Error", P322 * Q322 * (1 - AB322))</f>
        <v>788.52600000000018</v>
      </c>
      <c r="AD322" s="4">
        <f>IF(AC322="Error", "Error", AC322 - T322)</f>
        <v>-753.01399999999978</v>
      </c>
      <c r="AE322" s="2">
        <f>IF(AC322="Error", "Error", IF(AC322=0, 0, AD322 / AC322))</f>
        <v>-0.95496407220560842</v>
      </c>
      <c r="AF322" s="7">
        <f>C322-B322</f>
        <v>61</v>
      </c>
      <c r="AG322" s="2" t="str">
        <f>TEXT(B322, "mmmm")</f>
        <v>April</v>
      </c>
      <c r="AH322" s="4">
        <f>YEAR(B322)</f>
        <v>2024</v>
      </c>
      <c r="AI322" s="2" t="str">
        <f t="shared" si="18"/>
        <v>Clean</v>
      </c>
      <c r="AJ322">
        <f>COUNTIFS($A$2:$A$1000,A322,$B$2:$B$1000,B322,$C$2:$C$1000,C322,$D$2:$D$1000,D322,$E$2:$E$1000,E322,$F$2:$F$1000,F322)</f>
        <v>1</v>
      </c>
      <c r="AK322">
        <f>COUNTIF($A$2:$A$1000, A322)</f>
        <v>1</v>
      </c>
    </row>
    <row r="323" spans="1:37">
      <c r="A323" t="s">
        <v>1068</v>
      </c>
      <c r="B323" s="5">
        <v>45466</v>
      </c>
      <c r="C323" s="5">
        <v>45473</v>
      </c>
      <c r="D323" s="6">
        <f>IF(AND(C323&lt;&gt;"",B323&lt;&gt;""), C323-B323, "Missing Date")</f>
        <v>7</v>
      </c>
      <c r="E323" s="6" t="str">
        <f>IF(OR(B323="",C323=""), "Missing Date",
    IF(C323&lt;B323, "Invalid: Ship before Order",
      "OK"))</f>
        <v>OK</v>
      </c>
      <c r="F323" t="s">
        <v>1069</v>
      </c>
      <c r="G323" t="s">
        <v>79</v>
      </c>
      <c r="H323" t="s">
        <v>37</v>
      </c>
      <c r="I323" t="s">
        <v>63</v>
      </c>
      <c r="J323" t="s">
        <v>190</v>
      </c>
      <c r="K323" t="s">
        <v>191</v>
      </c>
      <c r="L323" t="s">
        <v>74</v>
      </c>
      <c r="M323" t="s">
        <v>75</v>
      </c>
      <c r="N323" t="s">
        <v>1070</v>
      </c>
      <c r="O323" t="s">
        <v>44</v>
      </c>
      <c r="P323">
        <v>4</v>
      </c>
      <c r="Q323">
        <v>674.82</v>
      </c>
      <c r="R323">
        <v>0</v>
      </c>
      <c r="S323">
        <v>2699.28</v>
      </c>
      <c r="T323">
        <v>1759.76</v>
      </c>
      <c r="U323">
        <v>939.52</v>
      </c>
      <c r="V323" t="s">
        <v>155</v>
      </c>
      <c r="W323" t="s">
        <v>68</v>
      </c>
      <c r="X323" t="str">
        <f>_xlfn.TEXTJOIN("|", TRUE, A323:W323)</f>
        <v>ORD-2024-10322|45466|45473|7|OK|CUST-7821|Neha Gupta|Small Business|West|Goa|Panaji|Technology|Accessories|Eco Accessories 220|Same Day|4|674.82|0|2699.28|1759.76|939.52|Failed|Cancelled</v>
      </c>
      <c r="Y323">
        <f>COUNTIF($X$2:$X$1000, X323)</f>
        <v>1</v>
      </c>
      <c r="Z323">
        <f>COUNTIF($A$2:$A$1000, A323)</f>
        <v>1</v>
      </c>
      <c r="AA323" t="str">
        <f>IF(Y323&gt;1, "Exact Duplicate",
  IF(Z323&gt;1, "Conflicting Duplicate - Review",
    "Unique"))</f>
        <v>Unique</v>
      </c>
      <c r="AB323" s="2">
        <f>IF(ISBLANK(R323), 0, IF(ISTEXT(R323), VALUE(SUBSTITUTE(R323, "%", ""))/100, IF(OR(R323&lt;0, R323&gt;1), "Invalid", R323)))</f>
        <v>0</v>
      </c>
      <c r="AC323" s="4">
        <f>IF(AB323="Invalid", "Error", P323 * Q323 * (1 - AB323))</f>
        <v>2699.28</v>
      </c>
      <c r="AD323" s="4">
        <f>IF(AC323="Error", "Error", AC323 - T323)</f>
        <v>939.52000000000021</v>
      </c>
      <c r="AE323" s="2">
        <f>IF(AC323="Error", "Error", IF(AC323=0, 0, AD323 / AC323))</f>
        <v>0.34806318722029583</v>
      </c>
      <c r="AF323" s="7">
        <f>C323-B323</f>
        <v>7</v>
      </c>
      <c r="AG323" s="2" t="str">
        <f>TEXT(B323, "mmmm")</f>
        <v>June</v>
      </c>
      <c r="AH323" s="4">
        <f>YEAR(B323)</f>
        <v>2024</v>
      </c>
      <c r="AI323" s="2" t="str">
        <f t="shared" ref="AI323:AI386" si="19">IF(OR(R323&lt;0,R323&gt;1),"Invalid: Discount",
IF(AND(I323="Unknown",J323&lt;&gt;""),"Warning: Missing Region",
IF(W323="Cancelled","Excluded from Sales",
IF(V323="Failed","Excluded from Sales",
IF(O323="Unknown","Warning: Missing Shipping Mode",
IF(W323="Refunded","Refund – Separate Summary",
IF(C323&lt;B323,"Invalid Shipping Record",
"Clean")))))))</f>
        <v>Excluded from Sales</v>
      </c>
      <c r="AJ323">
        <f>COUNTIFS($A$2:$A$1000,A323,$B$2:$B$1000,B323,$C$2:$C$1000,C323,$D$2:$D$1000,D323,$E$2:$E$1000,E323,$F$2:$F$1000,F323)</f>
        <v>1</v>
      </c>
      <c r="AK323">
        <f>COUNTIF($A$2:$A$1000, A323)</f>
        <v>1</v>
      </c>
    </row>
    <row r="324" spans="1:37">
      <c r="A324" t="s">
        <v>1071</v>
      </c>
      <c r="B324" s="5">
        <v>45608</v>
      </c>
      <c r="C324" s="5">
        <v>45608</v>
      </c>
      <c r="D324" s="6">
        <f>IF(AND(C324&lt;&gt;"",B324&lt;&gt;""), C324-B324, "Missing Date")</f>
        <v>0</v>
      </c>
      <c r="E324" s="6" t="str">
        <f>IF(OR(B324="",C324=""), "Missing Date",
    IF(C324&lt;B324, "Invalid: Ship before Order",
      "OK"))</f>
        <v>OK</v>
      </c>
      <c r="F324" t="s">
        <v>1072</v>
      </c>
      <c r="G324" t="s">
        <v>47</v>
      </c>
      <c r="H324" t="s">
        <v>24</v>
      </c>
      <c r="I324" t="s">
        <v>25</v>
      </c>
      <c r="J324" t="s">
        <v>136</v>
      </c>
      <c r="K324" t="s">
        <v>137</v>
      </c>
      <c r="L324" t="s">
        <v>74</v>
      </c>
      <c r="M324" t="s">
        <v>171</v>
      </c>
      <c r="N324" t="s">
        <v>1073</v>
      </c>
      <c r="O324" t="s">
        <v>31</v>
      </c>
      <c r="P324">
        <v>6</v>
      </c>
      <c r="Q324">
        <v>1369.48</v>
      </c>
      <c r="R324">
        <v>0.15</v>
      </c>
      <c r="S324">
        <v>6984.35</v>
      </c>
      <c r="T324">
        <v>4023.63</v>
      </c>
      <c r="U324">
        <v>2960.72</v>
      </c>
      <c r="V324" t="s">
        <v>32</v>
      </c>
      <c r="W324" t="s">
        <v>33</v>
      </c>
      <c r="X324" t="str">
        <f>_xlfn.TEXTJOIN("|", TRUE, A324:W324)</f>
        <v>ORD-2024-10323|45608|45608|0|OK|CUST-8579|Isha Nair|Consumer|North|Uttar Pradesh|Noida|Technology|Phones|Max Phones 422|Second Class|6|1369.48|0.15|6984.35|4023.63|2960.72|Paid|Completed</v>
      </c>
      <c r="Y324">
        <f>COUNTIF($X$2:$X$1000, X324)</f>
        <v>1</v>
      </c>
      <c r="Z324">
        <f>COUNTIF($A$2:$A$1000, A324)</f>
        <v>1</v>
      </c>
      <c r="AA324" t="str">
        <f>IF(Y324&gt;1, "Exact Duplicate",
  IF(Z324&gt;1, "Conflicting Duplicate - Review",
    "Unique"))</f>
        <v>Unique</v>
      </c>
      <c r="AB324" s="2">
        <f>IF(ISBLANK(R324), 0, IF(ISTEXT(R324), VALUE(SUBSTITUTE(R324, "%", ""))/100, IF(OR(R324&lt;0, R324&gt;1), "Invalid", R324)))</f>
        <v>0.15</v>
      </c>
      <c r="AC324" s="4">
        <f>IF(AB324="Invalid", "Error", P324 * Q324 * (1 - AB324))</f>
        <v>6984.3480000000009</v>
      </c>
      <c r="AD324" s="4">
        <f>IF(AC324="Error", "Error", AC324 - T324)</f>
        <v>2960.7180000000008</v>
      </c>
      <c r="AE324" s="2">
        <f>IF(AC324="Error", "Error", IF(AC324=0, 0, AD324 / AC324))</f>
        <v>0.42390757161584736</v>
      </c>
      <c r="AF324" s="7">
        <f>C324-B324</f>
        <v>0</v>
      </c>
      <c r="AG324" s="2" t="str">
        <f>TEXT(B324, "mmmm")</f>
        <v>November</v>
      </c>
      <c r="AH324" s="4">
        <f>YEAR(B324)</f>
        <v>2024</v>
      </c>
      <c r="AI324" s="2" t="str">
        <f t="shared" si="19"/>
        <v>Clean</v>
      </c>
      <c r="AJ324">
        <f>COUNTIFS($A$2:$A$1000,A324,$B$2:$B$1000,B324,$C$2:$C$1000,C324,$D$2:$D$1000,D324,$E$2:$E$1000,E324,$F$2:$F$1000,F324)</f>
        <v>1</v>
      </c>
      <c r="AK324">
        <f>COUNTIF($A$2:$A$1000, A324)</f>
        <v>1</v>
      </c>
    </row>
    <row r="325" spans="1:37">
      <c r="A325" t="s">
        <v>1074</v>
      </c>
      <c r="B325" s="5">
        <v>45347</v>
      </c>
      <c r="C325" s="5">
        <v>45351</v>
      </c>
      <c r="D325" s="6">
        <f>IF(AND(C325&lt;&gt;"",B325&lt;&gt;""), C325-B325, "Missing Date")</f>
        <v>4</v>
      </c>
      <c r="E325" s="6" t="str">
        <f>IF(OR(B325="",C325=""), "Missing Date",
    IF(C325&lt;B325, "Invalid: Ship before Order",
      "OK"))</f>
        <v>OK</v>
      </c>
      <c r="F325" t="s">
        <v>1075</v>
      </c>
      <c r="G325" t="s">
        <v>47</v>
      </c>
      <c r="H325" t="s">
        <v>37</v>
      </c>
      <c r="I325" t="s">
        <v>63</v>
      </c>
      <c r="J325" t="s">
        <v>190</v>
      </c>
      <c r="K325" t="s">
        <v>191</v>
      </c>
      <c r="L325" t="s">
        <v>41</v>
      </c>
      <c r="M325" t="s">
        <v>57</v>
      </c>
      <c r="N325" t="s">
        <v>150</v>
      </c>
      <c r="O325" t="s">
        <v>59</v>
      </c>
      <c r="P325">
        <v>9</v>
      </c>
      <c r="Q325">
        <v>1331.46</v>
      </c>
      <c r="R325">
        <v>0.15</v>
      </c>
      <c r="S325">
        <v>10185.67</v>
      </c>
      <c r="T325">
        <v>6479.31</v>
      </c>
      <c r="U325">
        <v>3706.36</v>
      </c>
      <c r="V325" t="s">
        <v>32</v>
      </c>
      <c r="W325" t="s">
        <v>33</v>
      </c>
      <c r="X325" t="str">
        <f>_xlfn.TEXTJOIN("|", TRUE, A325:W325)</f>
        <v>ORD-2024-10324|45347|45351|4|OK|CUST-6909|Isha Nair|Small Business|West|Goa|Panaji|Furniture|Furnishings|Eco Furnishings 897|Standard Class|9|1331.46|0.15|10185.67|6479.31|3706.36|Paid|Completed</v>
      </c>
      <c r="Y325">
        <f>COUNTIF($X$2:$X$1000, X325)</f>
        <v>1</v>
      </c>
      <c r="Z325">
        <f>COUNTIF($A$2:$A$1000, A325)</f>
        <v>1</v>
      </c>
      <c r="AA325" t="str">
        <f>IF(Y325&gt;1, "Exact Duplicate",
  IF(Z325&gt;1, "Conflicting Duplicate - Review",
    "Unique"))</f>
        <v>Unique</v>
      </c>
      <c r="AB325" s="2">
        <f>IF(ISBLANK(R325), 0, IF(ISTEXT(R325), VALUE(SUBSTITUTE(R325, "%", ""))/100, IF(OR(R325&lt;0, R325&gt;1), "Invalid", R325)))</f>
        <v>0.15</v>
      </c>
      <c r="AC325" s="4">
        <f>IF(AB325="Invalid", "Error", P325 * Q325 * (1 - AB325))</f>
        <v>10185.669</v>
      </c>
      <c r="AD325" s="4">
        <f>IF(AC325="Error", "Error", AC325 - T325)</f>
        <v>3706.3589999999995</v>
      </c>
      <c r="AE325" s="2">
        <f>IF(AC325="Error", "Error", IF(AC325=0, 0, AD325 / AC325))</f>
        <v>0.36387978050337189</v>
      </c>
      <c r="AF325" s="7">
        <f>C325-B325</f>
        <v>4</v>
      </c>
      <c r="AG325" s="2" t="str">
        <f>TEXT(B325, "mmmm")</f>
        <v>February</v>
      </c>
      <c r="AH325" s="4">
        <f>YEAR(B325)</f>
        <v>2024</v>
      </c>
      <c r="AI325" s="2" t="str">
        <f t="shared" si="19"/>
        <v>Clean</v>
      </c>
      <c r="AJ325">
        <f>COUNTIFS($A$2:$A$1000,A325,$B$2:$B$1000,B325,$C$2:$C$1000,C325,$D$2:$D$1000,D325,$E$2:$E$1000,E325,$F$2:$F$1000,F325)</f>
        <v>1</v>
      </c>
      <c r="AK325">
        <f>COUNTIF($A$2:$A$1000, A325)</f>
        <v>1</v>
      </c>
    </row>
    <row r="326" spans="1:37">
      <c r="A326" t="s">
        <v>1076</v>
      </c>
      <c r="B326" s="5">
        <v>45869</v>
      </c>
      <c r="C326" s="5">
        <v>45871</v>
      </c>
      <c r="D326" s="6">
        <f>IF(AND(C326&lt;&gt;"",B326&lt;&gt;""), C326-B326, "Missing Date")</f>
        <v>2</v>
      </c>
      <c r="E326" s="6" t="str">
        <f>IF(OR(B326="",C326=""), "Missing Date",
    IF(C326&lt;B326, "Invalid: Ship before Order",
      "OK"))</f>
        <v>OK</v>
      </c>
      <c r="F326" t="s">
        <v>1077</v>
      </c>
      <c r="G326" t="s">
        <v>141</v>
      </c>
      <c r="H326" t="s">
        <v>95</v>
      </c>
      <c r="I326" t="s">
        <v>54</v>
      </c>
      <c r="J326" t="s">
        <v>84</v>
      </c>
      <c r="K326" t="s">
        <v>85</v>
      </c>
      <c r="L326" t="s">
        <v>28</v>
      </c>
      <c r="M326" t="s">
        <v>91</v>
      </c>
      <c r="N326" t="s">
        <v>1078</v>
      </c>
      <c r="O326" t="s">
        <v>44</v>
      </c>
      <c r="P326">
        <v>1</v>
      </c>
      <c r="Q326">
        <v>1947.88</v>
      </c>
      <c r="R326">
        <v>0.15</v>
      </c>
      <c r="S326">
        <v>1655.7</v>
      </c>
      <c r="T326">
        <v>1354.8</v>
      </c>
      <c r="U326">
        <v>300.89999999999998</v>
      </c>
      <c r="V326" t="s">
        <v>32</v>
      </c>
      <c r="W326" t="s">
        <v>103</v>
      </c>
      <c r="X326" t="str">
        <f>_xlfn.TEXTJOIN("|", TRUE, A326:W326)</f>
        <v>ORD-2025-10325|45869|45871|2|OK|CUST-7212|Rohan Mehta|Home Office|South|Andhra Pradesh|Vijayawada|Office Supplies|Labels|Basic Labels 102|Same Day|1|1947.88|0.15|1655.7|1354.8|300.9|Paid|Returned</v>
      </c>
      <c r="Y326">
        <f>COUNTIF($X$2:$X$1000, X326)</f>
        <v>1</v>
      </c>
      <c r="Z326">
        <f>COUNTIF($A$2:$A$1000, A326)</f>
        <v>1</v>
      </c>
      <c r="AA326" t="str">
        <f>IF(Y326&gt;1, "Exact Duplicate",
  IF(Z326&gt;1, "Conflicting Duplicate - Review",
    "Unique"))</f>
        <v>Unique</v>
      </c>
      <c r="AB326" s="2">
        <f>IF(ISBLANK(R326), 0, IF(ISTEXT(R326), VALUE(SUBSTITUTE(R326, "%", ""))/100, IF(OR(R326&lt;0, R326&gt;1), "Invalid", R326)))</f>
        <v>0.15</v>
      </c>
      <c r="AC326" s="4">
        <f>IF(AB326="Invalid", "Error", P326 * Q326 * (1 - AB326))</f>
        <v>1655.6980000000001</v>
      </c>
      <c r="AD326" s="4">
        <f>IF(AC326="Error", "Error", AC326 - T326)</f>
        <v>300.89800000000014</v>
      </c>
      <c r="AE326" s="2">
        <f>IF(AC326="Error", "Error", IF(AC326=0, 0, AD326 / AC326))</f>
        <v>0.1817348332848141</v>
      </c>
      <c r="AF326" s="7">
        <f>C326-B326</f>
        <v>2</v>
      </c>
      <c r="AG326" s="2" t="str">
        <f>TEXT(B326, "mmmm")</f>
        <v>July</v>
      </c>
      <c r="AH326" s="4">
        <f>YEAR(B326)</f>
        <v>2025</v>
      </c>
      <c r="AI326" s="2" t="str">
        <f t="shared" si="19"/>
        <v>Clean</v>
      </c>
      <c r="AJ326">
        <f>COUNTIFS($A$2:$A$1000,A326,$B$2:$B$1000,B326,$C$2:$C$1000,C326,$D$2:$D$1000,D326,$E$2:$E$1000,E326,$F$2:$F$1000,F326)</f>
        <v>1</v>
      </c>
      <c r="AK326">
        <f>COUNTIF($A$2:$A$1000, A326)</f>
        <v>1</v>
      </c>
    </row>
    <row r="327" spans="1:37">
      <c r="A327" t="s">
        <v>1079</v>
      </c>
      <c r="B327" s="5">
        <v>45916</v>
      </c>
      <c r="C327" s="5">
        <v>45922</v>
      </c>
      <c r="D327" s="6">
        <f>IF(AND(C327&lt;&gt;"",B327&lt;&gt;""), C327-B327, "Missing Date")</f>
        <v>6</v>
      </c>
      <c r="E327" s="6" t="str">
        <f>IF(OR(B327="",C327=""), "Missing Date",
    IF(C327&lt;B327, "Invalid: Ship before Order",
      "OK"))</f>
        <v>OK</v>
      </c>
      <c r="F327" t="s">
        <v>1080</v>
      </c>
      <c r="G327" t="s">
        <v>132</v>
      </c>
      <c r="H327" t="s">
        <v>95</v>
      </c>
      <c r="I327" t="s">
        <v>38</v>
      </c>
      <c r="J327" t="s">
        <v>99</v>
      </c>
      <c r="K327" t="s">
        <v>100</v>
      </c>
      <c r="L327" t="s">
        <v>74</v>
      </c>
      <c r="M327" t="s">
        <v>80</v>
      </c>
      <c r="N327" t="s">
        <v>1081</v>
      </c>
      <c r="O327" t="s">
        <v>31</v>
      </c>
      <c r="P327">
        <v>5</v>
      </c>
      <c r="Q327">
        <v>3671.2</v>
      </c>
      <c r="R327">
        <v>0.15</v>
      </c>
      <c r="S327">
        <v>15602.6</v>
      </c>
      <c r="T327">
        <v>11908.52</v>
      </c>
      <c r="U327">
        <v>3694.08</v>
      </c>
      <c r="V327" t="s">
        <v>32</v>
      </c>
      <c r="W327" t="s">
        <v>33</v>
      </c>
      <c r="X327" t="str">
        <f>_xlfn.TEXTJOIN("|", TRUE, A327:W327)</f>
        <v>ORD-2025-10326|45916|45922|6|OK|CUST-7980|Sneha Kapoor|Home Office|East|West Bengal|Kolkata|Technology|Copiers|Prime Copiers 170|Second Class|5|3671.2|0.15|15602.6|11908.52|3694.08|Paid|Completed</v>
      </c>
      <c r="Y327">
        <f>COUNTIF($X$2:$X$1000, X327)</f>
        <v>1</v>
      </c>
      <c r="Z327">
        <f>COUNTIF($A$2:$A$1000, A327)</f>
        <v>1</v>
      </c>
      <c r="AA327" t="str">
        <f>IF(Y327&gt;1, "Exact Duplicate",
  IF(Z327&gt;1, "Conflicting Duplicate - Review",
    "Unique"))</f>
        <v>Unique</v>
      </c>
      <c r="AB327" s="2">
        <f>IF(ISBLANK(R327), 0, IF(ISTEXT(R327), VALUE(SUBSTITUTE(R327, "%", ""))/100, IF(OR(R327&lt;0, R327&gt;1), "Invalid", R327)))</f>
        <v>0.15</v>
      </c>
      <c r="AC327" s="4">
        <f>IF(AB327="Invalid", "Error", P327 * Q327 * (1 - AB327))</f>
        <v>15602.6</v>
      </c>
      <c r="AD327" s="4">
        <f>IF(AC327="Error", "Error", AC327 - T327)</f>
        <v>3694.08</v>
      </c>
      <c r="AE327" s="2">
        <f>IF(AC327="Error", "Error", IF(AC327=0, 0, AD327 / AC327))</f>
        <v>0.236760539910015</v>
      </c>
      <c r="AF327" s="7">
        <f>C327-B327</f>
        <v>6</v>
      </c>
      <c r="AG327" s="2" t="str">
        <f>TEXT(B327, "mmmm")</f>
        <v>September</v>
      </c>
      <c r="AH327" s="4">
        <f>YEAR(B327)</f>
        <v>2025</v>
      </c>
      <c r="AI327" s="2" t="str">
        <f t="shared" si="19"/>
        <v>Clean</v>
      </c>
      <c r="AJ327">
        <f>COUNTIFS($A$2:$A$1000,A327,$B$2:$B$1000,B327,$C$2:$C$1000,C327,$D$2:$D$1000,D327,$E$2:$E$1000,E327,$F$2:$F$1000,F327)</f>
        <v>1</v>
      </c>
      <c r="AK327">
        <f>COUNTIF($A$2:$A$1000, A327)</f>
        <v>1</v>
      </c>
    </row>
    <row r="328" spans="1:37">
      <c r="A328" t="s">
        <v>1082</v>
      </c>
      <c r="B328" s="5">
        <v>45860</v>
      </c>
      <c r="C328" s="5">
        <v>45860</v>
      </c>
      <c r="D328" s="6">
        <f>IF(AND(C328&lt;&gt;"",B328&lt;&gt;""), C328-B328, "Missing Date")</f>
        <v>0</v>
      </c>
      <c r="E328" s="6" t="str">
        <f>IF(OR(B328="",C328=""), "Missing Date",
    IF(C328&lt;B328, "Invalid: Ship before Order",
      "OK"))</f>
        <v>OK</v>
      </c>
      <c r="F328" t="s">
        <v>1083</v>
      </c>
      <c r="G328" t="s">
        <v>132</v>
      </c>
      <c r="H328" t="s">
        <v>90</v>
      </c>
      <c r="I328" t="s">
        <v>38</v>
      </c>
      <c r="J328" t="s">
        <v>228</v>
      </c>
      <c r="K328" t="s">
        <v>229</v>
      </c>
      <c r="L328" t="s">
        <v>41</v>
      </c>
      <c r="M328" t="s">
        <v>57</v>
      </c>
      <c r="N328" t="s">
        <v>1084</v>
      </c>
      <c r="O328" t="s">
        <v>44</v>
      </c>
      <c r="P328">
        <v>5</v>
      </c>
      <c r="Q328">
        <v>3187.05</v>
      </c>
      <c r="R328">
        <v>0.05</v>
      </c>
      <c r="S328">
        <v>15138.49</v>
      </c>
      <c r="T328">
        <v>11235.72</v>
      </c>
      <c r="U328">
        <v>3902.77</v>
      </c>
      <c r="V328" t="s">
        <v>32</v>
      </c>
      <c r="W328" t="s">
        <v>33</v>
      </c>
      <c r="X328" t="str">
        <f>_xlfn.TEXTJOIN("|", TRUE, A328:W328)</f>
        <v>ORD-2025-10327|45860|45860|0|OK|CUST-1966|Sneha Kapoor|Corporate|East|Jharkhand|Ranchi|Furniture|Furnishings|Smart Furnishings 533|Same Day|5|3187.05|0.05|15138.49|11235.72|3902.77|Paid|Completed</v>
      </c>
      <c r="Y328">
        <f>COUNTIF($X$2:$X$1000, X328)</f>
        <v>1</v>
      </c>
      <c r="Z328">
        <f>COUNTIF($A$2:$A$1000, A328)</f>
        <v>1</v>
      </c>
      <c r="AA328" t="str">
        <f>IF(Y328&gt;1, "Exact Duplicate",
  IF(Z328&gt;1, "Conflicting Duplicate - Review",
    "Unique"))</f>
        <v>Unique</v>
      </c>
      <c r="AB328" s="2">
        <f>IF(ISBLANK(R328), 0, IF(ISTEXT(R328), VALUE(SUBSTITUTE(R328, "%", ""))/100, IF(OR(R328&lt;0, R328&gt;1), "Invalid", R328)))</f>
        <v>0.05</v>
      </c>
      <c r="AC328" s="4">
        <f>IF(AB328="Invalid", "Error", P328 * Q328 * (1 - AB328))</f>
        <v>15138.487499999999</v>
      </c>
      <c r="AD328" s="4">
        <f>IF(AC328="Error", "Error", AC328 - T328)</f>
        <v>3902.7674999999999</v>
      </c>
      <c r="AE328" s="2">
        <f>IF(AC328="Error", "Error", IF(AC328=0, 0, AD328 / AC328))</f>
        <v>0.25780432160082045</v>
      </c>
      <c r="AF328" s="7">
        <f>C328-B328</f>
        <v>0</v>
      </c>
      <c r="AG328" s="2" t="str">
        <f>TEXT(B328, "mmmm")</f>
        <v>July</v>
      </c>
      <c r="AH328" s="4">
        <f>YEAR(B328)</f>
        <v>2025</v>
      </c>
      <c r="AI328" s="2" t="str">
        <f t="shared" si="19"/>
        <v>Clean</v>
      </c>
      <c r="AJ328">
        <f>COUNTIFS($A$2:$A$1000,A328,$B$2:$B$1000,B328,$C$2:$C$1000,C328,$D$2:$D$1000,D328,$E$2:$E$1000,E328,$F$2:$F$1000,F328)</f>
        <v>1</v>
      </c>
      <c r="AK328">
        <f>COUNTIF($A$2:$A$1000, A328)</f>
        <v>1</v>
      </c>
    </row>
    <row r="329" spans="1:37">
      <c r="A329" t="s">
        <v>1085</v>
      </c>
      <c r="B329" s="5">
        <v>45497</v>
      </c>
      <c r="C329" s="5">
        <v>45500</v>
      </c>
      <c r="D329" s="6">
        <f>IF(AND(C329&lt;&gt;"",B329&lt;&gt;""), C329-B329, "Missing Date")</f>
        <v>3</v>
      </c>
      <c r="E329" s="6" t="str">
        <f>IF(OR(B329="",C329=""), "Missing Date",
    IF(C329&lt;B329, "Invalid: Ship before Order",
      "OK"))</f>
        <v>OK</v>
      </c>
      <c r="F329" t="s">
        <v>1086</v>
      </c>
      <c r="G329" t="s">
        <v>47</v>
      </c>
      <c r="H329" t="s">
        <v>24</v>
      </c>
      <c r="I329" t="s">
        <v>63</v>
      </c>
      <c r="J329" t="s">
        <v>26</v>
      </c>
      <c r="K329" t="s">
        <v>109</v>
      </c>
      <c r="L329" t="s">
        <v>74</v>
      </c>
      <c r="M329" t="s">
        <v>75</v>
      </c>
      <c r="N329" t="s">
        <v>1087</v>
      </c>
      <c r="O329" t="s">
        <v>31</v>
      </c>
      <c r="P329">
        <v>3</v>
      </c>
      <c r="Q329">
        <v>1834.55</v>
      </c>
      <c r="R329">
        <v>0.2</v>
      </c>
      <c r="S329">
        <v>4402.92</v>
      </c>
      <c r="T329">
        <v>2993.94</v>
      </c>
      <c r="U329">
        <v>1408.98</v>
      </c>
      <c r="V329" t="s">
        <v>111</v>
      </c>
      <c r="W329" t="s">
        <v>68</v>
      </c>
      <c r="X329" t="str">
        <f>_xlfn.TEXTJOIN("|", TRUE, A329:W329)</f>
        <v>ORD-2024-10328|45497|45500|3|OK|CUST-6163|Isha Nair|Consumer|West|Rajasthan|Udaipur|Technology|Accessories|Classic Accessories 489|Second Class|3|1834.55|0.2|4402.92|2993.94|1408.98|Pending|Cancelled</v>
      </c>
      <c r="Y329">
        <f>COUNTIF($X$2:$X$1000, X329)</f>
        <v>1</v>
      </c>
      <c r="Z329">
        <f>COUNTIF($A$2:$A$1000, A329)</f>
        <v>1</v>
      </c>
      <c r="AA329" t="str">
        <f>IF(Y329&gt;1, "Exact Duplicate",
  IF(Z329&gt;1, "Conflicting Duplicate - Review",
    "Unique"))</f>
        <v>Unique</v>
      </c>
      <c r="AB329" s="2">
        <f>IF(ISBLANK(R329), 0, IF(ISTEXT(R329), VALUE(SUBSTITUTE(R329, "%", ""))/100, IF(OR(R329&lt;0, R329&gt;1), "Invalid", R329)))</f>
        <v>0.2</v>
      </c>
      <c r="AC329" s="4">
        <f>IF(AB329="Invalid", "Error", P329 * Q329 * (1 - AB329))</f>
        <v>4402.92</v>
      </c>
      <c r="AD329" s="4">
        <f>IF(AC329="Error", "Error", AC329 - T329)</f>
        <v>1408.98</v>
      </c>
      <c r="AE329" s="2">
        <f>IF(AC329="Error", "Error", IF(AC329=0, 0, AD329 / AC329))</f>
        <v>0.32001035676323897</v>
      </c>
      <c r="AF329" s="7">
        <f>C329-B329</f>
        <v>3</v>
      </c>
      <c r="AG329" s="2" t="str">
        <f>TEXT(B329, "mmmm")</f>
        <v>July</v>
      </c>
      <c r="AH329" s="4">
        <f>YEAR(B329)</f>
        <v>2024</v>
      </c>
      <c r="AI329" s="2" t="str">
        <f t="shared" si="19"/>
        <v>Excluded from Sales</v>
      </c>
      <c r="AJ329">
        <f>COUNTIFS($A$2:$A$1000,A329,$B$2:$B$1000,B329,$C$2:$C$1000,C329,$D$2:$D$1000,D329,$E$2:$E$1000,E329,$F$2:$F$1000,F329)</f>
        <v>1</v>
      </c>
      <c r="AK329">
        <f>COUNTIF($A$2:$A$1000, A329)</f>
        <v>1</v>
      </c>
    </row>
    <row r="330" spans="1:37">
      <c r="A330" t="s">
        <v>1088</v>
      </c>
      <c r="B330" s="5">
        <v>45806</v>
      </c>
      <c r="C330" s="5">
        <v>45812</v>
      </c>
      <c r="D330" s="6">
        <f>IF(AND(C330&lt;&gt;"",B330&lt;&gt;""), C330-B330, "Missing Date")</f>
        <v>6</v>
      </c>
      <c r="E330" s="6" t="str">
        <f>IF(OR(B330="",C330=""), "Missing Date",
    IF(C330&lt;B330, "Invalid: Ship before Order",
      "OK"))</f>
        <v>OK</v>
      </c>
      <c r="F330" t="s">
        <v>1089</v>
      </c>
      <c r="G330" t="s">
        <v>162</v>
      </c>
      <c r="H330" t="s">
        <v>24</v>
      </c>
      <c r="I330" t="s">
        <v>63</v>
      </c>
      <c r="J330" t="s">
        <v>64</v>
      </c>
      <c r="K330" t="s">
        <v>65</v>
      </c>
      <c r="L330" t="s">
        <v>28</v>
      </c>
      <c r="M330" t="s">
        <v>124</v>
      </c>
      <c r="N330" t="s">
        <v>1090</v>
      </c>
      <c r="O330" t="s">
        <v>50</v>
      </c>
      <c r="P330">
        <v>6</v>
      </c>
      <c r="Q330">
        <v>3100.68</v>
      </c>
      <c r="R330">
        <v>0</v>
      </c>
      <c r="S330">
        <v>18604.080000000002</v>
      </c>
      <c r="T330">
        <v>15834.3</v>
      </c>
      <c r="U330">
        <v>2769.78</v>
      </c>
      <c r="V330" t="s">
        <v>32</v>
      </c>
      <c r="W330" t="s">
        <v>33</v>
      </c>
      <c r="X330" t="str">
        <f>_xlfn.TEXTJOIN("|", TRUE, A330:W330)</f>
        <v>ORD-2025-10329|45806|45812|6|OK|CUST-7239|Diya Patel|Consumer|West|Maharashtra|Mumbai|Office Supplies|Storage|Smart Storage 439|First Class|6|3100.68|0|18604.08|15834.3|2769.78|Paid|Completed</v>
      </c>
      <c r="Y330">
        <f>COUNTIF($X$2:$X$1000, X330)</f>
        <v>1</v>
      </c>
      <c r="Z330">
        <f>COUNTIF($A$2:$A$1000, A330)</f>
        <v>1</v>
      </c>
      <c r="AA330" t="str">
        <f>IF(Y330&gt;1, "Exact Duplicate",
  IF(Z330&gt;1, "Conflicting Duplicate - Review",
    "Unique"))</f>
        <v>Unique</v>
      </c>
      <c r="AB330" s="2">
        <f>IF(ISBLANK(R330), 0, IF(ISTEXT(R330), VALUE(SUBSTITUTE(R330, "%", ""))/100, IF(OR(R330&lt;0, R330&gt;1), "Invalid", R330)))</f>
        <v>0</v>
      </c>
      <c r="AC330" s="4">
        <f>IF(AB330="Invalid", "Error", P330 * Q330 * (1 - AB330))</f>
        <v>18604.079999999998</v>
      </c>
      <c r="AD330" s="4">
        <f>IF(AC330="Error", "Error", AC330 - T330)</f>
        <v>2769.7799999999988</v>
      </c>
      <c r="AE330" s="2">
        <f>IF(AC330="Error", "Error", IF(AC330=0, 0, AD330 / AC330))</f>
        <v>0.1488802456235406</v>
      </c>
      <c r="AF330" s="7">
        <f>C330-B330</f>
        <v>6</v>
      </c>
      <c r="AG330" s="2" t="str">
        <f>TEXT(B330, "mmmm")</f>
        <v>May</v>
      </c>
      <c r="AH330" s="4">
        <f>YEAR(B330)</f>
        <v>2025</v>
      </c>
      <c r="AI330" s="2" t="str">
        <f t="shared" si="19"/>
        <v>Clean</v>
      </c>
      <c r="AJ330">
        <f>COUNTIFS($A$2:$A$1000,A330,$B$2:$B$1000,B330,$C$2:$C$1000,C330,$D$2:$D$1000,D330,$E$2:$E$1000,E330,$F$2:$F$1000,F330)</f>
        <v>1</v>
      </c>
      <c r="AK330">
        <f>COUNTIF($A$2:$A$1000, A330)</f>
        <v>1</v>
      </c>
    </row>
    <row r="331" spans="1:37">
      <c r="A331" t="s">
        <v>1091</v>
      </c>
      <c r="B331" s="5">
        <v>45789</v>
      </c>
      <c r="C331" s="5">
        <v>45795</v>
      </c>
      <c r="D331" s="6">
        <f>IF(AND(C331&lt;&gt;"",B331&lt;&gt;""), C331-B331, "Missing Date")</f>
        <v>6</v>
      </c>
      <c r="E331" s="6" t="str">
        <f>IF(OR(B331="",C331=""), "Missing Date",
    IF(C331&lt;B331, "Invalid: Ship before Order",
      "OK"))</f>
        <v>OK</v>
      </c>
      <c r="F331" t="s">
        <v>1092</v>
      </c>
      <c r="G331" t="s">
        <v>79</v>
      </c>
      <c r="H331" t="s">
        <v>37</v>
      </c>
      <c r="I331" t="s">
        <v>63</v>
      </c>
      <c r="J331" t="s">
        <v>64</v>
      </c>
      <c r="K331" t="s">
        <v>65</v>
      </c>
      <c r="L331" t="s">
        <v>28</v>
      </c>
      <c r="M331" t="s">
        <v>124</v>
      </c>
      <c r="N331" t="s">
        <v>1093</v>
      </c>
      <c r="O331" t="s">
        <v>59</v>
      </c>
      <c r="P331">
        <v>4</v>
      </c>
      <c r="Q331">
        <v>4053.03</v>
      </c>
      <c r="R331">
        <v>0.05</v>
      </c>
      <c r="S331">
        <v>15401.51</v>
      </c>
      <c r="T331">
        <v>8650.42</v>
      </c>
      <c r="U331">
        <v>6751.09</v>
      </c>
      <c r="V331" t="s">
        <v>32</v>
      </c>
      <c r="W331" t="s">
        <v>33</v>
      </c>
      <c r="X331" t="str">
        <f>_xlfn.TEXTJOIN("|", TRUE, A331:W331)</f>
        <v>ORD-2025-10330|45789|45795|6|OK|CUST-9718|Neha Gupta|Small Business|West|Maharashtra|Mumbai|Office Supplies|Storage|Prime Storage 232|Standard Class|4|4053.03|0.05|15401.51|8650.42|6751.09|Paid|Completed</v>
      </c>
      <c r="Y331">
        <f>COUNTIF($X$2:$X$1000, X331)</f>
        <v>1</v>
      </c>
      <c r="Z331">
        <f>COUNTIF($A$2:$A$1000, A331)</f>
        <v>1</v>
      </c>
      <c r="AA331" t="str">
        <f>IF(Y331&gt;1, "Exact Duplicate",
  IF(Z331&gt;1, "Conflicting Duplicate - Review",
    "Unique"))</f>
        <v>Unique</v>
      </c>
      <c r="AB331" s="2">
        <f>IF(ISBLANK(R331), 0, IF(ISTEXT(R331), VALUE(SUBSTITUTE(R331, "%", ""))/100, IF(OR(R331&lt;0, R331&gt;1), "Invalid", R331)))</f>
        <v>0.05</v>
      </c>
      <c r="AC331" s="4">
        <f>IF(AB331="Invalid", "Error", P331 * Q331 * (1 - AB331))</f>
        <v>15401.513999999999</v>
      </c>
      <c r="AD331" s="4">
        <f>IF(AC331="Error", "Error", AC331 - T331)</f>
        <v>6751.0939999999991</v>
      </c>
      <c r="AE331" s="2">
        <f>IF(AC331="Error", "Error", IF(AC331=0, 0, AD331 / AC331))</f>
        <v>0.43833963336331738</v>
      </c>
      <c r="AF331" s="7">
        <f>C331-B331</f>
        <v>6</v>
      </c>
      <c r="AG331" s="2" t="str">
        <f>TEXT(B331, "mmmm")</f>
        <v>May</v>
      </c>
      <c r="AH331" s="4">
        <f>YEAR(B331)</f>
        <v>2025</v>
      </c>
      <c r="AI331" s="2" t="str">
        <f t="shared" si="19"/>
        <v>Clean</v>
      </c>
      <c r="AJ331">
        <f>COUNTIFS($A$2:$A$1000,A331,$B$2:$B$1000,B331,$C$2:$C$1000,C331,$D$2:$D$1000,D331,$E$2:$E$1000,E331,$F$2:$F$1000,F331)</f>
        <v>1</v>
      </c>
      <c r="AK331">
        <f>COUNTIF($A$2:$A$1000, A331)</f>
        <v>1</v>
      </c>
    </row>
    <row r="332" spans="1:37">
      <c r="A332" t="s">
        <v>1094</v>
      </c>
      <c r="B332" s="5">
        <v>45428</v>
      </c>
      <c r="C332" s="5">
        <v>45436</v>
      </c>
      <c r="D332" s="6">
        <f>IF(AND(C332&lt;&gt;"",B332&lt;&gt;""), C332-B332, "Missing Date")</f>
        <v>8</v>
      </c>
      <c r="E332" s="6" t="str">
        <f>IF(OR(B332="",C332=""), "Missing Date",
    IF(C332&lt;B332, "Invalid: Ship before Order",
      "OK"))</f>
        <v>OK</v>
      </c>
      <c r="F332" t="s">
        <v>1095</v>
      </c>
      <c r="G332" t="s">
        <v>53</v>
      </c>
      <c r="H332" t="s">
        <v>95</v>
      </c>
      <c r="I332" t="s">
        <v>25</v>
      </c>
      <c r="J332" t="s">
        <v>122</v>
      </c>
      <c r="K332" t="s">
        <v>123</v>
      </c>
      <c r="L332" t="s">
        <v>74</v>
      </c>
      <c r="M332" t="s">
        <v>75</v>
      </c>
      <c r="N332" t="s">
        <v>1096</v>
      </c>
      <c r="O332" t="s">
        <v>44</v>
      </c>
      <c r="P332">
        <v>1</v>
      </c>
      <c r="Q332">
        <v>783.09</v>
      </c>
      <c r="R332">
        <v>0</v>
      </c>
      <c r="S332">
        <v>783.09</v>
      </c>
      <c r="T332">
        <v>503.89</v>
      </c>
      <c r="U332">
        <v>279.2</v>
      </c>
      <c r="V332" t="s">
        <v>155</v>
      </c>
      <c r="W332" t="s">
        <v>68</v>
      </c>
      <c r="X332" t="str">
        <f>_xlfn.TEXTJOIN("|", TRUE, A332:W332)</f>
        <v>ORD-2024-10331|45428|45436|8|OK|CUST-1116|Arjun Bose|Home Office|North|Punjab|Ludhiana|Technology|Accessories|Prime Accessories 335|Same Day|1|783.09|0|783.09|503.89|279.2|Failed|Cancelled</v>
      </c>
      <c r="Y332">
        <f>COUNTIF($X$2:$X$1000, X332)</f>
        <v>1</v>
      </c>
      <c r="Z332">
        <f>COUNTIF($A$2:$A$1000, A332)</f>
        <v>1</v>
      </c>
      <c r="AA332" t="str">
        <f>IF(Y332&gt;1, "Exact Duplicate",
  IF(Z332&gt;1, "Conflicting Duplicate - Review",
    "Unique"))</f>
        <v>Unique</v>
      </c>
      <c r="AB332" s="2">
        <f>IF(ISBLANK(R332), 0, IF(ISTEXT(R332), VALUE(SUBSTITUTE(R332, "%", ""))/100, IF(OR(R332&lt;0, R332&gt;1), "Invalid", R332)))</f>
        <v>0</v>
      </c>
      <c r="AC332" s="4">
        <f>IF(AB332="Invalid", "Error", P332 * Q332 * (1 - AB332))</f>
        <v>783.09</v>
      </c>
      <c r="AD332" s="4">
        <f>IF(AC332="Error", "Error", AC332 - T332)</f>
        <v>279.20000000000005</v>
      </c>
      <c r="AE332" s="2">
        <f>IF(AC332="Error", "Error", IF(AC332=0, 0, AD332 / AC332))</f>
        <v>0.3565362857398256</v>
      </c>
      <c r="AF332" s="7">
        <f>C332-B332</f>
        <v>8</v>
      </c>
      <c r="AG332" s="2" t="str">
        <f>TEXT(B332, "mmmm")</f>
        <v>May</v>
      </c>
      <c r="AH332" s="4">
        <f>YEAR(B332)</f>
        <v>2024</v>
      </c>
      <c r="AI332" s="2" t="str">
        <f t="shared" si="19"/>
        <v>Excluded from Sales</v>
      </c>
      <c r="AJ332">
        <f>COUNTIFS($A$2:$A$1000,A332,$B$2:$B$1000,B332,$C$2:$C$1000,C332,$D$2:$D$1000,D332,$E$2:$E$1000,E332,$F$2:$F$1000,F332)</f>
        <v>1</v>
      </c>
      <c r="AK332">
        <f>COUNTIF($A$2:$A$1000, A332)</f>
        <v>1</v>
      </c>
    </row>
    <row r="333" spans="1:37">
      <c r="A333" t="s">
        <v>1097</v>
      </c>
      <c r="B333" s="5">
        <v>45630</v>
      </c>
      <c r="C333" s="5">
        <v>45632</v>
      </c>
      <c r="D333" s="6">
        <f>IF(AND(C333&lt;&gt;"",B333&lt;&gt;""), C333-B333, "Missing Date")</f>
        <v>2</v>
      </c>
      <c r="E333" s="6" t="str">
        <f>IF(OR(B333="",C333=""), "Missing Date",
    IF(C333&lt;B333, "Invalid: Ship before Order",
      "OK"))</f>
        <v>OK</v>
      </c>
      <c r="F333" t="s">
        <v>1098</v>
      </c>
      <c r="G333" t="s">
        <v>132</v>
      </c>
      <c r="H333" t="s">
        <v>95</v>
      </c>
      <c r="I333" t="s">
        <v>38</v>
      </c>
      <c r="J333" t="s">
        <v>39</v>
      </c>
      <c r="K333" t="s">
        <v>40</v>
      </c>
      <c r="L333" t="s">
        <v>28</v>
      </c>
      <c r="M333" t="s">
        <v>153</v>
      </c>
      <c r="N333" t="s">
        <v>1099</v>
      </c>
      <c r="O333" t="s">
        <v>31</v>
      </c>
      <c r="P333">
        <v>4</v>
      </c>
      <c r="Q333">
        <v>2685.66</v>
      </c>
      <c r="R333">
        <v>0</v>
      </c>
      <c r="S333">
        <v>10742.64</v>
      </c>
      <c r="T333">
        <v>6477.37</v>
      </c>
      <c r="U333">
        <v>4265.2700000000004</v>
      </c>
      <c r="V333" t="s">
        <v>32</v>
      </c>
      <c r="W333" t="s">
        <v>103</v>
      </c>
      <c r="X333" t="str">
        <f>_xlfn.TEXTJOIN("|", TRUE, A333:W333)</f>
        <v>ORD-2024-10332|45630|45632|2|OK|CUST-9346|Sneha Kapoor|Home Office|East|Odisha|Bhubaneswar|Office Supplies|Binders|Smart Binders 939|Second Class|4|2685.66|0|10742.64|6477.37|4265.27|Paid|Returned</v>
      </c>
      <c r="Y333">
        <f>COUNTIF($X$2:$X$1000, X333)</f>
        <v>1</v>
      </c>
      <c r="Z333">
        <f>COUNTIF($A$2:$A$1000, A333)</f>
        <v>2</v>
      </c>
      <c r="AA333" t="str">
        <f>IF(Y333&gt;1, "Exact Duplicate",
  IF(Z333&gt;1, "Conflicting Duplicate - Review",
    "Unique"))</f>
        <v>Conflicting Duplicate - Review</v>
      </c>
      <c r="AB333" s="2">
        <f>IF(ISBLANK(R333), 0, IF(ISTEXT(R333), VALUE(SUBSTITUTE(R333, "%", ""))/100, IF(OR(R333&lt;0, R333&gt;1), "Invalid", R333)))</f>
        <v>0</v>
      </c>
      <c r="AC333" s="4">
        <f>IF(AB333="Invalid", "Error", P333 * Q333 * (1 - AB333))</f>
        <v>10742.64</v>
      </c>
      <c r="AD333" s="4">
        <f>IF(AC333="Error", "Error", AC333 - T333)</f>
        <v>4265.2699999999995</v>
      </c>
      <c r="AE333" s="2">
        <f>IF(AC333="Error", "Error", IF(AC333=0, 0, AD333 / AC333))</f>
        <v>0.39704113700170535</v>
      </c>
      <c r="AF333" s="7">
        <f>C333-B333</f>
        <v>2</v>
      </c>
      <c r="AG333" s="2" t="str">
        <f>TEXT(B333, "mmmm")</f>
        <v>December</v>
      </c>
      <c r="AH333" s="4">
        <f>YEAR(B333)</f>
        <v>2024</v>
      </c>
      <c r="AI333" s="2" t="str">
        <f t="shared" si="19"/>
        <v>Clean</v>
      </c>
      <c r="AJ333">
        <f>COUNTIFS($A$2:$A$1000,A333,$B$2:$B$1000,B333,$C$2:$C$1000,C333,$D$2:$D$1000,D333,$E$2:$E$1000,E333,$F$2:$F$1000,F333)</f>
        <v>2</v>
      </c>
      <c r="AK333">
        <f>COUNTIF($A$2:$A$1000, A333)</f>
        <v>2</v>
      </c>
    </row>
    <row r="334" spans="1:37">
      <c r="A334" t="s">
        <v>1100</v>
      </c>
      <c r="B334" s="5">
        <v>45804</v>
      </c>
      <c r="C334" s="5">
        <v>45805</v>
      </c>
      <c r="D334" s="6">
        <f>IF(AND(C334&lt;&gt;"",B334&lt;&gt;""), C334-B334, "Missing Date")</f>
        <v>1</v>
      </c>
      <c r="E334" s="6" t="str">
        <f>IF(OR(B334="",C334=""), "Missing Date",
    IF(C334&lt;B334, "Invalid: Ship before Order",
      "OK"))</f>
        <v>OK</v>
      </c>
      <c r="F334" t="s">
        <v>1101</v>
      </c>
      <c r="G334" t="s">
        <v>128</v>
      </c>
      <c r="H334" t="s">
        <v>24</v>
      </c>
      <c r="I334" t="s">
        <v>54</v>
      </c>
      <c r="J334" t="s">
        <v>84</v>
      </c>
      <c r="K334" t="s">
        <v>85</v>
      </c>
      <c r="L334" t="s">
        <v>74</v>
      </c>
      <c r="M334" t="s">
        <v>274</v>
      </c>
      <c r="N334" t="s">
        <v>1102</v>
      </c>
      <c r="O334" t="s">
        <v>31</v>
      </c>
      <c r="P334">
        <v>2</v>
      </c>
      <c r="Q334">
        <v>3911.96</v>
      </c>
      <c r="R334">
        <v>0</v>
      </c>
      <c r="S334">
        <v>7823.92</v>
      </c>
      <c r="T334">
        <v>6034.63</v>
      </c>
      <c r="U334">
        <v>1789.29</v>
      </c>
      <c r="V334" t="s">
        <v>32</v>
      </c>
      <c r="W334" t="s">
        <v>33</v>
      </c>
      <c r="X334" t="str">
        <f>_xlfn.TEXTJOIN("|", TRUE, A334:W334)</f>
        <v>ORD-2025-10333|45804|45805|1|OK|CUST-5332|Aarav Sharma|Consumer|South|Andhra Pradesh|Vijayawada|Technology|Machines|Basic Machines 601|Second Class|2|3911.96|0|7823.92|6034.63|1789.29|Paid|Completed</v>
      </c>
      <c r="Y334">
        <f>COUNTIF($X$2:$X$1000, X334)</f>
        <v>1</v>
      </c>
      <c r="Z334">
        <f>COUNTIF($A$2:$A$1000, A334)</f>
        <v>1</v>
      </c>
      <c r="AA334" t="str">
        <f>IF(Y334&gt;1, "Exact Duplicate",
  IF(Z334&gt;1, "Conflicting Duplicate - Review",
    "Unique"))</f>
        <v>Unique</v>
      </c>
      <c r="AB334" s="2">
        <f>IF(ISBLANK(R334), 0, IF(ISTEXT(R334), VALUE(SUBSTITUTE(R334, "%", ""))/100, IF(OR(R334&lt;0, R334&gt;1), "Invalid", R334)))</f>
        <v>0</v>
      </c>
      <c r="AC334" s="4">
        <f>IF(AB334="Invalid", "Error", P334 * Q334 * (1 - AB334))</f>
        <v>7823.92</v>
      </c>
      <c r="AD334" s="4">
        <f>IF(AC334="Error", "Error", AC334 - T334)</f>
        <v>1789.29</v>
      </c>
      <c r="AE334" s="2">
        <f>IF(AC334="Error", "Error", IF(AC334=0, 0, AD334 / AC334))</f>
        <v>0.22869482305545047</v>
      </c>
      <c r="AF334" s="7">
        <f>C334-B334</f>
        <v>1</v>
      </c>
      <c r="AG334" s="2" t="str">
        <f>TEXT(B334, "mmmm")</f>
        <v>May</v>
      </c>
      <c r="AH334" s="4">
        <f>YEAR(B334)</f>
        <v>2025</v>
      </c>
      <c r="AI334" s="2" t="str">
        <f t="shared" si="19"/>
        <v>Clean</v>
      </c>
      <c r="AJ334">
        <f>COUNTIFS($A$2:$A$1000,A334,$B$2:$B$1000,B334,$C$2:$C$1000,C334,$D$2:$D$1000,D334,$E$2:$E$1000,E334,$F$2:$F$1000,F334)</f>
        <v>1</v>
      </c>
      <c r="AK334">
        <f>COUNTIF($A$2:$A$1000, A334)</f>
        <v>1</v>
      </c>
    </row>
    <row r="335" spans="1:37">
      <c r="A335" t="s">
        <v>1103</v>
      </c>
      <c r="B335" s="5">
        <v>45830</v>
      </c>
      <c r="C335" s="5">
        <v>45835</v>
      </c>
      <c r="D335" s="6">
        <f>IF(AND(C335&lt;&gt;"",B335&lt;&gt;""), C335-B335, "Missing Date")</f>
        <v>5</v>
      </c>
      <c r="E335" s="6" t="str">
        <f>IF(OR(B335="",C335=""), "Missing Date",
    IF(C335&lt;B335, "Invalid: Ship before Order",
      "OK"))</f>
        <v>OK</v>
      </c>
      <c r="F335" t="s">
        <v>1104</v>
      </c>
      <c r="G335" t="s">
        <v>141</v>
      </c>
      <c r="H335" t="s">
        <v>95</v>
      </c>
      <c r="I335" t="s">
        <v>2762</v>
      </c>
      <c r="J335" t="s">
        <v>350</v>
      </c>
      <c r="K335" t="s">
        <v>351</v>
      </c>
      <c r="L335" t="s">
        <v>74</v>
      </c>
      <c r="M335" t="s">
        <v>171</v>
      </c>
      <c r="N335" t="s">
        <v>1105</v>
      </c>
      <c r="O335" t="s">
        <v>50</v>
      </c>
      <c r="P335">
        <v>2</v>
      </c>
      <c r="Q335">
        <v>1468.05</v>
      </c>
      <c r="R335">
        <v>0</v>
      </c>
      <c r="S335">
        <v>2936.1</v>
      </c>
      <c r="T335">
        <v>1923.1</v>
      </c>
      <c r="U335">
        <v>1013</v>
      </c>
      <c r="V335" t="s">
        <v>32</v>
      </c>
      <c r="W335" t="s">
        <v>33</v>
      </c>
      <c r="X335" t="str">
        <f>_xlfn.TEXTJOIN("|", TRUE, A335:W335)</f>
        <v>ORD-2025-10334|45830|45835|5|OK|CUST-8081|Rohan Mehta|Home Office|Unknown|Delhi|New Delhi|Technology|Phones|Pro Phones 968|First Class|2|1468.05|0|2936.1|1923.1|1013|Paid|Completed</v>
      </c>
      <c r="Y335">
        <f>COUNTIF($X$2:$X$1000, X335)</f>
        <v>1</v>
      </c>
      <c r="Z335">
        <f>COUNTIF($A$2:$A$1000, A335)</f>
        <v>1</v>
      </c>
      <c r="AA335" t="str">
        <f>IF(Y335&gt;1, "Exact Duplicate",
  IF(Z335&gt;1, "Conflicting Duplicate - Review",
    "Unique"))</f>
        <v>Unique</v>
      </c>
      <c r="AB335" s="2">
        <f>IF(ISBLANK(R335), 0, IF(ISTEXT(R335), VALUE(SUBSTITUTE(R335, "%", ""))/100, IF(OR(R335&lt;0, R335&gt;1), "Invalid", R335)))</f>
        <v>0</v>
      </c>
      <c r="AC335" s="4">
        <f>IF(AB335="Invalid", "Error", P335 * Q335 * (1 - AB335))</f>
        <v>2936.1</v>
      </c>
      <c r="AD335" s="4">
        <f>IF(AC335="Error", "Error", AC335 - T335)</f>
        <v>1013</v>
      </c>
      <c r="AE335" s="2">
        <f>IF(AC335="Error", "Error", IF(AC335=0, 0, AD335 / AC335))</f>
        <v>0.34501549674738602</v>
      </c>
      <c r="AF335" s="7">
        <f>C335-B335</f>
        <v>5</v>
      </c>
      <c r="AG335" s="2" t="str">
        <f>TEXT(B335, "mmmm")</f>
        <v>June</v>
      </c>
      <c r="AH335" s="4">
        <f>YEAR(B335)</f>
        <v>2025</v>
      </c>
      <c r="AI335" s="2" t="str">
        <f t="shared" si="19"/>
        <v>Warning: Missing Region</v>
      </c>
      <c r="AJ335">
        <f>COUNTIFS($A$2:$A$1000,A335,$B$2:$B$1000,B335,$C$2:$C$1000,C335,$D$2:$D$1000,D335,$E$2:$E$1000,E335,$F$2:$F$1000,F335)</f>
        <v>1</v>
      </c>
      <c r="AK335">
        <f>COUNTIF($A$2:$A$1000, A335)</f>
        <v>1</v>
      </c>
    </row>
    <row r="336" spans="1:37">
      <c r="A336" t="s">
        <v>1106</v>
      </c>
      <c r="B336" s="5">
        <v>45547</v>
      </c>
      <c r="C336" s="5">
        <v>45552</v>
      </c>
      <c r="D336" s="6">
        <f>IF(AND(C336&lt;&gt;"",B336&lt;&gt;""), C336-B336, "Missing Date")</f>
        <v>5</v>
      </c>
      <c r="E336" s="6" t="str">
        <f>IF(OR(B336="",C336=""), "Missing Date",
    IF(C336&lt;B336, "Invalid: Ship before Order",
      "OK"))</f>
        <v>OK</v>
      </c>
      <c r="F336" t="s">
        <v>1107</v>
      </c>
      <c r="G336" t="s">
        <v>62</v>
      </c>
      <c r="H336" t="s">
        <v>24</v>
      </c>
      <c r="I336" t="s">
        <v>38</v>
      </c>
      <c r="J336" t="s">
        <v>228</v>
      </c>
      <c r="K336" t="s">
        <v>229</v>
      </c>
      <c r="L336" t="s">
        <v>28</v>
      </c>
      <c r="M336" t="s">
        <v>124</v>
      </c>
      <c r="N336" t="s">
        <v>1108</v>
      </c>
      <c r="O336" t="s">
        <v>50</v>
      </c>
      <c r="P336">
        <v>9</v>
      </c>
      <c r="Q336">
        <v>1921.47</v>
      </c>
      <c r="R336">
        <v>0.25</v>
      </c>
      <c r="S336">
        <v>12969.92</v>
      </c>
      <c r="T336">
        <v>9398.4599999999991</v>
      </c>
      <c r="U336">
        <v>3571.46</v>
      </c>
      <c r="V336" t="s">
        <v>32</v>
      </c>
      <c r="W336" t="s">
        <v>33</v>
      </c>
      <c r="X336" t="str">
        <f>_xlfn.TEXTJOIN("|", TRUE, A336:W336)</f>
        <v>ORD-2024-10335|45547|45552|5|OK|CUST-3062|Ananya Rao|Consumer|East|Jharkhand|Ranchi|Office Supplies|Storage|Pro Storage 563|First Class|9|1921.47|0.25|12969.92|9398.46|3571.46|Paid|Completed</v>
      </c>
      <c r="Y336">
        <f>COUNTIF($X$2:$X$1000, X336)</f>
        <v>1</v>
      </c>
      <c r="Z336">
        <f>COUNTIF($A$2:$A$1000, A336)</f>
        <v>1</v>
      </c>
      <c r="AA336" t="str">
        <f>IF(Y336&gt;1, "Exact Duplicate",
  IF(Z336&gt;1, "Conflicting Duplicate - Review",
    "Unique"))</f>
        <v>Unique</v>
      </c>
      <c r="AB336" s="2">
        <f>IF(ISBLANK(R336), 0, IF(ISTEXT(R336), VALUE(SUBSTITUTE(R336, "%", ""))/100, IF(OR(R336&lt;0, R336&gt;1), "Invalid", R336)))</f>
        <v>0.25</v>
      </c>
      <c r="AC336" s="4">
        <f>IF(AB336="Invalid", "Error", P336 * Q336 * (1 - AB336))</f>
        <v>12969.922500000001</v>
      </c>
      <c r="AD336" s="4">
        <f>IF(AC336="Error", "Error", AC336 - T336)</f>
        <v>3571.4625000000015</v>
      </c>
      <c r="AE336" s="2">
        <f>IF(AC336="Error", "Error", IF(AC336=0, 0, AD336 / AC336))</f>
        <v>0.27536498386941027</v>
      </c>
      <c r="AF336" s="7">
        <f>C336-B336</f>
        <v>5</v>
      </c>
      <c r="AG336" s="2" t="str">
        <f>TEXT(B336, "mmmm")</f>
        <v>September</v>
      </c>
      <c r="AH336" s="4">
        <f>YEAR(B336)</f>
        <v>2024</v>
      </c>
      <c r="AI336" s="2" t="str">
        <f t="shared" si="19"/>
        <v>Clean</v>
      </c>
      <c r="AJ336">
        <f>COUNTIFS($A$2:$A$1000,A336,$B$2:$B$1000,B336,$C$2:$C$1000,C336,$D$2:$D$1000,D336,$E$2:$E$1000,E336,$F$2:$F$1000,F336)</f>
        <v>1</v>
      </c>
      <c r="AK336">
        <f>COUNTIF($A$2:$A$1000, A336)</f>
        <v>1</v>
      </c>
    </row>
    <row r="337" spans="1:37">
      <c r="A337" t="s">
        <v>1109</v>
      </c>
      <c r="B337" s="5">
        <v>45824</v>
      </c>
      <c r="C337" s="5">
        <v>45826</v>
      </c>
      <c r="D337" s="6">
        <f>IF(AND(C337&lt;&gt;"",B337&lt;&gt;""), C337-B337, "Missing Date")</f>
        <v>2</v>
      </c>
      <c r="E337" s="6" t="str">
        <f>IF(OR(B337="",C337=""), "Missing Date",
    IF(C337&lt;B337, "Invalid: Ship before Order",
      "OK"))</f>
        <v>OK</v>
      </c>
      <c r="F337" t="s">
        <v>1110</v>
      </c>
      <c r="G337" t="s">
        <v>118</v>
      </c>
      <c r="H337" t="s">
        <v>95</v>
      </c>
      <c r="I337" t="s">
        <v>63</v>
      </c>
      <c r="J337" t="s">
        <v>72</v>
      </c>
      <c r="K337" t="s">
        <v>73</v>
      </c>
      <c r="L337" t="s">
        <v>28</v>
      </c>
      <c r="M337" t="s">
        <v>29</v>
      </c>
      <c r="N337" t="s">
        <v>1111</v>
      </c>
      <c r="O337" t="s">
        <v>50</v>
      </c>
      <c r="P337">
        <v>3</v>
      </c>
      <c r="Q337">
        <v>4289.37</v>
      </c>
      <c r="R337">
        <v>0.1</v>
      </c>
      <c r="S337">
        <v>11581.3</v>
      </c>
      <c r="T337">
        <v>6829.43</v>
      </c>
      <c r="U337">
        <v>4751.87</v>
      </c>
      <c r="V337" t="s">
        <v>32</v>
      </c>
      <c r="W337" t="s">
        <v>33</v>
      </c>
      <c r="X337" t="str">
        <f>_xlfn.TEXTJOIN("|", TRUE, A337:W337)</f>
        <v>ORD-2025-10336|45824|45826|2|OK|CUST-3621|Rahul Verma|Home Office|West|Madhya Pradesh|Indore|Office Supplies|Paper|Prime Paper 559|First Class|3|4289.37|0.1|11581.3|6829.43|4751.87|Paid|Completed</v>
      </c>
      <c r="Y337">
        <f>COUNTIF($X$2:$X$1000, X337)</f>
        <v>1</v>
      </c>
      <c r="Z337">
        <f>COUNTIF($A$2:$A$1000, A337)</f>
        <v>2</v>
      </c>
      <c r="AA337" t="str">
        <f>IF(Y337&gt;1, "Exact Duplicate",
  IF(Z337&gt;1, "Conflicting Duplicate - Review",
    "Unique"))</f>
        <v>Conflicting Duplicate - Review</v>
      </c>
      <c r="AB337" s="2">
        <f>IF(ISBLANK(R337), 0, IF(ISTEXT(R337), VALUE(SUBSTITUTE(R337, "%", ""))/100, IF(OR(R337&lt;0, R337&gt;1), "Invalid", R337)))</f>
        <v>0.1</v>
      </c>
      <c r="AC337" s="4">
        <f>IF(AB337="Invalid", "Error", P337 * Q337 * (1 - AB337))</f>
        <v>11581.299000000001</v>
      </c>
      <c r="AD337" s="4">
        <f>IF(AC337="Error", "Error", AC337 - T337)</f>
        <v>4751.8690000000006</v>
      </c>
      <c r="AE337" s="2">
        <f>IF(AC337="Error", "Error", IF(AC337=0, 0, AD337 / AC337))</f>
        <v>0.41030535521101735</v>
      </c>
      <c r="AF337" s="7">
        <f>C337-B337</f>
        <v>2</v>
      </c>
      <c r="AG337" s="2" t="str">
        <f>TEXT(B337, "mmmm")</f>
        <v>June</v>
      </c>
      <c r="AH337" s="4">
        <f>YEAR(B337)</f>
        <v>2025</v>
      </c>
      <c r="AI337" s="2" t="str">
        <f t="shared" si="19"/>
        <v>Clean</v>
      </c>
      <c r="AJ337">
        <f>COUNTIFS($A$2:$A$1000,A337,$B$2:$B$1000,B337,$C$2:$C$1000,C337,$D$2:$D$1000,D337,$E$2:$E$1000,E337,$F$2:$F$1000,F337)</f>
        <v>2</v>
      </c>
      <c r="AK337">
        <f>COUNTIF($A$2:$A$1000, A337)</f>
        <v>2</v>
      </c>
    </row>
    <row r="338" spans="1:37">
      <c r="A338" t="s">
        <v>1112</v>
      </c>
      <c r="B338" s="5">
        <v>45368</v>
      </c>
      <c r="C338" s="5">
        <v>45372</v>
      </c>
      <c r="D338" s="6">
        <f>IF(AND(C338&lt;&gt;"",B338&lt;&gt;""), C338-B338, "Missing Date")</f>
        <v>4</v>
      </c>
      <c r="E338" s="6" t="str">
        <f>IF(OR(B338="",C338=""), "Missing Date",
    IF(C338&lt;B338, "Invalid: Ship before Order",
      "OK"))</f>
        <v>OK</v>
      </c>
      <c r="F338" t="s">
        <v>864</v>
      </c>
      <c r="G338" t="s">
        <v>128</v>
      </c>
      <c r="H338" t="s">
        <v>24</v>
      </c>
      <c r="I338" t="s">
        <v>25</v>
      </c>
      <c r="J338" t="s">
        <v>26</v>
      </c>
      <c r="K338" t="s">
        <v>27</v>
      </c>
      <c r="L338" t="s">
        <v>74</v>
      </c>
      <c r="M338" t="s">
        <v>80</v>
      </c>
      <c r="N338" t="s">
        <v>1113</v>
      </c>
      <c r="O338" t="s">
        <v>50</v>
      </c>
      <c r="P338">
        <v>8</v>
      </c>
      <c r="Q338">
        <v>1992.57</v>
      </c>
      <c r="R338">
        <v>0</v>
      </c>
      <c r="S338">
        <v>15940.56</v>
      </c>
      <c r="T338">
        <v>12347.15</v>
      </c>
      <c r="U338">
        <v>3593.41</v>
      </c>
      <c r="V338" t="s">
        <v>32</v>
      </c>
      <c r="W338" t="s">
        <v>33</v>
      </c>
      <c r="X338" t="str">
        <f>_xlfn.TEXTJOIN("|", TRUE, A338:W338)</f>
        <v>ORD-2024-10337|45368|45372|4|OK|CUST-2103|Aarav Sharma|Consumer|North|Rajasthan|Jaipur|Technology|Copiers|Pro Copiers 999|First Class|8|1992.57|0|15940.56|12347.15|3593.41|Paid|Completed</v>
      </c>
      <c r="Y338">
        <f>COUNTIF($X$2:$X$1000, X338)</f>
        <v>1</v>
      </c>
      <c r="Z338">
        <f>COUNTIF($A$2:$A$1000, A338)</f>
        <v>1</v>
      </c>
      <c r="AA338" t="str">
        <f>IF(Y338&gt;1, "Exact Duplicate",
  IF(Z338&gt;1, "Conflicting Duplicate - Review",
    "Unique"))</f>
        <v>Unique</v>
      </c>
      <c r="AB338" s="2">
        <f>IF(ISBLANK(R338), 0, IF(ISTEXT(R338), VALUE(SUBSTITUTE(R338, "%", ""))/100, IF(OR(R338&lt;0, R338&gt;1), "Invalid", R338)))</f>
        <v>0</v>
      </c>
      <c r="AC338" s="4">
        <f>IF(AB338="Invalid", "Error", P338 * Q338 * (1 - AB338))</f>
        <v>15940.56</v>
      </c>
      <c r="AD338" s="4">
        <f>IF(AC338="Error", "Error", AC338 - T338)</f>
        <v>3593.41</v>
      </c>
      <c r="AE338" s="2">
        <f>IF(AC338="Error", "Error", IF(AC338=0, 0, AD338 / AC338))</f>
        <v>0.2254255810335396</v>
      </c>
      <c r="AF338" s="7">
        <f>C338-B338</f>
        <v>4</v>
      </c>
      <c r="AG338" s="2" t="str">
        <f>TEXT(B338, "mmmm")</f>
        <v>March</v>
      </c>
      <c r="AH338" s="4">
        <f>YEAR(B338)</f>
        <v>2024</v>
      </c>
      <c r="AI338" s="2" t="str">
        <f t="shared" si="19"/>
        <v>Clean</v>
      </c>
      <c r="AJ338">
        <f>COUNTIFS($A$2:$A$1000,A338,$B$2:$B$1000,B338,$C$2:$C$1000,C338,$D$2:$D$1000,D338,$E$2:$E$1000,E338,$F$2:$F$1000,F338)</f>
        <v>1</v>
      </c>
      <c r="AK338">
        <f>COUNTIF($A$2:$A$1000, A338)</f>
        <v>1</v>
      </c>
    </row>
    <row r="339" spans="1:37">
      <c r="A339" t="s">
        <v>1114</v>
      </c>
      <c r="B339" s="5">
        <v>45516</v>
      </c>
      <c r="C339" s="5">
        <v>45522</v>
      </c>
      <c r="D339" s="6">
        <f>IF(AND(C339&lt;&gt;"",B339&lt;&gt;""), C339-B339, "Missing Date")</f>
        <v>6</v>
      </c>
      <c r="E339" s="6" t="str">
        <f>IF(OR(B339="",C339=""), "Missing Date",
    IF(C339&lt;B339, "Invalid: Ship before Order",
      "OK"))</f>
        <v>OK</v>
      </c>
      <c r="F339" t="s">
        <v>1115</v>
      </c>
      <c r="G339" t="s">
        <v>62</v>
      </c>
      <c r="H339" t="s">
        <v>24</v>
      </c>
      <c r="I339" t="s">
        <v>38</v>
      </c>
      <c r="J339" t="s">
        <v>166</v>
      </c>
      <c r="K339" t="s">
        <v>167</v>
      </c>
      <c r="L339" t="s">
        <v>28</v>
      </c>
      <c r="M339" t="s">
        <v>91</v>
      </c>
      <c r="N339" t="s">
        <v>1116</v>
      </c>
      <c r="O339" t="s">
        <v>44</v>
      </c>
      <c r="P339">
        <v>6</v>
      </c>
      <c r="Q339">
        <v>1181.74</v>
      </c>
      <c r="R339">
        <v>0</v>
      </c>
      <c r="S339">
        <v>7090.44</v>
      </c>
      <c r="T339">
        <v>5672.27</v>
      </c>
      <c r="U339">
        <v>1262.8699999999999</v>
      </c>
      <c r="V339" t="s">
        <v>32</v>
      </c>
      <c r="W339" t="s">
        <v>33</v>
      </c>
      <c r="X339" t="str">
        <f>_xlfn.TEXTJOIN("|", TRUE, A339:W339)</f>
        <v>ORD-2024-10338|45516|45522|6|OK|CUST-4599|Ananya Rao|Consumer|East|Assam|Guwahati|Office Supplies|Labels|Classic Labels 206|Same Day|6|1181.74|0|7090.44|5672.27|1262.87|Paid|Completed</v>
      </c>
      <c r="Y339">
        <f>COUNTIF($X$2:$X$1000, X339)</f>
        <v>1</v>
      </c>
      <c r="Z339">
        <f>COUNTIF($A$2:$A$1000, A339)</f>
        <v>1</v>
      </c>
      <c r="AA339" t="str">
        <f>IF(Y339&gt;1, "Exact Duplicate",
  IF(Z339&gt;1, "Conflicting Duplicate - Review",
    "Unique"))</f>
        <v>Unique</v>
      </c>
      <c r="AB339" s="2">
        <f>IF(ISBLANK(R339), 0, IF(ISTEXT(R339), VALUE(SUBSTITUTE(R339, "%", ""))/100, IF(OR(R339&lt;0, R339&gt;1), "Invalid", R339)))</f>
        <v>0</v>
      </c>
      <c r="AC339" s="4">
        <f>IF(AB339="Invalid", "Error", P339 * Q339 * (1 - AB339))</f>
        <v>7090.4400000000005</v>
      </c>
      <c r="AD339" s="4">
        <f>IF(AC339="Error", "Error", AC339 - T339)</f>
        <v>1418.17</v>
      </c>
      <c r="AE339" s="2">
        <f>IF(AC339="Error", "Error", IF(AC339=0, 0, AD339 / AC339))</f>
        <v>0.20001156486762456</v>
      </c>
      <c r="AF339" s="7">
        <f>C339-B339</f>
        <v>6</v>
      </c>
      <c r="AG339" s="2" t="str">
        <f>TEXT(B339, "mmmm")</f>
        <v>August</v>
      </c>
      <c r="AH339" s="4">
        <f>YEAR(B339)</f>
        <v>2024</v>
      </c>
      <c r="AI339" s="2" t="str">
        <f t="shared" si="19"/>
        <v>Clean</v>
      </c>
      <c r="AJ339">
        <f>COUNTIFS($A$2:$A$1000,A339,$B$2:$B$1000,B339,$C$2:$C$1000,C339,$D$2:$D$1000,D339,$E$2:$E$1000,E339,$F$2:$F$1000,F339)</f>
        <v>1</v>
      </c>
      <c r="AK339">
        <f>COUNTIF($A$2:$A$1000, A339)</f>
        <v>1</v>
      </c>
    </row>
    <row r="340" spans="1:37">
      <c r="A340" t="s">
        <v>1117</v>
      </c>
      <c r="B340" s="5">
        <v>45634</v>
      </c>
      <c r="C340" s="5">
        <v>45516</v>
      </c>
      <c r="D340" s="6">
        <f>IF(AND(C340&lt;&gt;"",B340&lt;&gt;""), C340-B340, "Missing Date")</f>
        <v>-118</v>
      </c>
      <c r="E340" s="6" t="str">
        <f>IF(OR(B340="",C340=""), "Missing Date",
    IF(C340&lt;B340, "Invalid: Ship before Order",
      "OK"))</f>
        <v>Invalid: Ship before Order</v>
      </c>
      <c r="F340" t="s">
        <v>1118</v>
      </c>
      <c r="G340" t="s">
        <v>53</v>
      </c>
      <c r="H340" t="s">
        <v>37</v>
      </c>
      <c r="I340" t="s">
        <v>54</v>
      </c>
      <c r="J340" t="s">
        <v>84</v>
      </c>
      <c r="K340" t="s">
        <v>85</v>
      </c>
      <c r="L340" t="s">
        <v>74</v>
      </c>
      <c r="M340" t="s">
        <v>75</v>
      </c>
      <c r="N340" t="s">
        <v>1119</v>
      </c>
      <c r="O340" t="s">
        <v>50</v>
      </c>
      <c r="P340">
        <v>8</v>
      </c>
      <c r="Q340">
        <v>4402.3599999999997</v>
      </c>
      <c r="R340">
        <v>0.25</v>
      </c>
      <c r="S340">
        <v>26414.16</v>
      </c>
      <c r="T340">
        <v>21822.53</v>
      </c>
      <c r="U340">
        <v>4591.63</v>
      </c>
      <c r="V340" t="s">
        <v>32</v>
      </c>
      <c r="W340" t="s">
        <v>33</v>
      </c>
      <c r="X340" t="str">
        <f>_xlfn.TEXTJOIN("|", TRUE, A340:W340)</f>
        <v>ORD-2024-10339|45634|45516|-118|Invalid: Ship before Order|CUST-3066|Arjun Bose|Small Business|South|Andhra Pradesh|Vijayawada|Technology|Accessories|Eco Accessories 315|First Class|8|4402.36|0.25|26414.16|21822.53|4591.63|Paid|Completed</v>
      </c>
      <c r="Y340">
        <f>COUNTIF($X$2:$X$1000, X340)</f>
        <v>1</v>
      </c>
      <c r="Z340">
        <f>COUNTIF($A$2:$A$1000, A340)</f>
        <v>1</v>
      </c>
      <c r="AA340" t="str">
        <f>IF(Y340&gt;1, "Exact Duplicate",
  IF(Z340&gt;1, "Conflicting Duplicate - Review",
    "Unique"))</f>
        <v>Unique</v>
      </c>
      <c r="AB340" s="2">
        <f>IF(ISBLANK(R340), 0, IF(ISTEXT(R340), VALUE(SUBSTITUTE(R340, "%", ""))/100, IF(OR(R340&lt;0, R340&gt;1), "Invalid", R340)))</f>
        <v>0.25</v>
      </c>
      <c r="AC340" s="4">
        <f>IF(AB340="Invalid", "Error", P340 * Q340 * (1 - AB340))</f>
        <v>26414.159999999996</v>
      </c>
      <c r="AD340" s="4">
        <f>IF(AC340="Error", "Error", AC340 - T340)</f>
        <v>4591.6299999999974</v>
      </c>
      <c r="AE340" s="2">
        <f>IF(AC340="Error", "Error", IF(AC340=0, 0, AD340 / AC340))</f>
        <v>0.17383214154832097</v>
      </c>
      <c r="AF340" s="7">
        <f>C340-B340</f>
        <v>-118</v>
      </c>
      <c r="AG340" s="2" t="str">
        <f>TEXT(B340, "mmmm")</f>
        <v>December</v>
      </c>
      <c r="AH340" s="4">
        <f>YEAR(B340)</f>
        <v>2024</v>
      </c>
      <c r="AI340" s="2" t="str">
        <f t="shared" si="19"/>
        <v>Invalid Shipping Record</v>
      </c>
      <c r="AJ340">
        <f>COUNTIFS($A$2:$A$1000,A340,$B$2:$B$1000,B340,$C$2:$C$1000,C340,$D$2:$D$1000,D340,$E$2:$E$1000,E340,$F$2:$F$1000,F340)</f>
        <v>1</v>
      </c>
      <c r="AK340">
        <f>COUNTIF($A$2:$A$1000, A340)</f>
        <v>1</v>
      </c>
    </row>
    <row r="341" spans="1:37">
      <c r="A341" t="s">
        <v>1120</v>
      </c>
      <c r="B341" s="5">
        <v>45708</v>
      </c>
      <c r="C341" s="5">
        <v>45710</v>
      </c>
      <c r="D341" s="6">
        <f>IF(AND(C341&lt;&gt;"",B341&lt;&gt;""), C341-B341, "Missing Date")</f>
        <v>2</v>
      </c>
      <c r="E341" s="6" t="str">
        <f>IF(OR(B341="",C341=""), "Missing Date",
    IF(C341&lt;B341, "Invalid: Ship before Order",
      "OK"))</f>
        <v>OK</v>
      </c>
      <c r="F341" t="s">
        <v>1121</v>
      </c>
      <c r="G341" t="s">
        <v>79</v>
      </c>
      <c r="H341" t="s">
        <v>90</v>
      </c>
      <c r="I341" t="s">
        <v>38</v>
      </c>
      <c r="J341" t="s">
        <v>228</v>
      </c>
      <c r="K341" t="s">
        <v>229</v>
      </c>
      <c r="L341" t="s">
        <v>41</v>
      </c>
      <c r="M341" t="s">
        <v>158</v>
      </c>
      <c r="N341" t="s">
        <v>1122</v>
      </c>
      <c r="O341" t="s">
        <v>59</v>
      </c>
      <c r="P341">
        <v>8</v>
      </c>
      <c r="Q341">
        <v>3265.76</v>
      </c>
      <c r="R341">
        <v>0.2</v>
      </c>
      <c r="S341">
        <v>20900.86</v>
      </c>
      <c r="T341">
        <v>12513.14</v>
      </c>
      <c r="U341">
        <v>8387.7199999999993</v>
      </c>
      <c r="V341" t="s">
        <v>32</v>
      </c>
      <c r="W341" t="s">
        <v>33</v>
      </c>
      <c r="X341" t="str">
        <f>_xlfn.TEXTJOIN("|", TRUE, A341:W341)</f>
        <v>ORD-2025-10340|45708|45710|2|OK|CUST-2752|Neha Gupta|Corporate|East|Jharkhand|Ranchi|Furniture|Bookcases|Elite Bookcases 988|Standard Class|8|3265.76|0.2|20900.86|12513.14|8387.72|Paid|Completed</v>
      </c>
      <c r="Y341">
        <f>COUNTIF($X$2:$X$1000, X341)</f>
        <v>1</v>
      </c>
      <c r="Z341">
        <f>COUNTIF($A$2:$A$1000, A341)</f>
        <v>1</v>
      </c>
      <c r="AA341" t="str">
        <f>IF(Y341&gt;1, "Exact Duplicate",
  IF(Z341&gt;1, "Conflicting Duplicate - Review",
    "Unique"))</f>
        <v>Unique</v>
      </c>
      <c r="AB341" s="2">
        <f>IF(ISBLANK(R341), 0, IF(ISTEXT(R341), VALUE(SUBSTITUTE(R341, "%", ""))/100, IF(OR(R341&lt;0, R341&gt;1), "Invalid", R341)))</f>
        <v>0.2</v>
      </c>
      <c r="AC341" s="4">
        <f>IF(AB341="Invalid", "Error", P341 * Q341 * (1 - AB341))</f>
        <v>20900.864000000001</v>
      </c>
      <c r="AD341" s="4">
        <f>IF(AC341="Error", "Error", AC341 - T341)</f>
        <v>8387.724000000002</v>
      </c>
      <c r="AE341" s="2">
        <f>IF(AC341="Error", "Error", IF(AC341=0, 0, AD341 / AC341))</f>
        <v>0.40130991714026759</v>
      </c>
      <c r="AF341" s="7">
        <f>C341-B341</f>
        <v>2</v>
      </c>
      <c r="AG341" s="2" t="str">
        <f>TEXT(B341, "mmmm")</f>
        <v>February</v>
      </c>
      <c r="AH341" s="4">
        <f>YEAR(B341)</f>
        <v>2025</v>
      </c>
      <c r="AI341" s="2" t="str">
        <f t="shared" si="19"/>
        <v>Clean</v>
      </c>
      <c r="AJ341">
        <f>COUNTIFS($A$2:$A$1000,A341,$B$2:$B$1000,B341,$C$2:$C$1000,C341,$D$2:$D$1000,D341,$E$2:$E$1000,E341,$F$2:$F$1000,F341)</f>
        <v>1</v>
      </c>
      <c r="AK341">
        <f>COUNTIF($A$2:$A$1000, A341)</f>
        <v>1</v>
      </c>
    </row>
    <row r="342" spans="1:37">
      <c r="A342" t="s">
        <v>1123</v>
      </c>
      <c r="B342" s="5">
        <v>45312</v>
      </c>
      <c r="C342" s="5">
        <v>45320</v>
      </c>
      <c r="D342" s="6">
        <f>IF(AND(C342&lt;&gt;"",B342&lt;&gt;""), C342-B342, "Missing Date")</f>
        <v>8</v>
      </c>
      <c r="E342" s="6" t="str">
        <f>IF(OR(B342="",C342=""), "Missing Date",
    IF(C342&lt;B342, "Invalid: Ship before Order",
      "OK"))</f>
        <v>OK</v>
      </c>
      <c r="F342" t="s">
        <v>1124</v>
      </c>
      <c r="G342" t="s">
        <v>79</v>
      </c>
      <c r="H342" t="s">
        <v>24</v>
      </c>
      <c r="I342" t="s">
        <v>54</v>
      </c>
      <c r="J342" t="s">
        <v>175</v>
      </c>
      <c r="K342" t="s">
        <v>176</v>
      </c>
      <c r="L342" t="s">
        <v>28</v>
      </c>
      <c r="M342" t="s">
        <v>153</v>
      </c>
      <c r="N342" t="s">
        <v>1125</v>
      </c>
      <c r="O342" t="s">
        <v>59</v>
      </c>
      <c r="P342">
        <v>5</v>
      </c>
      <c r="Q342">
        <v>4058.08</v>
      </c>
      <c r="R342">
        <v>0.1</v>
      </c>
      <c r="S342">
        <v>18261.36</v>
      </c>
      <c r="T342">
        <v>11399.94</v>
      </c>
      <c r="U342">
        <v>6861.42</v>
      </c>
      <c r="V342" t="s">
        <v>32</v>
      </c>
      <c r="W342" t="s">
        <v>33</v>
      </c>
      <c r="X342" t="str">
        <f>_xlfn.TEXTJOIN("|", TRUE, A342:W342)</f>
        <v>ORD-2024-10341|45312|45320|8|OK|CUST-6291|Neha Gupta|Consumer|South|Karnataka|Bengaluru|Office Supplies|Binders|Smart Binders 414|Standard Class|5|4058.08|0.1|18261.36|11399.94|6861.42|Paid|Completed</v>
      </c>
      <c r="Y342">
        <f>COUNTIF($X$2:$X$1000, X342)</f>
        <v>1</v>
      </c>
      <c r="Z342">
        <f>COUNTIF($A$2:$A$1000, A342)</f>
        <v>1</v>
      </c>
      <c r="AA342" t="str">
        <f>IF(Y342&gt;1, "Exact Duplicate",
  IF(Z342&gt;1, "Conflicting Duplicate - Review",
    "Unique"))</f>
        <v>Unique</v>
      </c>
      <c r="AB342" s="2">
        <f>IF(ISBLANK(R342), 0, IF(ISTEXT(R342), VALUE(SUBSTITUTE(R342, "%", ""))/100, IF(OR(R342&lt;0, R342&gt;1), "Invalid", R342)))</f>
        <v>0.1</v>
      </c>
      <c r="AC342" s="4">
        <f>IF(AB342="Invalid", "Error", P342 * Q342 * (1 - AB342))</f>
        <v>18261.36</v>
      </c>
      <c r="AD342" s="4">
        <f>IF(AC342="Error", "Error", AC342 - T342)</f>
        <v>6861.42</v>
      </c>
      <c r="AE342" s="2">
        <f>IF(AC342="Error", "Error", IF(AC342=0, 0, AD342 / AC342))</f>
        <v>0.3757343374206521</v>
      </c>
      <c r="AF342" s="7">
        <f>C342-B342</f>
        <v>8</v>
      </c>
      <c r="AG342" s="2" t="str">
        <f>TEXT(B342, "mmmm")</f>
        <v>January</v>
      </c>
      <c r="AH342" s="4">
        <f>YEAR(B342)</f>
        <v>2024</v>
      </c>
      <c r="AI342" s="2" t="str">
        <f t="shared" si="19"/>
        <v>Clean</v>
      </c>
      <c r="AJ342">
        <f>COUNTIFS($A$2:$A$1000,A342,$B$2:$B$1000,B342,$C$2:$C$1000,C342,$D$2:$D$1000,D342,$E$2:$E$1000,E342,$F$2:$F$1000,F342)</f>
        <v>1</v>
      </c>
      <c r="AK342">
        <f>COUNTIF($A$2:$A$1000, A342)</f>
        <v>1</v>
      </c>
    </row>
    <row r="343" spans="1:37">
      <c r="A343" t="s">
        <v>1126</v>
      </c>
      <c r="B343" s="5">
        <v>45908</v>
      </c>
      <c r="C343" s="5">
        <v>45909</v>
      </c>
      <c r="D343" s="6">
        <f>IF(AND(C343&lt;&gt;"",B343&lt;&gt;""), C343-B343, "Missing Date")</f>
        <v>1</v>
      </c>
      <c r="E343" s="6" t="str">
        <f>IF(OR(B343="",C343=""), "Missing Date",
    IF(C343&lt;B343, "Invalid: Ship before Order",
      "OK"))</f>
        <v>OK</v>
      </c>
      <c r="F343" t="s">
        <v>1127</v>
      </c>
      <c r="G343" t="s">
        <v>141</v>
      </c>
      <c r="H343" t="s">
        <v>95</v>
      </c>
      <c r="I343" t="s">
        <v>63</v>
      </c>
      <c r="J343" t="s">
        <v>180</v>
      </c>
      <c r="K343" t="s">
        <v>181</v>
      </c>
      <c r="L343" t="s">
        <v>41</v>
      </c>
      <c r="M343" t="s">
        <v>66</v>
      </c>
      <c r="N343" t="s">
        <v>1128</v>
      </c>
      <c r="O343" t="s">
        <v>31</v>
      </c>
      <c r="P343">
        <v>2</v>
      </c>
      <c r="Q343">
        <v>3960.33</v>
      </c>
      <c r="R343">
        <v>0.05</v>
      </c>
      <c r="S343">
        <v>7524.63</v>
      </c>
      <c r="T343">
        <v>6229.6</v>
      </c>
      <c r="U343">
        <v>1295.03</v>
      </c>
      <c r="V343" t="s">
        <v>32</v>
      </c>
      <c r="W343" t="s">
        <v>33</v>
      </c>
      <c r="X343" t="str">
        <f>_xlfn.TEXTJOIN("|", TRUE, A343:W343)</f>
        <v>ORD-2025-10342|45908|45909|1|OK|CUST-9969|Rohan Mehta|Home Office|West|Gujarat|Ahmedabad|Furniture|Chairs|Eco Chairs 552|Second Class|2|3960.33|0.05|7524.63|6229.6|1295.03|Paid|Completed</v>
      </c>
      <c r="Y343">
        <f>COUNTIF($X$2:$X$1000, X343)</f>
        <v>1</v>
      </c>
      <c r="Z343">
        <f>COUNTIF($A$2:$A$1000, A343)</f>
        <v>1</v>
      </c>
      <c r="AA343" t="str">
        <f>IF(Y343&gt;1, "Exact Duplicate",
  IF(Z343&gt;1, "Conflicting Duplicate - Review",
    "Unique"))</f>
        <v>Unique</v>
      </c>
      <c r="AB343" s="2">
        <f>IF(ISBLANK(R343), 0, IF(ISTEXT(R343), VALUE(SUBSTITUTE(R343, "%", ""))/100, IF(OR(R343&lt;0, R343&gt;1), "Invalid", R343)))</f>
        <v>0.05</v>
      </c>
      <c r="AC343" s="4">
        <f>IF(AB343="Invalid", "Error", P343 * Q343 * (1 - AB343))</f>
        <v>7524.6269999999995</v>
      </c>
      <c r="AD343" s="4">
        <f>IF(AC343="Error", "Error", AC343 - T343)</f>
        <v>1295.0269999999991</v>
      </c>
      <c r="AE343" s="2">
        <f>IF(AC343="Error", "Error", IF(AC343=0, 0, AD343 / AC343))</f>
        <v>0.17210514222166751</v>
      </c>
      <c r="AF343" s="7">
        <f>C343-B343</f>
        <v>1</v>
      </c>
      <c r="AG343" s="2" t="str">
        <f>TEXT(B343, "mmmm")</f>
        <v>September</v>
      </c>
      <c r="AH343" s="4">
        <f>YEAR(B343)</f>
        <v>2025</v>
      </c>
      <c r="AI343" s="2" t="str">
        <f t="shared" si="19"/>
        <v>Clean</v>
      </c>
      <c r="AJ343">
        <f>COUNTIFS($A$2:$A$1000,A343,$B$2:$B$1000,B343,$C$2:$C$1000,C343,$D$2:$D$1000,D343,$E$2:$E$1000,E343,$F$2:$F$1000,F343)</f>
        <v>1</v>
      </c>
      <c r="AK343">
        <f>COUNTIF($A$2:$A$1000, A343)</f>
        <v>1</v>
      </c>
    </row>
    <row r="344" spans="1:37">
      <c r="A344" t="s">
        <v>1129</v>
      </c>
      <c r="B344" s="5">
        <v>45862</v>
      </c>
      <c r="C344" s="5">
        <v>45870</v>
      </c>
      <c r="D344" s="6">
        <f>IF(AND(C344&lt;&gt;"",B344&lt;&gt;""), C344-B344, "Missing Date")</f>
        <v>8</v>
      </c>
      <c r="E344" s="6" t="str">
        <f>IF(OR(B344="",C344=""), "Missing Date",
    IF(C344&lt;B344, "Invalid: Ship before Order",
      "OK"))</f>
        <v>OK</v>
      </c>
      <c r="F344" t="s">
        <v>1130</v>
      </c>
      <c r="G344" t="s">
        <v>264</v>
      </c>
      <c r="H344" t="s">
        <v>37</v>
      </c>
      <c r="I344" t="s">
        <v>38</v>
      </c>
      <c r="J344" t="s">
        <v>228</v>
      </c>
      <c r="K344" t="s">
        <v>229</v>
      </c>
      <c r="L344" t="s">
        <v>28</v>
      </c>
      <c r="M344" t="s">
        <v>153</v>
      </c>
      <c r="N344" t="s">
        <v>1131</v>
      </c>
      <c r="O344" t="s">
        <v>50</v>
      </c>
      <c r="P344">
        <v>8</v>
      </c>
      <c r="Q344">
        <v>1528.92</v>
      </c>
      <c r="R344">
        <v>0</v>
      </c>
      <c r="S344">
        <v>12231.36</v>
      </c>
      <c r="T344">
        <v>8766.9</v>
      </c>
      <c r="U344">
        <v>3464.46</v>
      </c>
      <c r="V344" t="s">
        <v>32</v>
      </c>
      <c r="W344" t="s">
        <v>33</v>
      </c>
      <c r="X344" t="str">
        <f>_xlfn.TEXTJOIN("|", TRUE, A344:W344)</f>
        <v>ORD-2025-10343|45862|45870|8|OK|CUST-3335|Kabir Singh|Small Business|East|Jharkhand|Ranchi|Office Supplies|Binders|Smart Binders 574|First Class|8|1528.92|0|12231.36|8766.9|3464.46|Paid|Completed</v>
      </c>
      <c r="Y344">
        <f>COUNTIF($X$2:$X$1000, X344)</f>
        <v>1</v>
      </c>
      <c r="Z344">
        <f>COUNTIF($A$2:$A$1000, A344)</f>
        <v>1</v>
      </c>
      <c r="AA344" t="str">
        <f>IF(Y344&gt;1, "Exact Duplicate",
  IF(Z344&gt;1, "Conflicting Duplicate - Review",
    "Unique"))</f>
        <v>Unique</v>
      </c>
      <c r="AB344" s="2">
        <f>IF(ISBLANK(R344), 0, IF(ISTEXT(R344), VALUE(SUBSTITUTE(R344, "%", ""))/100, IF(OR(R344&lt;0, R344&gt;1), "Invalid", R344)))</f>
        <v>0</v>
      </c>
      <c r="AC344" s="4">
        <f>IF(AB344="Invalid", "Error", P344 * Q344 * (1 - AB344))</f>
        <v>12231.36</v>
      </c>
      <c r="AD344" s="4">
        <f>IF(AC344="Error", "Error", AC344 - T344)</f>
        <v>3464.4600000000009</v>
      </c>
      <c r="AE344" s="2">
        <f>IF(AC344="Error", "Error", IF(AC344=0, 0, AD344 / AC344))</f>
        <v>0.28324405462679547</v>
      </c>
      <c r="AF344" s="7">
        <f>C344-B344</f>
        <v>8</v>
      </c>
      <c r="AG344" s="2" t="str">
        <f>TEXT(B344, "mmmm")</f>
        <v>July</v>
      </c>
      <c r="AH344" s="4">
        <f>YEAR(B344)</f>
        <v>2025</v>
      </c>
      <c r="AI344" s="2" t="str">
        <f t="shared" si="19"/>
        <v>Clean</v>
      </c>
      <c r="AJ344">
        <f>COUNTIFS($A$2:$A$1000,A344,$B$2:$B$1000,B344,$C$2:$C$1000,C344,$D$2:$D$1000,D344,$E$2:$E$1000,E344,$F$2:$F$1000,F344)</f>
        <v>1</v>
      </c>
      <c r="AK344">
        <f>COUNTIF($A$2:$A$1000, A344)</f>
        <v>1</v>
      </c>
    </row>
    <row r="345" spans="1:37">
      <c r="A345" t="s">
        <v>1132</v>
      </c>
      <c r="B345" s="5">
        <v>45726</v>
      </c>
      <c r="C345" s="5">
        <v>45938</v>
      </c>
      <c r="D345" s="6">
        <f>IF(AND(C345&lt;&gt;"",B345&lt;&gt;""), C345-B345, "Missing Date")</f>
        <v>212</v>
      </c>
      <c r="E345" s="6" t="str">
        <f>IF(OR(B345="",C345=""), "Missing Date",
    IF(C345&lt;B345, "Invalid: Ship before Order",
      "OK"))</f>
        <v>OK</v>
      </c>
      <c r="F345" t="s">
        <v>1133</v>
      </c>
      <c r="G345" t="s">
        <v>128</v>
      </c>
      <c r="H345" t="s">
        <v>90</v>
      </c>
      <c r="I345" t="s">
        <v>63</v>
      </c>
      <c r="J345" t="s">
        <v>72</v>
      </c>
      <c r="K345" t="s">
        <v>73</v>
      </c>
      <c r="L345" t="s">
        <v>74</v>
      </c>
      <c r="M345" t="s">
        <v>274</v>
      </c>
      <c r="N345" t="s">
        <v>1134</v>
      </c>
      <c r="O345" t="s">
        <v>44</v>
      </c>
      <c r="P345">
        <v>9</v>
      </c>
      <c r="Q345">
        <v>3837</v>
      </c>
      <c r="R345">
        <v>0.1</v>
      </c>
      <c r="S345">
        <v>31079.7</v>
      </c>
      <c r="T345">
        <v>17758.25</v>
      </c>
      <c r="U345">
        <v>13321.45</v>
      </c>
      <c r="V345" t="s">
        <v>32</v>
      </c>
      <c r="W345" t="s">
        <v>33</v>
      </c>
      <c r="X345" t="str">
        <f>_xlfn.TEXTJOIN("|", TRUE, A345:W345)</f>
        <v>ORD-2025-10344|45726|45938|212|OK|CUST-7358|Aarav Sharma|Corporate|West|Madhya Pradesh|Indore|Technology|Machines|Pro Machines 444|Same Day|9|3837|0.1|31079.7|17758.25|13321.45|Paid|Completed</v>
      </c>
      <c r="Y345">
        <f>COUNTIF($X$2:$X$1000, X345)</f>
        <v>1</v>
      </c>
      <c r="Z345">
        <f>COUNTIF($A$2:$A$1000, A345)</f>
        <v>1</v>
      </c>
      <c r="AA345" t="str">
        <f>IF(Y345&gt;1, "Exact Duplicate",
  IF(Z345&gt;1, "Conflicting Duplicate - Review",
    "Unique"))</f>
        <v>Unique</v>
      </c>
      <c r="AB345" s="2">
        <f>IF(ISBLANK(R345), 0, IF(ISTEXT(R345), VALUE(SUBSTITUTE(R345, "%", ""))/100, IF(OR(R345&lt;0, R345&gt;1), "Invalid", R345)))</f>
        <v>0.1</v>
      </c>
      <c r="AC345" s="4">
        <f>IF(AB345="Invalid", "Error", P345 * Q345 * (1 - AB345))</f>
        <v>31079.7</v>
      </c>
      <c r="AD345" s="4">
        <f>IF(AC345="Error", "Error", AC345 - T345)</f>
        <v>13321.45</v>
      </c>
      <c r="AE345" s="2">
        <f>IF(AC345="Error", "Error", IF(AC345=0, 0, AD345 / AC345))</f>
        <v>0.4286222196481948</v>
      </c>
      <c r="AF345" s="7">
        <f>C345-B345</f>
        <v>212</v>
      </c>
      <c r="AG345" s="2" t="str">
        <f>TEXT(B345, "mmmm")</f>
        <v>March</v>
      </c>
      <c r="AH345" s="4">
        <f>YEAR(B345)</f>
        <v>2025</v>
      </c>
      <c r="AI345" s="2" t="str">
        <f t="shared" si="19"/>
        <v>Clean</v>
      </c>
      <c r="AJ345">
        <f>COUNTIFS($A$2:$A$1000,A345,$B$2:$B$1000,B345,$C$2:$C$1000,C345,$D$2:$D$1000,D345,$E$2:$E$1000,E345,$F$2:$F$1000,F345)</f>
        <v>1</v>
      </c>
      <c r="AK345">
        <f>COUNTIF($A$2:$A$1000, A345)</f>
        <v>1</v>
      </c>
    </row>
    <row r="346" spans="1:37">
      <c r="A346" t="s">
        <v>1135</v>
      </c>
      <c r="B346" s="5">
        <v>45362</v>
      </c>
      <c r="C346" s="5">
        <v>45362</v>
      </c>
      <c r="D346" s="6">
        <f>IF(AND(C346&lt;&gt;"",B346&lt;&gt;""), C346-B346, "Missing Date")</f>
        <v>0</v>
      </c>
      <c r="E346" s="6" t="str">
        <f>IF(OR(B346="",C346=""), "Missing Date",
    IF(C346&lt;B346, "Invalid: Ship before Order",
      "OK"))</f>
        <v>OK</v>
      </c>
      <c r="F346" t="s">
        <v>1136</v>
      </c>
      <c r="G346" t="s">
        <v>114</v>
      </c>
      <c r="H346" t="s">
        <v>24</v>
      </c>
      <c r="I346" t="s">
        <v>25</v>
      </c>
      <c r="J346" t="s">
        <v>122</v>
      </c>
      <c r="K346" t="s">
        <v>123</v>
      </c>
      <c r="L346" t="s">
        <v>41</v>
      </c>
      <c r="M346" t="s">
        <v>158</v>
      </c>
      <c r="N346" t="s">
        <v>1137</v>
      </c>
      <c r="O346" t="s">
        <v>44</v>
      </c>
      <c r="P346">
        <v>9</v>
      </c>
      <c r="Q346">
        <v>3456.38</v>
      </c>
      <c r="R346">
        <v>0</v>
      </c>
      <c r="S346">
        <v>31107.42</v>
      </c>
      <c r="T346">
        <v>20146.66</v>
      </c>
      <c r="U346">
        <v>10960.76</v>
      </c>
      <c r="V346" t="s">
        <v>111</v>
      </c>
      <c r="W346" t="s">
        <v>103</v>
      </c>
      <c r="X346" t="str">
        <f>_xlfn.TEXTJOIN("|", TRUE, A346:W346)</f>
        <v>ORD-2024-10345|45362|45362|0|OK|CUST-8025|Priya Menon|Consumer|North|Punjab|Ludhiana|Furniture|Bookcases|Elite Bookcases 184|Same Day|9|3456.38|0|31107.42|20146.66|10960.76|Pending|Returned</v>
      </c>
      <c r="Y346">
        <f>COUNTIF($X$2:$X$1000, X346)</f>
        <v>1</v>
      </c>
      <c r="Z346">
        <f>COUNTIF($A$2:$A$1000, A346)</f>
        <v>1</v>
      </c>
      <c r="AA346" t="str">
        <f>IF(Y346&gt;1, "Exact Duplicate",
  IF(Z346&gt;1, "Conflicting Duplicate - Review",
    "Unique"))</f>
        <v>Unique</v>
      </c>
      <c r="AB346" s="2">
        <f>IF(ISBLANK(R346), 0, IF(ISTEXT(R346), VALUE(SUBSTITUTE(R346, "%", ""))/100, IF(OR(R346&lt;0, R346&gt;1), "Invalid", R346)))</f>
        <v>0</v>
      </c>
      <c r="AC346" s="4">
        <f>IF(AB346="Invalid", "Error", P346 * Q346 * (1 - AB346))</f>
        <v>31107.420000000002</v>
      </c>
      <c r="AD346" s="4">
        <f>IF(AC346="Error", "Error", AC346 - T346)</f>
        <v>10960.760000000002</v>
      </c>
      <c r="AE346" s="2">
        <f>IF(AC346="Error", "Error", IF(AC346=0, 0, AD346 / AC346))</f>
        <v>0.3523519468988428</v>
      </c>
      <c r="AF346" s="7">
        <f>C346-B346</f>
        <v>0</v>
      </c>
      <c r="AG346" s="2" t="str">
        <f>TEXT(B346, "mmmm")</f>
        <v>March</v>
      </c>
      <c r="AH346" s="4">
        <f>YEAR(B346)</f>
        <v>2024</v>
      </c>
      <c r="AI346" s="2" t="str">
        <f t="shared" si="19"/>
        <v>Clean</v>
      </c>
      <c r="AJ346">
        <f>COUNTIFS($A$2:$A$1000,A346,$B$2:$B$1000,B346,$C$2:$C$1000,C346,$D$2:$D$1000,D346,$E$2:$E$1000,E346,$F$2:$F$1000,F346)</f>
        <v>1</v>
      </c>
      <c r="AK346">
        <f>COUNTIF($A$2:$A$1000, A346)</f>
        <v>1</v>
      </c>
    </row>
    <row r="347" spans="1:37">
      <c r="A347" t="s">
        <v>1138</v>
      </c>
      <c r="B347" s="5">
        <v>45549</v>
      </c>
      <c r="C347" s="5">
        <v>45557</v>
      </c>
      <c r="D347" s="6">
        <f>IF(AND(C347&lt;&gt;"",B347&lt;&gt;""), C347-B347, "Missing Date")</f>
        <v>8</v>
      </c>
      <c r="E347" s="6" t="str">
        <f>IF(OR(B347="",C347=""), "Missing Date",
    IF(C347&lt;B347, "Invalid: Ship before Order",
      "OK"))</f>
        <v>OK</v>
      </c>
      <c r="F347" t="s">
        <v>1139</v>
      </c>
      <c r="G347" t="s">
        <v>23</v>
      </c>
      <c r="H347" t="s">
        <v>24</v>
      </c>
      <c r="I347" t="s">
        <v>63</v>
      </c>
      <c r="J347" t="s">
        <v>72</v>
      </c>
      <c r="K347" t="s">
        <v>73</v>
      </c>
      <c r="L347" t="s">
        <v>41</v>
      </c>
      <c r="M347" t="s">
        <v>57</v>
      </c>
      <c r="N347" t="s">
        <v>1140</v>
      </c>
      <c r="O347" t="s">
        <v>31</v>
      </c>
      <c r="P347">
        <v>2</v>
      </c>
      <c r="Q347">
        <v>2765.3</v>
      </c>
      <c r="R347">
        <v>0</v>
      </c>
      <c r="S347">
        <v>5530.6</v>
      </c>
      <c r="T347">
        <v>4453.1099999999997</v>
      </c>
      <c r="U347">
        <v>1077.49</v>
      </c>
      <c r="V347" t="s">
        <v>32</v>
      </c>
      <c r="W347" t="s">
        <v>33</v>
      </c>
      <c r="X347" t="str">
        <f>_xlfn.TEXTJOIN("|", TRUE, A347:W347)</f>
        <v>ORD-2024-10346|45549|45557|8|OK|CUST-4634|Karan Malhotra|Consumer|West|Madhya Pradesh|Indore|Furniture|Furnishings|Elite Furnishings 138|Second Class|2|2765.3|0|5530.6|4453.11|1077.49|Paid|Completed</v>
      </c>
      <c r="Y347">
        <f>COUNTIF($X$2:$X$1000, X347)</f>
        <v>1</v>
      </c>
      <c r="Z347">
        <f>COUNTIF($A$2:$A$1000, A347)</f>
        <v>1</v>
      </c>
      <c r="AA347" t="str">
        <f>IF(Y347&gt;1, "Exact Duplicate",
  IF(Z347&gt;1, "Conflicting Duplicate - Review",
    "Unique"))</f>
        <v>Unique</v>
      </c>
      <c r="AB347" s="2">
        <f>IF(ISBLANK(R347), 0, IF(ISTEXT(R347), VALUE(SUBSTITUTE(R347, "%", ""))/100, IF(OR(R347&lt;0, R347&gt;1), "Invalid", R347)))</f>
        <v>0</v>
      </c>
      <c r="AC347" s="4">
        <f>IF(AB347="Invalid", "Error", P347 * Q347 * (1 - AB347))</f>
        <v>5530.6</v>
      </c>
      <c r="AD347" s="4">
        <f>IF(AC347="Error", "Error", AC347 - T347)</f>
        <v>1077.4900000000007</v>
      </c>
      <c r="AE347" s="2">
        <f>IF(AC347="Error", "Error", IF(AC347=0, 0, AD347 / AC347))</f>
        <v>0.19482334647235391</v>
      </c>
      <c r="AF347" s="7">
        <f>C347-B347</f>
        <v>8</v>
      </c>
      <c r="AG347" s="2" t="str">
        <f>TEXT(B347, "mmmm")</f>
        <v>September</v>
      </c>
      <c r="AH347" s="4">
        <f>YEAR(B347)</f>
        <v>2024</v>
      </c>
      <c r="AI347" s="2" t="str">
        <f t="shared" si="19"/>
        <v>Clean</v>
      </c>
      <c r="AJ347">
        <f>COUNTIFS($A$2:$A$1000,A347,$B$2:$B$1000,B347,$C$2:$C$1000,C347,$D$2:$D$1000,D347,$E$2:$E$1000,E347,$F$2:$F$1000,F347)</f>
        <v>1</v>
      </c>
      <c r="AK347">
        <f>COUNTIF($A$2:$A$1000, A347)</f>
        <v>1</v>
      </c>
    </row>
    <row r="348" spans="1:37">
      <c r="A348" t="s">
        <v>1141</v>
      </c>
      <c r="B348" s="5">
        <v>45860</v>
      </c>
      <c r="C348" s="5">
        <v>45866</v>
      </c>
      <c r="D348" s="6">
        <f>IF(AND(C348&lt;&gt;"",B348&lt;&gt;""), C348-B348, "Missing Date")</f>
        <v>6</v>
      </c>
      <c r="E348" s="6" t="str">
        <f>IF(OR(B348="",C348=""), "Missing Date",
    IF(C348&lt;B348, "Invalid: Ship before Order",
      "OK"))</f>
        <v>OK</v>
      </c>
      <c r="F348" t="s">
        <v>1142</v>
      </c>
      <c r="G348" t="s">
        <v>118</v>
      </c>
      <c r="H348" t="s">
        <v>90</v>
      </c>
      <c r="I348" t="s">
        <v>54</v>
      </c>
      <c r="J348" t="s">
        <v>185</v>
      </c>
      <c r="K348" t="s">
        <v>186</v>
      </c>
      <c r="L348" t="s">
        <v>41</v>
      </c>
      <c r="M348" t="s">
        <v>66</v>
      </c>
      <c r="N348" t="s">
        <v>1143</v>
      </c>
      <c r="O348" t="s">
        <v>31</v>
      </c>
      <c r="P348">
        <v>6</v>
      </c>
      <c r="Q348">
        <v>1607.46</v>
      </c>
      <c r="R348">
        <v>0.2</v>
      </c>
      <c r="S348">
        <v>7715.81</v>
      </c>
      <c r="T348">
        <v>4258.42</v>
      </c>
      <c r="U348">
        <v>3457.39</v>
      </c>
      <c r="V348" t="s">
        <v>32</v>
      </c>
      <c r="W348" t="s">
        <v>33</v>
      </c>
      <c r="X348" t="str">
        <f>_xlfn.TEXTJOIN("|", TRUE, A348:W348)</f>
        <v>ORD-2025-10347|45860|45866|6|OK|CUST-3400|Rahul Verma|Corporate|South|Kerala|Kochi|Furniture|Chairs|Eco Chairs 369|Second Class|6|1607.46|0.2|7715.81|4258.42|3457.39|Paid|Completed</v>
      </c>
      <c r="Y348">
        <f>COUNTIF($X$2:$X$1000, X348)</f>
        <v>1</v>
      </c>
      <c r="Z348">
        <f>COUNTIF($A$2:$A$1000, A348)</f>
        <v>1</v>
      </c>
      <c r="AA348" t="str">
        <f>IF(Y348&gt;1, "Exact Duplicate",
  IF(Z348&gt;1, "Conflicting Duplicate - Review",
    "Unique"))</f>
        <v>Unique</v>
      </c>
      <c r="AB348" s="2">
        <f>IF(ISBLANK(R348), 0, IF(ISTEXT(R348), VALUE(SUBSTITUTE(R348, "%", ""))/100, IF(OR(R348&lt;0, R348&gt;1), "Invalid", R348)))</f>
        <v>0.2</v>
      </c>
      <c r="AC348" s="4">
        <f>IF(AB348="Invalid", "Error", P348 * Q348 * (1 - AB348))</f>
        <v>7715.8080000000009</v>
      </c>
      <c r="AD348" s="4">
        <f>IF(AC348="Error", "Error", AC348 - T348)</f>
        <v>3457.3880000000008</v>
      </c>
      <c r="AE348" s="2">
        <f>IF(AC348="Error", "Error", IF(AC348=0, 0, AD348 / AC348))</f>
        <v>0.4480915025360922</v>
      </c>
      <c r="AF348" s="7">
        <f>C348-B348</f>
        <v>6</v>
      </c>
      <c r="AG348" s="2" t="str">
        <f>TEXT(B348, "mmmm")</f>
        <v>July</v>
      </c>
      <c r="AH348" s="4">
        <f>YEAR(B348)</f>
        <v>2025</v>
      </c>
      <c r="AI348" s="2" t="str">
        <f t="shared" si="19"/>
        <v>Clean</v>
      </c>
      <c r="AJ348">
        <f>COUNTIFS($A$2:$A$1000,A348,$B$2:$B$1000,B348,$C$2:$C$1000,C348,$D$2:$D$1000,D348,$E$2:$E$1000,E348,$F$2:$F$1000,F348)</f>
        <v>1</v>
      </c>
      <c r="AK348">
        <f>COUNTIF($A$2:$A$1000, A348)</f>
        <v>1</v>
      </c>
    </row>
    <row r="349" spans="1:37">
      <c r="A349" t="s">
        <v>1144</v>
      </c>
      <c r="B349" s="5">
        <v>45627</v>
      </c>
      <c r="C349" s="5">
        <v>45516</v>
      </c>
      <c r="D349" s="6">
        <f>IF(AND(C349&lt;&gt;"",B349&lt;&gt;""), C349-B349, "Missing Date")</f>
        <v>-111</v>
      </c>
      <c r="E349" s="6" t="str">
        <f>IF(OR(B349="",C349=""), "Missing Date",
    IF(C349&lt;B349, "Invalid: Ship before Order",
      "OK"))</f>
        <v>Invalid: Ship before Order</v>
      </c>
      <c r="F349" t="s">
        <v>1145</v>
      </c>
      <c r="G349" t="s">
        <v>128</v>
      </c>
      <c r="H349" t="s">
        <v>37</v>
      </c>
      <c r="I349" t="s">
        <v>63</v>
      </c>
      <c r="J349" t="s">
        <v>190</v>
      </c>
      <c r="K349" t="s">
        <v>191</v>
      </c>
      <c r="L349" t="s">
        <v>41</v>
      </c>
      <c r="M349" t="s">
        <v>66</v>
      </c>
      <c r="N349" t="s">
        <v>1146</v>
      </c>
      <c r="O349" t="s">
        <v>31</v>
      </c>
      <c r="P349">
        <v>5</v>
      </c>
      <c r="Q349">
        <v>2981.49</v>
      </c>
      <c r="R349">
        <v>0.2</v>
      </c>
      <c r="S349">
        <v>11925.96</v>
      </c>
      <c r="T349">
        <v>10103.51</v>
      </c>
      <c r="U349">
        <v>1822.45</v>
      </c>
      <c r="V349" t="s">
        <v>102</v>
      </c>
      <c r="W349" t="s">
        <v>103</v>
      </c>
      <c r="X349" t="str">
        <f>_xlfn.TEXTJOIN("|", TRUE, A349:W349)</f>
        <v>ORD-2024-10348|45627|45516|-111|Invalid: Ship before Order|CUST-1172|Aarav Sharma|Small Business|West|Goa|Panaji|Furniture|Chairs|Max Chairs 487|Second Class|5|2981.49|0.2|11925.96|10103.51|1822.45|Refunded|Returned</v>
      </c>
      <c r="Y349">
        <f>COUNTIF($X$2:$X$1000, X349)</f>
        <v>1</v>
      </c>
      <c r="Z349">
        <f>COUNTIF($A$2:$A$1000, A349)</f>
        <v>1</v>
      </c>
      <c r="AA349" t="str">
        <f>IF(Y349&gt;1, "Exact Duplicate",
  IF(Z349&gt;1, "Conflicting Duplicate - Review",
    "Unique"))</f>
        <v>Unique</v>
      </c>
      <c r="AB349" s="2">
        <f>IF(ISBLANK(R349), 0, IF(ISTEXT(R349), VALUE(SUBSTITUTE(R349, "%", ""))/100, IF(OR(R349&lt;0, R349&gt;1), "Invalid", R349)))</f>
        <v>0.2</v>
      </c>
      <c r="AC349" s="4">
        <f>IF(AB349="Invalid", "Error", P349 * Q349 * (1 - AB349))</f>
        <v>11925.96</v>
      </c>
      <c r="AD349" s="4">
        <f>IF(AC349="Error", "Error", AC349 - T349)</f>
        <v>1822.4499999999989</v>
      </c>
      <c r="AE349" s="2">
        <f>IF(AC349="Error", "Error", IF(AC349=0, 0, AD349 / AC349))</f>
        <v>0.15281369382422874</v>
      </c>
      <c r="AF349" s="7">
        <f>C349-B349</f>
        <v>-111</v>
      </c>
      <c r="AG349" s="2" t="str">
        <f>TEXT(B349, "mmmm")</f>
        <v>December</v>
      </c>
      <c r="AH349" s="4">
        <f>YEAR(B349)</f>
        <v>2024</v>
      </c>
      <c r="AI349" s="2" t="str">
        <f t="shared" si="19"/>
        <v>Invalid Shipping Record</v>
      </c>
      <c r="AJ349">
        <f>COUNTIFS($A$2:$A$1000,A349,$B$2:$B$1000,B349,$C$2:$C$1000,C349,$D$2:$D$1000,D349,$E$2:$E$1000,E349,$F$2:$F$1000,F349)</f>
        <v>1</v>
      </c>
      <c r="AK349">
        <f>COUNTIF($A$2:$A$1000, A349)</f>
        <v>1</v>
      </c>
    </row>
    <row r="350" spans="1:37">
      <c r="A350" t="s">
        <v>1147</v>
      </c>
      <c r="B350" s="5">
        <v>45328</v>
      </c>
      <c r="C350" s="5">
        <v>45479</v>
      </c>
      <c r="D350" s="6">
        <f>IF(AND(C350&lt;&gt;"",B350&lt;&gt;""), C350-B350, "Missing Date")</f>
        <v>151</v>
      </c>
      <c r="E350" s="6" t="str">
        <f>IF(OR(B350="",C350=""), "Missing Date",
    IF(C350&lt;B350, "Invalid: Ship before Order",
      "OK"))</f>
        <v>OK</v>
      </c>
      <c r="F350" t="s">
        <v>1148</v>
      </c>
      <c r="G350" t="s">
        <v>128</v>
      </c>
      <c r="H350" t="s">
        <v>90</v>
      </c>
      <c r="I350" t="s">
        <v>54</v>
      </c>
      <c r="J350" t="s">
        <v>175</v>
      </c>
      <c r="K350" t="s">
        <v>176</v>
      </c>
      <c r="L350" t="s">
        <v>74</v>
      </c>
      <c r="M350" t="s">
        <v>171</v>
      </c>
      <c r="N350" t="s">
        <v>1149</v>
      </c>
      <c r="O350" t="s">
        <v>44</v>
      </c>
      <c r="P350">
        <v>9</v>
      </c>
      <c r="Q350">
        <v>2860.26</v>
      </c>
      <c r="R350">
        <v>0.25</v>
      </c>
      <c r="S350">
        <v>19306.759999999998</v>
      </c>
      <c r="T350">
        <v>14442.38</v>
      </c>
      <c r="U350">
        <v>4864.38</v>
      </c>
      <c r="V350" t="s">
        <v>32</v>
      </c>
      <c r="W350" t="s">
        <v>33</v>
      </c>
      <c r="X350" t="str">
        <f>_xlfn.TEXTJOIN("|", TRUE, A350:W350)</f>
        <v>ORD-2024-10349|45328|45479|151|OK|CUST-9517|Aarav Sharma|Corporate|South|Karnataka|Bengaluru|Technology|Phones|Classic Phones 989|Same Day|9|2860.26|0.25|19306.76|14442.38|4864.38|Paid|Completed</v>
      </c>
      <c r="Y350">
        <f>COUNTIF($X$2:$X$1000, X350)</f>
        <v>1</v>
      </c>
      <c r="Z350">
        <f>COUNTIF($A$2:$A$1000, A350)</f>
        <v>1</v>
      </c>
      <c r="AA350" t="str">
        <f>IF(Y350&gt;1, "Exact Duplicate",
  IF(Z350&gt;1, "Conflicting Duplicate - Review",
    "Unique"))</f>
        <v>Unique</v>
      </c>
      <c r="AB350" s="2">
        <f>IF(ISBLANK(R350), 0, IF(ISTEXT(R350), VALUE(SUBSTITUTE(R350, "%", ""))/100, IF(OR(R350&lt;0, R350&gt;1), "Invalid", R350)))</f>
        <v>0.25</v>
      </c>
      <c r="AC350" s="4">
        <f>IF(AB350="Invalid", "Error", P350 * Q350 * (1 - AB350))</f>
        <v>19306.755000000005</v>
      </c>
      <c r="AD350" s="4">
        <f>IF(AC350="Error", "Error", AC350 - T350)</f>
        <v>4864.3750000000055</v>
      </c>
      <c r="AE350" s="2">
        <f>IF(AC350="Error", "Error", IF(AC350=0, 0, AD350 / AC350))</f>
        <v>0.25195197225012717</v>
      </c>
      <c r="AF350" s="7">
        <f>C350-B350</f>
        <v>151</v>
      </c>
      <c r="AG350" s="2" t="str">
        <f>TEXT(B350, "mmmm")</f>
        <v>February</v>
      </c>
      <c r="AH350" s="4">
        <f>YEAR(B350)</f>
        <v>2024</v>
      </c>
      <c r="AI350" s="2" t="str">
        <f t="shared" si="19"/>
        <v>Clean</v>
      </c>
      <c r="AJ350">
        <f>COUNTIFS($A$2:$A$1000,A350,$B$2:$B$1000,B350,$C$2:$C$1000,C350,$D$2:$D$1000,D350,$E$2:$E$1000,E350,$F$2:$F$1000,F350)</f>
        <v>1</v>
      </c>
      <c r="AK350">
        <f>COUNTIF($A$2:$A$1000, A350)</f>
        <v>1</v>
      </c>
    </row>
    <row r="351" spans="1:37">
      <c r="A351" t="s">
        <v>1150</v>
      </c>
      <c r="B351" s="5">
        <v>45927</v>
      </c>
      <c r="C351" s="5">
        <v>45929</v>
      </c>
      <c r="D351" s="6">
        <f>IF(AND(C351&lt;&gt;"",B351&lt;&gt;""), C351-B351, "Missing Date")</f>
        <v>2</v>
      </c>
      <c r="E351" s="6" t="str">
        <f>IF(OR(B351="",C351=""), "Missing Date",
    IF(C351&lt;B351, "Invalid: Ship before Order",
      "OK"))</f>
        <v>OK</v>
      </c>
      <c r="F351" t="s">
        <v>1151</v>
      </c>
      <c r="G351" t="s">
        <v>264</v>
      </c>
      <c r="H351" t="s">
        <v>95</v>
      </c>
      <c r="I351" t="s">
        <v>38</v>
      </c>
      <c r="J351" t="s">
        <v>228</v>
      </c>
      <c r="K351" t="s">
        <v>229</v>
      </c>
      <c r="L351" t="s">
        <v>41</v>
      </c>
      <c r="M351" t="s">
        <v>57</v>
      </c>
      <c r="N351" t="s">
        <v>1152</v>
      </c>
      <c r="O351" t="s">
        <v>31</v>
      </c>
      <c r="P351">
        <v>9</v>
      </c>
      <c r="Q351">
        <v>2867.55</v>
      </c>
      <c r="R351">
        <v>0.25</v>
      </c>
      <c r="S351">
        <v>19355.96</v>
      </c>
      <c r="T351">
        <v>15012.45</v>
      </c>
      <c r="U351">
        <v>4017.4</v>
      </c>
      <c r="V351" t="s">
        <v>32</v>
      </c>
      <c r="W351" t="s">
        <v>33</v>
      </c>
      <c r="X351" t="str">
        <f>_xlfn.TEXTJOIN("|", TRUE, A351:W351)</f>
        <v>ORD-2025-10350|45927|45929|2|OK|CUST-6697|Kabir Singh|Home Office|East|Jharkhand|Ranchi|Furniture|Furnishings|Max Furnishings 628|Second Class|9|2867.55|0.25|19355.96|15012.45|4017.4|Paid|Completed</v>
      </c>
      <c r="Y351">
        <f>COUNTIF($X$2:$X$1000, X351)</f>
        <v>1</v>
      </c>
      <c r="Z351">
        <f>COUNTIF($A$2:$A$1000, A351)</f>
        <v>1</v>
      </c>
      <c r="AA351" t="str">
        <f>IF(Y351&gt;1, "Exact Duplicate",
  IF(Z351&gt;1, "Conflicting Duplicate - Review",
    "Unique"))</f>
        <v>Unique</v>
      </c>
      <c r="AB351" s="2">
        <f>IF(ISBLANK(R351), 0, IF(ISTEXT(R351), VALUE(SUBSTITUTE(R351, "%", ""))/100, IF(OR(R351&lt;0, R351&gt;1), "Invalid", R351)))</f>
        <v>0.25</v>
      </c>
      <c r="AC351" s="4">
        <f>IF(AB351="Invalid", "Error", P351 * Q351 * (1 - AB351))</f>
        <v>19355.962500000001</v>
      </c>
      <c r="AD351" s="4">
        <f>IF(AC351="Error", "Error", AC351 - T351)</f>
        <v>4343.5125000000007</v>
      </c>
      <c r="AE351" s="2">
        <f>IF(AC351="Error", "Error", IF(AC351=0, 0, AD351 / AC351))</f>
        <v>0.22440178317146461</v>
      </c>
      <c r="AF351" s="7">
        <f>C351-B351</f>
        <v>2</v>
      </c>
      <c r="AG351" s="2" t="str">
        <f>TEXT(B351, "mmmm")</f>
        <v>September</v>
      </c>
      <c r="AH351" s="4">
        <f>YEAR(B351)</f>
        <v>2025</v>
      </c>
      <c r="AI351" s="2" t="str">
        <f t="shared" si="19"/>
        <v>Clean</v>
      </c>
      <c r="AJ351">
        <f>COUNTIFS($A$2:$A$1000,A351,$B$2:$B$1000,B351,$C$2:$C$1000,C351,$D$2:$D$1000,D351,$E$2:$E$1000,E351,$F$2:$F$1000,F351)</f>
        <v>1</v>
      </c>
      <c r="AK351">
        <f>COUNTIF($A$2:$A$1000, A351)</f>
        <v>1</v>
      </c>
    </row>
    <row r="352" spans="1:37">
      <c r="A352" t="s">
        <v>1153</v>
      </c>
      <c r="B352" s="5">
        <v>45298</v>
      </c>
      <c r="C352" s="5">
        <v>45305</v>
      </c>
      <c r="D352" s="6">
        <f>IF(AND(C352&lt;&gt;"",B352&lt;&gt;""), C352-B352, "Missing Date")</f>
        <v>7</v>
      </c>
      <c r="E352" s="6" t="str">
        <f>IF(OR(B352="",C352=""), "Missing Date",
    IF(C352&lt;B352, "Invalid: Ship before Order",
      "OK"))</f>
        <v>OK</v>
      </c>
      <c r="F352" t="s">
        <v>1154</v>
      </c>
      <c r="G352" t="s">
        <v>132</v>
      </c>
      <c r="H352" t="s">
        <v>37</v>
      </c>
      <c r="I352" t="s">
        <v>38</v>
      </c>
      <c r="J352" t="s">
        <v>228</v>
      </c>
      <c r="K352" t="s">
        <v>229</v>
      </c>
      <c r="L352" t="s">
        <v>41</v>
      </c>
      <c r="M352" t="s">
        <v>57</v>
      </c>
      <c r="N352" t="s">
        <v>1155</v>
      </c>
      <c r="O352" t="s">
        <v>31</v>
      </c>
      <c r="P352">
        <v>4</v>
      </c>
      <c r="Q352">
        <v>3309.54</v>
      </c>
      <c r="R352">
        <v>0.1</v>
      </c>
      <c r="S352">
        <v>11914.34</v>
      </c>
      <c r="T352">
        <v>9771.24</v>
      </c>
      <c r="U352">
        <v>2143.1</v>
      </c>
      <c r="V352" t="s">
        <v>102</v>
      </c>
      <c r="W352" t="s">
        <v>103</v>
      </c>
      <c r="X352" t="str">
        <f>_xlfn.TEXTJOIN("|", TRUE, A352:W352)</f>
        <v>ORD-2024-10351|45298|45305|7|OK|CUST-7644|Sneha Kapoor|Small Business|East|Jharkhand|Ranchi|Furniture|Furnishings|Elite Furnishings 279|Second Class|4|3309.54|0.1|11914.34|9771.24|2143.1|Refunded|Returned</v>
      </c>
      <c r="Y352">
        <f>COUNTIF($X$2:$X$1000, X352)</f>
        <v>1</v>
      </c>
      <c r="Z352">
        <f>COUNTIF($A$2:$A$1000, A352)</f>
        <v>1</v>
      </c>
      <c r="AA352" t="str">
        <f>IF(Y352&gt;1, "Exact Duplicate",
  IF(Z352&gt;1, "Conflicting Duplicate - Review",
    "Unique"))</f>
        <v>Unique</v>
      </c>
      <c r="AB352" s="2">
        <f>IF(ISBLANK(R352), 0, IF(ISTEXT(R352), VALUE(SUBSTITUTE(R352, "%", ""))/100, IF(OR(R352&lt;0, R352&gt;1), "Invalid", R352)))</f>
        <v>0.1</v>
      </c>
      <c r="AC352" s="4">
        <f>IF(AB352="Invalid", "Error", P352 * Q352 * (1 - AB352))</f>
        <v>11914.344000000001</v>
      </c>
      <c r="AD352" s="4">
        <f>IF(AC352="Error", "Error", AC352 - T352)</f>
        <v>2143.1040000000012</v>
      </c>
      <c r="AE352" s="2">
        <f>IF(AC352="Error", "Error", IF(AC352=0, 0, AD352 / AC352))</f>
        <v>0.17987595456367561</v>
      </c>
      <c r="AF352" s="7">
        <f>C352-B352</f>
        <v>7</v>
      </c>
      <c r="AG352" s="2" t="str">
        <f>TEXT(B352, "mmmm")</f>
        <v>January</v>
      </c>
      <c r="AH352" s="4">
        <f>YEAR(B352)</f>
        <v>2024</v>
      </c>
      <c r="AI352" s="2" t="str">
        <f t="shared" si="19"/>
        <v>Clean</v>
      </c>
      <c r="AJ352">
        <f>COUNTIFS($A$2:$A$1000,A352,$B$2:$B$1000,B352,$C$2:$C$1000,C352,$D$2:$D$1000,D352,$E$2:$E$1000,E352,$F$2:$F$1000,F352)</f>
        <v>1</v>
      </c>
      <c r="AK352">
        <f>COUNTIF($A$2:$A$1000, A352)</f>
        <v>1</v>
      </c>
    </row>
    <row r="353" spans="1:37">
      <c r="A353" t="s">
        <v>1156</v>
      </c>
      <c r="B353" s="5">
        <v>45800</v>
      </c>
      <c r="C353" s="5">
        <v>45804</v>
      </c>
      <c r="D353" s="6">
        <f>IF(AND(C353&lt;&gt;"",B353&lt;&gt;""), C353-B353, "Missing Date")</f>
        <v>4</v>
      </c>
      <c r="E353" s="6" t="str">
        <f>IF(OR(B353="",C353=""), "Missing Date",
    IF(C353&lt;B353, "Invalid: Ship before Order",
      "OK"))</f>
        <v>OK</v>
      </c>
      <c r="F353" t="s">
        <v>1157</v>
      </c>
      <c r="G353" t="s">
        <v>71</v>
      </c>
      <c r="H353" t="s">
        <v>37</v>
      </c>
      <c r="I353" t="s">
        <v>54</v>
      </c>
      <c r="J353" t="s">
        <v>55</v>
      </c>
      <c r="K353" t="s">
        <v>56</v>
      </c>
      <c r="L353" t="s">
        <v>28</v>
      </c>
      <c r="M353" t="s">
        <v>124</v>
      </c>
      <c r="N353" t="s">
        <v>1158</v>
      </c>
      <c r="O353" t="s">
        <v>50</v>
      </c>
      <c r="P353">
        <v>6</v>
      </c>
      <c r="Q353">
        <v>719.44</v>
      </c>
      <c r="R353">
        <v>0.25</v>
      </c>
      <c r="S353">
        <v>3237.48</v>
      </c>
      <c r="T353">
        <v>2118.34</v>
      </c>
      <c r="U353">
        <v>1119.1400000000001</v>
      </c>
      <c r="V353" t="s">
        <v>111</v>
      </c>
      <c r="W353" t="s">
        <v>68</v>
      </c>
      <c r="X353" t="str">
        <f>_xlfn.TEXTJOIN("|", TRUE, A353:W353)</f>
        <v>ORD-2025-10352|45800|45804|4|OK|CUST-9963|Vikram Iyer|Small Business|South|Telangana|Hyderabad|Office Supplies|Storage|Pro Storage 847|First Class|6|719.44|0.25|3237.48|2118.34|1119.14|Pending|Cancelled</v>
      </c>
      <c r="Y353">
        <f>COUNTIF($X$2:$X$1000, X353)</f>
        <v>1</v>
      </c>
      <c r="Z353">
        <f>COUNTIF($A$2:$A$1000, A353)</f>
        <v>1</v>
      </c>
      <c r="AA353" t="str">
        <f>IF(Y353&gt;1, "Exact Duplicate",
  IF(Z353&gt;1, "Conflicting Duplicate - Review",
    "Unique"))</f>
        <v>Unique</v>
      </c>
      <c r="AB353" s="2">
        <f>IF(ISBLANK(R353), 0, IF(ISTEXT(R353), VALUE(SUBSTITUTE(R353, "%", ""))/100, IF(OR(R353&lt;0, R353&gt;1), "Invalid", R353)))</f>
        <v>0.25</v>
      </c>
      <c r="AC353" s="4">
        <f>IF(AB353="Invalid", "Error", P353 * Q353 * (1 - AB353))</f>
        <v>3237.4800000000005</v>
      </c>
      <c r="AD353" s="4">
        <f>IF(AC353="Error", "Error", AC353 - T353)</f>
        <v>1119.1400000000003</v>
      </c>
      <c r="AE353" s="2">
        <f>IF(AC353="Error", "Error", IF(AC353=0, 0, AD353 / AC353))</f>
        <v>0.34568244437031276</v>
      </c>
      <c r="AF353" s="7">
        <f>C353-B353</f>
        <v>4</v>
      </c>
      <c r="AG353" s="2" t="str">
        <f>TEXT(B353, "mmmm")</f>
        <v>May</v>
      </c>
      <c r="AH353" s="4">
        <f>YEAR(B353)</f>
        <v>2025</v>
      </c>
      <c r="AI353" s="2" t="str">
        <f t="shared" si="19"/>
        <v>Excluded from Sales</v>
      </c>
      <c r="AJ353">
        <f>COUNTIFS($A$2:$A$1000,A353,$B$2:$B$1000,B353,$C$2:$C$1000,C353,$D$2:$D$1000,D353,$E$2:$E$1000,E353,$F$2:$F$1000,F353)</f>
        <v>1</v>
      </c>
      <c r="AK353">
        <f>COUNTIF($A$2:$A$1000, A353)</f>
        <v>1</v>
      </c>
    </row>
    <row r="354" spans="1:37">
      <c r="A354" t="s">
        <v>1159</v>
      </c>
      <c r="B354" s="5">
        <v>45884</v>
      </c>
      <c r="C354" s="5">
        <v>45886</v>
      </c>
      <c r="D354" s="6">
        <f>IF(AND(C354&lt;&gt;"",B354&lt;&gt;""), C354-B354, "Missing Date")</f>
        <v>2</v>
      </c>
      <c r="E354" s="6" t="str">
        <f>IF(OR(B354="",C354=""), "Missing Date",
    IF(C354&lt;B354, "Invalid: Ship before Order",
      "OK"))</f>
        <v>OK</v>
      </c>
      <c r="F354" t="s">
        <v>1160</v>
      </c>
      <c r="G354" t="s">
        <v>162</v>
      </c>
      <c r="H354" t="s">
        <v>37</v>
      </c>
      <c r="I354" t="s">
        <v>38</v>
      </c>
      <c r="J354" t="s">
        <v>166</v>
      </c>
      <c r="K354" t="s">
        <v>167</v>
      </c>
      <c r="L354" t="s">
        <v>74</v>
      </c>
      <c r="M354" t="s">
        <v>80</v>
      </c>
      <c r="N354" t="s">
        <v>1161</v>
      </c>
      <c r="O354" t="s">
        <v>50</v>
      </c>
      <c r="P354">
        <v>5</v>
      </c>
      <c r="Q354">
        <v>2862.6</v>
      </c>
      <c r="R354">
        <v>0.25</v>
      </c>
      <c r="S354">
        <v>10734.75</v>
      </c>
      <c r="T354">
        <v>6475.73</v>
      </c>
      <c r="U354">
        <v>4259.0200000000004</v>
      </c>
      <c r="V354" t="s">
        <v>32</v>
      </c>
      <c r="W354" t="s">
        <v>33</v>
      </c>
      <c r="X354" t="str">
        <f>_xlfn.TEXTJOIN("|", TRUE, A354:W354)</f>
        <v>ORD-2025-10353|45884|45886|2|OK|CUST-6382|Diya Patel|Small Business|East|Assam|Guwahati|Technology|Copiers|Elite Copiers 706|First Class|5|2862.6|0.25|10734.75|6475.73|4259.02|Paid|Completed</v>
      </c>
      <c r="Y354">
        <f>COUNTIF($X$2:$X$1000, X354)</f>
        <v>1</v>
      </c>
      <c r="Z354">
        <f>COUNTIF($A$2:$A$1000, A354)</f>
        <v>1</v>
      </c>
      <c r="AA354" t="str">
        <f>IF(Y354&gt;1, "Exact Duplicate",
  IF(Z354&gt;1, "Conflicting Duplicate - Review",
    "Unique"))</f>
        <v>Unique</v>
      </c>
      <c r="AB354" s="2">
        <f>IF(ISBLANK(R354), 0, IF(ISTEXT(R354), VALUE(SUBSTITUTE(R354, "%", ""))/100, IF(OR(R354&lt;0, R354&gt;1), "Invalid", R354)))</f>
        <v>0.25</v>
      </c>
      <c r="AC354" s="4">
        <f>IF(AB354="Invalid", "Error", P354 * Q354 * (1 - AB354))</f>
        <v>10734.75</v>
      </c>
      <c r="AD354" s="4">
        <f>IF(AC354="Error", "Error", AC354 - T354)</f>
        <v>4259.0200000000004</v>
      </c>
      <c r="AE354" s="2">
        <f>IF(AC354="Error", "Error", IF(AC354=0, 0, AD354 / AC354))</f>
        <v>0.39675073942103917</v>
      </c>
      <c r="AF354" s="7">
        <f>C354-B354</f>
        <v>2</v>
      </c>
      <c r="AG354" s="2" t="str">
        <f>TEXT(B354, "mmmm")</f>
        <v>August</v>
      </c>
      <c r="AH354" s="4">
        <f>YEAR(B354)</f>
        <v>2025</v>
      </c>
      <c r="AI354" s="2" t="str">
        <f t="shared" si="19"/>
        <v>Clean</v>
      </c>
      <c r="AJ354">
        <f>COUNTIFS($A$2:$A$1000,A354,$B$2:$B$1000,B354,$C$2:$C$1000,C354,$D$2:$D$1000,D354,$E$2:$E$1000,E354,$F$2:$F$1000,F354)</f>
        <v>1</v>
      </c>
      <c r="AK354">
        <f>COUNTIF($A$2:$A$1000, A354)</f>
        <v>1</v>
      </c>
    </row>
    <row r="355" spans="1:37">
      <c r="A355" t="s">
        <v>1162</v>
      </c>
      <c r="B355" s="5">
        <v>45709</v>
      </c>
      <c r="C355" s="5">
        <v>45715</v>
      </c>
      <c r="D355" s="6">
        <f>IF(AND(C355&lt;&gt;"",B355&lt;&gt;""), C355-B355, "Missing Date")</f>
        <v>6</v>
      </c>
      <c r="E355" s="6" t="str">
        <f>IF(OR(B355="",C355=""), "Missing Date",
    IF(C355&lt;B355, "Invalid: Ship before Order",
      "OK"))</f>
        <v>OK</v>
      </c>
      <c r="F355" t="s">
        <v>1163</v>
      </c>
      <c r="G355" t="s">
        <v>62</v>
      </c>
      <c r="H355" t="s">
        <v>24</v>
      </c>
      <c r="I355" t="s">
        <v>25</v>
      </c>
      <c r="J355" t="s">
        <v>26</v>
      </c>
      <c r="K355" t="s">
        <v>27</v>
      </c>
      <c r="L355" t="s">
        <v>28</v>
      </c>
      <c r="M355" t="s">
        <v>48</v>
      </c>
      <c r="N355" t="s">
        <v>1164</v>
      </c>
      <c r="O355" t="s">
        <v>44</v>
      </c>
      <c r="P355">
        <v>9</v>
      </c>
      <c r="Q355">
        <v>1431.67</v>
      </c>
      <c r="R355">
        <v>0.2</v>
      </c>
      <c r="S355">
        <v>10308.02</v>
      </c>
      <c r="T355">
        <v>5822.31</v>
      </c>
      <c r="U355">
        <v>4485.71</v>
      </c>
      <c r="V355" t="s">
        <v>32</v>
      </c>
      <c r="W355" t="s">
        <v>33</v>
      </c>
      <c r="X355" t="str">
        <f>_xlfn.TEXTJOIN("|", TRUE, A355:W355)</f>
        <v>ORD-2025-10354|45709|45715|6|OK|CUST-3253|Ananya Rao|Consumer|North|Rajasthan|Jaipur|Office Supplies|Art|Prime Art 978|Same Day|9|1431.67|0.2|10308.02|5822.31|4485.71|Paid|Completed</v>
      </c>
      <c r="Y355">
        <f>COUNTIF($X$2:$X$1000, X355)</f>
        <v>1</v>
      </c>
      <c r="Z355">
        <f>COUNTIF($A$2:$A$1000, A355)</f>
        <v>1</v>
      </c>
      <c r="AA355" t="str">
        <f>IF(Y355&gt;1, "Exact Duplicate",
  IF(Z355&gt;1, "Conflicting Duplicate - Review",
    "Unique"))</f>
        <v>Unique</v>
      </c>
      <c r="AB355" s="2">
        <f>IF(ISBLANK(R355), 0, IF(ISTEXT(R355), VALUE(SUBSTITUTE(R355, "%", ""))/100, IF(OR(R355&lt;0, R355&gt;1), "Invalid", R355)))</f>
        <v>0.2</v>
      </c>
      <c r="AC355" s="4">
        <f>IF(AB355="Invalid", "Error", P355 * Q355 * (1 - AB355))</f>
        <v>10308.024000000001</v>
      </c>
      <c r="AD355" s="4">
        <f>IF(AC355="Error", "Error", AC355 - T355)</f>
        <v>4485.7140000000009</v>
      </c>
      <c r="AE355" s="2">
        <f>IF(AC355="Error", "Error", IF(AC355=0, 0, AD355 / AC355))</f>
        <v>0.4351672056642476</v>
      </c>
      <c r="AF355" s="7">
        <f>C355-B355</f>
        <v>6</v>
      </c>
      <c r="AG355" s="2" t="str">
        <f>TEXT(B355, "mmmm")</f>
        <v>February</v>
      </c>
      <c r="AH355" s="4">
        <f>YEAR(B355)</f>
        <v>2025</v>
      </c>
      <c r="AI355" s="2" t="str">
        <f t="shared" si="19"/>
        <v>Clean</v>
      </c>
      <c r="AJ355">
        <f>COUNTIFS($A$2:$A$1000,A355,$B$2:$B$1000,B355,$C$2:$C$1000,C355,$D$2:$D$1000,D355,$E$2:$E$1000,E355,$F$2:$F$1000,F355)</f>
        <v>1</v>
      </c>
      <c r="AK355">
        <f>COUNTIF($A$2:$A$1000, A355)</f>
        <v>1</v>
      </c>
    </row>
    <row r="356" spans="1:37">
      <c r="A356" t="s">
        <v>1165</v>
      </c>
      <c r="B356" s="5">
        <v>45653</v>
      </c>
      <c r="C356" s="5">
        <v>45657</v>
      </c>
      <c r="D356" s="6">
        <f>IF(AND(C356&lt;&gt;"",B356&lt;&gt;""), C356-B356, "Missing Date")</f>
        <v>4</v>
      </c>
      <c r="E356" s="6" t="str">
        <f>IF(OR(B356="",C356=""), "Missing Date",
    IF(C356&lt;B356, "Invalid: Ship before Order",
      "OK"))</f>
        <v>OK</v>
      </c>
      <c r="F356" t="s">
        <v>1166</v>
      </c>
      <c r="G356" t="s">
        <v>264</v>
      </c>
      <c r="H356" t="s">
        <v>90</v>
      </c>
      <c r="I356" t="s">
        <v>25</v>
      </c>
      <c r="J356" t="s">
        <v>122</v>
      </c>
      <c r="K356" t="s">
        <v>123</v>
      </c>
      <c r="L356" t="s">
        <v>41</v>
      </c>
      <c r="M356" t="s">
        <v>57</v>
      </c>
      <c r="N356" t="s">
        <v>1167</v>
      </c>
      <c r="O356" t="s">
        <v>59</v>
      </c>
      <c r="P356">
        <v>6</v>
      </c>
      <c r="Q356">
        <v>3346.78</v>
      </c>
      <c r="R356">
        <v>-0.06</v>
      </c>
      <c r="S356">
        <v>20080.68</v>
      </c>
      <c r="T356">
        <v>12908.84</v>
      </c>
      <c r="U356">
        <v>7171.84</v>
      </c>
      <c r="V356" t="s">
        <v>111</v>
      </c>
      <c r="W356" t="s">
        <v>68</v>
      </c>
      <c r="X356" t="str">
        <f>_xlfn.TEXTJOIN("|", TRUE, A356:W356)</f>
        <v>ORD-2024-10355|45653|45657|4|OK|CUST-1058|Kabir Singh|Corporate|North|Punjab|Ludhiana|Furniture|Furnishings|Classic Furnishings 498|Standard Class|6|3346.78|-0.06|20080.68|12908.84|7171.84|Pending|Cancelled</v>
      </c>
      <c r="Y356">
        <f>COUNTIF($X$2:$X$1000, X356)</f>
        <v>1</v>
      </c>
      <c r="Z356">
        <f>COUNTIF($A$2:$A$1000, A356)</f>
        <v>1</v>
      </c>
      <c r="AA356" t="str">
        <f>IF(Y356&gt;1, "Exact Duplicate",
  IF(Z356&gt;1, "Conflicting Duplicate - Review",
    "Unique"))</f>
        <v>Unique</v>
      </c>
      <c r="AB356" s="2" t="str">
        <f>IF(ISBLANK(R356), 0, IF(ISTEXT(R356), VALUE(SUBSTITUTE(R356, "%", ""))/100, IF(OR(R356&lt;0, R356&gt;1), "Invalid", R356)))</f>
        <v>Invalid</v>
      </c>
      <c r="AC356" s="4" t="str">
        <f>IF(AB356="Invalid", "Error", P356 * Q356 * (1 - AB356))</f>
        <v>Error</v>
      </c>
      <c r="AD356" s="4" t="str">
        <f>IF(AC356="Error", "Error", AC356 - T356)</f>
        <v>Error</v>
      </c>
      <c r="AE356" s="2" t="str">
        <f>IF(AC356="Error", "Error", IF(AC356=0, 0, AD356 / AC356))</f>
        <v>Error</v>
      </c>
      <c r="AF356" s="7">
        <f>C356-B356</f>
        <v>4</v>
      </c>
      <c r="AG356" s="2" t="str">
        <f>TEXT(B356, "mmmm")</f>
        <v>December</v>
      </c>
      <c r="AH356" s="4">
        <f>YEAR(B356)</f>
        <v>2024</v>
      </c>
      <c r="AI356" s="2" t="str">
        <f t="shared" si="19"/>
        <v>Invalid: Discount</v>
      </c>
      <c r="AJ356">
        <f>COUNTIFS($A$2:$A$1000,A356,$B$2:$B$1000,B356,$C$2:$C$1000,C356,$D$2:$D$1000,D356,$E$2:$E$1000,E356,$F$2:$F$1000,F356)</f>
        <v>1</v>
      </c>
      <c r="AK356">
        <f>COUNTIF($A$2:$A$1000, A356)</f>
        <v>1</v>
      </c>
    </row>
    <row r="357" spans="1:37">
      <c r="A357" t="s">
        <v>1168</v>
      </c>
      <c r="B357" s="5">
        <v>45424</v>
      </c>
      <c r="C357" s="5">
        <v>45421</v>
      </c>
      <c r="D357" s="6">
        <f>IF(AND(C357&lt;&gt;"",B357&lt;&gt;""), C357-B357, "Missing Date")</f>
        <v>-3</v>
      </c>
      <c r="E357" s="6" t="str">
        <f>IF(OR(B357="",C357=""), "Missing Date",
    IF(C357&lt;B357, "Invalid: Ship before Order",
      "OK"))</f>
        <v>Invalid: Ship before Order</v>
      </c>
      <c r="F357" t="s">
        <v>1169</v>
      </c>
      <c r="G357" t="s">
        <v>114</v>
      </c>
      <c r="H357" t="s">
        <v>90</v>
      </c>
      <c r="I357" t="s">
        <v>63</v>
      </c>
      <c r="J357" t="s">
        <v>26</v>
      </c>
      <c r="K357" t="s">
        <v>109</v>
      </c>
      <c r="L357" t="s">
        <v>41</v>
      </c>
      <c r="M357" t="s">
        <v>42</v>
      </c>
      <c r="N357" t="s">
        <v>1170</v>
      </c>
      <c r="O357" t="s">
        <v>59</v>
      </c>
      <c r="P357">
        <v>5</v>
      </c>
      <c r="Q357">
        <v>3203.48</v>
      </c>
      <c r="R357">
        <v>0</v>
      </c>
      <c r="S357">
        <v>16017.4</v>
      </c>
      <c r="T357">
        <v>9557.7999999999993</v>
      </c>
      <c r="U357">
        <v>6459.6</v>
      </c>
      <c r="V357" t="s">
        <v>111</v>
      </c>
      <c r="W357" t="s">
        <v>68</v>
      </c>
      <c r="X357" t="str">
        <f>_xlfn.TEXTJOIN("|", TRUE, A357:W357)</f>
        <v>ORD-2024-10356|45424|45421|-3|Invalid: Ship before Order|CUST-6414|Priya Menon|Corporate|West|Rajasthan|Udaipur|Furniture|Tables|Max Tables 829|Standard Class|5|3203.48|0|16017.4|9557.8|6459.6|Pending|Cancelled</v>
      </c>
      <c r="Y357">
        <f>COUNTIF($X$2:$X$1000, X357)</f>
        <v>1</v>
      </c>
      <c r="Z357">
        <f>COUNTIF($A$2:$A$1000, A357)</f>
        <v>1</v>
      </c>
      <c r="AA357" t="str">
        <f>IF(Y357&gt;1, "Exact Duplicate",
  IF(Z357&gt;1, "Conflicting Duplicate - Review",
    "Unique"))</f>
        <v>Unique</v>
      </c>
      <c r="AB357" s="2">
        <f>IF(ISBLANK(R357), 0, IF(ISTEXT(R357), VALUE(SUBSTITUTE(R357, "%", ""))/100, IF(OR(R357&lt;0, R357&gt;1), "Invalid", R357)))</f>
        <v>0</v>
      </c>
      <c r="AC357" s="4">
        <f>IF(AB357="Invalid", "Error", P357 * Q357 * (1 - AB357))</f>
        <v>16017.4</v>
      </c>
      <c r="AD357" s="4">
        <f>IF(AC357="Error", "Error", AC357 - T357)</f>
        <v>6459.6</v>
      </c>
      <c r="AE357" s="2">
        <f>IF(AC357="Error", "Error", IF(AC357=0, 0, AD357 / AC357))</f>
        <v>0.40328642601171227</v>
      </c>
      <c r="AF357" s="7">
        <f>C357-B357</f>
        <v>-3</v>
      </c>
      <c r="AG357" s="2" t="str">
        <f>TEXT(B357, "mmmm")</f>
        <v>May</v>
      </c>
      <c r="AH357" s="4">
        <f>YEAR(B357)</f>
        <v>2024</v>
      </c>
      <c r="AI357" s="2" t="str">
        <f t="shared" si="19"/>
        <v>Excluded from Sales</v>
      </c>
      <c r="AJ357">
        <f>COUNTIFS($A$2:$A$1000,A357,$B$2:$B$1000,B357,$C$2:$C$1000,C357,$D$2:$D$1000,D357,$E$2:$E$1000,E357,$F$2:$F$1000,F357)</f>
        <v>1</v>
      </c>
      <c r="AK357">
        <f>COUNTIF($A$2:$A$1000, A357)</f>
        <v>1</v>
      </c>
    </row>
    <row r="358" spans="1:37">
      <c r="A358" t="s">
        <v>1171</v>
      </c>
      <c r="B358" s="5">
        <v>45835</v>
      </c>
      <c r="C358" s="5">
        <v>45837</v>
      </c>
      <c r="D358" s="6">
        <f>IF(AND(C358&lt;&gt;"",B358&lt;&gt;""), C358-B358, "Missing Date")</f>
        <v>2</v>
      </c>
      <c r="E358" s="6" t="str">
        <f>IF(OR(B358="",C358=""), "Missing Date",
    IF(C358&lt;B358, "Invalid: Ship before Order",
      "OK"))</f>
        <v>OK</v>
      </c>
      <c r="F358" t="s">
        <v>1172</v>
      </c>
      <c r="G358" t="s">
        <v>141</v>
      </c>
      <c r="H358" t="s">
        <v>95</v>
      </c>
      <c r="I358" t="s">
        <v>54</v>
      </c>
      <c r="J358" t="s">
        <v>55</v>
      </c>
      <c r="K358" t="s">
        <v>56</v>
      </c>
      <c r="L358" t="s">
        <v>41</v>
      </c>
      <c r="M358" t="s">
        <v>66</v>
      </c>
      <c r="N358" t="s">
        <v>1173</v>
      </c>
      <c r="O358" t="s">
        <v>50</v>
      </c>
      <c r="P358">
        <v>5</v>
      </c>
      <c r="Q358">
        <v>621.70000000000005</v>
      </c>
      <c r="R358">
        <v>0.2</v>
      </c>
      <c r="S358">
        <v>2486.8000000000002</v>
      </c>
      <c r="T358">
        <v>2131.73</v>
      </c>
      <c r="U358">
        <v>355.07</v>
      </c>
      <c r="V358" t="s">
        <v>111</v>
      </c>
      <c r="W358" t="s">
        <v>103</v>
      </c>
      <c r="X358" t="str">
        <f>_xlfn.TEXTJOIN("|", TRUE, A358:W358)</f>
        <v>ORD-2025-10357|45835|45837|2|OK|CUST-9268|Rohan Mehta|Home Office|South|Telangana|Hyderabad|Furniture|Chairs|Eco Chairs 346|First Class|5|621.7|0.2|2486.8|2131.73|355.07|Pending|Returned</v>
      </c>
      <c r="Y358">
        <f>COUNTIF($X$2:$X$1000, X358)</f>
        <v>1</v>
      </c>
      <c r="Z358">
        <f>COUNTIF($A$2:$A$1000, A358)</f>
        <v>1</v>
      </c>
      <c r="AA358" t="str">
        <f>IF(Y358&gt;1, "Exact Duplicate",
  IF(Z358&gt;1, "Conflicting Duplicate - Review",
    "Unique"))</f>
        <v>Unique</v>
      </c>
      <c r="AB358" s="2">
        <f>IF(ISBLANK(R358), 0, IF(ISTEXT(R358), VALUE(SUBSTITUTE(R358, "%", ""))/100, IF(OR(R358&lt;0, R358&gt;1), "Invalid", R358)))</f>
        <v>0.2</v>
      </c>
      <c r="AC358" s="4">
        <f>IF(AB358="Invalid", "Error", P358 * Q358 * (1 - AB358))</f>
        <v>2486.8000000000002</v>
      </c>
      <c r="AD358" s="4">
        <f>IF(AC358="Error", "Error", AC358 - T358)</f>
        <v>355.07000000000016</v>
      </c>
      <c r="AE358" s="2">
        <f>IF(AC358="Error", "Error", IF(AC358=0, 0, AD358 / AC358))</f>
        <v>0.1427818883705968</v>
      </c>
      <c r="AF358" s="7">
        <f>C358-B358</f>
        <v>2</v>
      </c>
      <c r="AG358" s="2" t="str">
        <f>TEXT(B358, "mmmm")</f>
        <v>June</v>
      </c>
      <c r="AH358" s="4">
        <f>YEAR(B358)</f>
        <v>2025</v>
      </c>
      <c r="AI358" s="2" t="str">
        <f t="shared" si="19"/>
        <v>Clean</v>
      </c>
      <c r="AJ358">
        <f>COUNTIFS($A$2:$A$1000,A358,$B$2:$B$1000,B358,$C$2:$C$1000,C358,$D$2:$D$1000,D358,$E$2:$E$1000,E358,$F$2:$F$1000,F358)</f>
        <v>1</v>
      </c>
      <c r="AK358">
        <f>COUNTIF($A$2:$A$1000, A358)</f>
        <v>1</v>
      </c>
    </row>
    <row r="359" spans="1:37">
      <c r="A359" t="s">
        <v>1174</v>
      </c>
      <c r="B359" s="5">
        <v>45678</v>
      </c>
      <c r="C359" s="5">
        <v>45686</v>
      </c>
      <c r="D359" s="6">
        <f>IF(AND(C359&lt;&gt;"",B359&lt;&gt;""), C359-B359, "Missing Date")</f>
        <v>8</v>
      </c>
      <c r="E359" s="6" t="str">
        <f>IF(OR(B359="",C359=""), "Missing Date",
    IF(C359&lt;B359, "Invalid: Ship before Order",
      "OK"))</f>
        <v>OK</v>
      </c>
      <c r="F359" t="s">
        <v>1175</v>
      </c>
      <c r="G359" t="s">
        <v>36</v>
      </c>
      <c r="H359" t="s">
        <v>95</v>
      </c>
      <c r="I359" t="s">
        <v>54</v>
      </c>
      <c r="J359" t="s">
        <v>84</v>
      </c>
      <c r="K359" t="s">
        <v>85</v>
      </c>
      <c r="L359" t="s">
        <v>74</v>
      </c>
      <c r="M359" t="s">
        <v>274</v>
      </c>
      <c r="N359" t="s">
        <v>1176</v>
      </c>
      <c r="O359" t="s">
        <v>31</v>
      </c>
      <c r="P359">
        <v>8</v>
      </c>
      <c r="Q359">
        <v>546.13</v>
      </c>
      <c r="R359">
        <v>0</v>
      </c>
      <c r="S359">
        <v>4369.04</v>
      </c>
      <c r="T359">
        <v>3716.88</v>
      </c>
      <c r="U359">
        <v>652.16</v>
      </c>
      <c r="V359" t="s">
        <v>32</v>
      </c>
      <c r="W359" t="s">
        <v>68</v>
      </c>
      <c r="X359" t="str">
        <f>_xlfn.TEXTJOIN("|", TRUE, A359:W359)</f>
        <v>ORD-2025-10358|45678|45686|8|OK|CUST-1363|Mira Das|Home Office|South|Andhra Pradesh|Vijayawada|Technology|Machines|Max Machines 770|Second Class|8|546.13|0|4369.04|3716.88|652.16|Paid|Cancelled</v>
      </c>
      <c r="Y359">
        <f>COUNTIF($X$2:$X$1000, X359)</f>
        <v>1</v>
      </c>
      <c r="Z359">
        <f>COUNTIF($A$2:$A$1000, A359)</f>
        <v>1</v>
      </c>
      <c r="AA359" t="str">
        <f>IF(Y359&gt;1, "Exact Duplicate",
  IF(Z359&gt;1, "Conflicting Duplicate - Review",
    "Unique"))</f>
        <v>Unique</v>
      </c>
      <c r="AB359" s="2">
        <f>IF(ISBLANK(R359), 0, IF(ISTEXT(R359), VALUE(SUBSTITUTE(R359, "%", ""))/100, IF(OR(R359&lt;0, R359&gt;1), "Invalid", R359)))</f>
        <v>0</v>
      </c>
      <c r="AC359" s="4">
        <f>IF(AB359="Invalid", "Error", P359 * Q359 * (1 - AB359))</f>
        <v>4369.04</v>
      </c>
      <c r="AD359" s="4">
        <f>IF(AC359="Error", "Error", AC359 - T359)</f>
        <v>652.15999999999985</v>
      </c>
      <c r="AE359" s="2">
        <f>IF(AC359="Error", "Error", IF(AC359=0, 0, AD359 / AC359))</f>
        <v>0.14926848918755603</v>
      </c>
      <c r="AF359" s="7">
        <f>C359-B359</f>
        <v>8</v>
      </c>
      <c r="AG359" s="2" t="str">
        <f>TEXT(B359, "mmmm")</f>
        <v>January</v>
      </c>
      <c r="AH359" s="4">
        <f>YEAR(B359)</f>
        <v>2025</v>
      </c>
      <c r="AI359" s="2" t="str">
        <f t="shared" si="19"/>
        <v>Excluded from Sales</v>
      </c>
      <c r="AJ359">
        <f>COUNTIFS($A$2:$A$1000,A359,$B$2:$B$1000,B359,$C$2:$C$1000,C359,$D$2:$D$1000,D359,$E$2:$E$1000,E359,$F$2:$F$1000,F359)</f>
        <v>1</v>
      </c>
      <c r="AK359">
        <f>COUNTIF($A$2:$A$1000, A359)</f>
        <v>1</v>
      </c>
    </row>
    <row r="360" spans="1:37">
      <c r="A360" t="s">
        <v>1177</v>
      </c>
      <c r="B360" s="5">
        <v>45908</v>
      </c>
      <c r="C360" s="5">
        <v>45876</v>
      </c>
      <c r="D360" s="6">
        <f>IF(AND(C360&lt;&gt;"",B360&lt;&gt;""), C360-B360, "Missing Date")</f>
        <v>-32</v>
      </c>
      <c r="E360" s="6" t="str">
        <f>IF(OR(B360="",C360=""), "Missing Date",
    IF(C360&lt;B360, "Invalid: Ship before Order",
      "OK"))</f>
        <v>Invalid: Ship before Order</v>
      </c>
      <c r="F360" t="s">
        <v>1178</v>
      </c>
      <c r="G360" t="s">
        <v>71</v>
      </c>
      <c r="H360" t="s">
        <v>95</v>
      </c>
      <c r="I360" t="s">
        <v>63</v>
      </c>
      <c r="J360" t="s">
        <v>180</v>
      </c>
      <c r="K360" t="s">
        <v>181</v>
      </c>
      <c r="L360" t="s">
        <v>41</v>
      </c>
      <c r="M360" t="s">
        <v>158</v>
      </c>
      <c r="N360" t="s">
        <v>1179</v>
      </c>
      <c r="O360" t="s">
        <v>31</v>
      </c>
      <c r="P360">
        <v>5</v>
      </c>
      <c r="Q360">
        <v>1253.92</v>
      </c>
      <c r="R360">
        <v>0.05</v>
      </c>
      <c r="S360">
        <v>5956.12</v>
      </c>
      <c r="T360">
        <v>4379.18</v>
      </c>
      <c r="U360">
        <v>1576.94</v>
      </c>
      <c r="V360" t="s">
        <v>111</v>
      </c>
      <c r="W360" t="s">
        <v>103</v>
      </c>
      <c r="X360" t="str">
        <f>_xlfn.TEXTJOIN("|", TRUE, A360:W360)</f>
        <v>ORD-2025-10359|45908|45876|-32|Invalid: Ship before Order|CUST-2477|Vikram Iyer|Home Office|West|Gujarat|Ahmedabad|Furniture|Bookcases|Smart Bookcases 134|Second Class|5|1253.92|0.05|5956.12|4379.18|1576.94|Pending|Returned</v>
      </c>
      <c r="Y360">
        <f>COUNTIF($X$2:$X$1000, X360)</f>
        <v>1</v>
      </c>
      <c r="Z360">
        <f>COUNTIF($A$2:$A$1000, A360)</f>
        <v>1</v>
      </c>
      <c r="AA360" t="str">
        <f>IF(Y360&gt;1, "Exact Duplicate",
  IF(Z360&gt;1, "Conflicting Duplicate - Review",
    "Unique"))</f>
        <v>Unique</v>
      </c>
      <c r="AB360" s="2">
        <f>IF(ISBLANK(R360), 0, IF(ISTEXT(R360), VALUE(SUBSTITUTE(R360, "%", ""))/100, IF(OR(R360&lt;0, R360&gt;1), "Invalid", R360)))</f>
        <v>0.05</v>
      </c>
      <c r="AC360" s="4">
        <f>IF(AB360="Invalid", "Error", P360 * Q360 * (1 - AB360))</f>
        <v>5956.12</v>
      </c>
      <c r="AD360" s="4">
        <f>IF(AC360="Error", "Error", AC360 - T360)</f>
        <v>1576.9399999999996</v>
      </c>
      <c r="AE360" s="2">
        <f>IF(AC360="Error", "Error", IF(AC360=0, 0, AD360 / AC360))</f>
        <v>0.26475960860425907</v>
      </c>
      <c r="AF360" s="7">
        <f>C360-B360</f>
        <v>-32</v>
      </c>
      <c r="AG360" s="2" t="str">
        <f>TEXT(B360, "mmmm")</f>
        <v>September</v>
      </c>
      <c r="AH360" s="4">
        <f>YEAR(B360)</f>
        <v>2025</v>
      </c>
      <c r="AI360" s="2" t="str">
        <f t="shared" si="19"/>
        <v>Invalid Shipping Record</v>
      </c>
      <c r="AJ360">
        <f>COUNTIFS($A$2:$A$1000,A360,$B$2:$B$1000,B360,$C$2:$C$1000,C360,$D$2:$D$1000,D360,$E$2:$E$1000,E360,$F$2:$F$1000,F360)</f>
        <v>1</v>
      </c>
      <c r="AK360">
        <f>COUNTIF($A$2:$A$1000, A360)</f>
        <v>1</v>
      </c>
    </row>
    <row r="361" spans="1:37">
      <c r="A361" t="s">
        <v>1180</v>
      </c>
      <c r="B361" s="5">
        <v>45525</v>
      </c>
      <c r="C361" s="5">
        <v>45526</v>
      </c>
      <c r="D361" s="6">
        <f>IF(AND(C361&lt;&gt;"",B361&lt;&gt;""), C361-B361, "Missing Date")</f>
        <v>1</v>
      </c>
      <c r="E361" s="6" t="str">
        <f>IF(OR(B361="",C361=""), "Missing Date",
    IF(C361&lt;B361, "Invalid: Ship before Order",
      "OK"))</f>
        <v>OK</v>
      </c>
      <c r="F361" t="s">
        <v>1181</v>
      </c>
      <c r="G361" t="s">
        <v>47</v>
      </c>
      <c r="H361" t="s">
        <v>24</v>
      </c>
      <c r="I361" t="s">
        <v>54</v>
      </c>
      <c r="J361" t="s">
        <v>247</v>
      </c>
      <c r="K361" t="s">
        <v>248</v>
      </c>
      <c r="L361" t="s">
        <v>74</v>
      </c>
      <c r="M361" t="s">
        <v>171</v>
      </c>
      <c r="N361" t="s">
        <v>1182</v>
      </c>
      <c r="O361" t="s">
        <v>44</v>
      </c>
      <c r="P361">
        <v>9</v>
      </c>
      <c r="Q361">
        <v>616.96</v>
      </c>
      <c r="R361">
        <v>0.1</v>
      </c>
      <c r="S361">
        <v>4997.38</v>
      </c>
      <c r="T361">
        <v>2971.39</v>
      </c>
      <c r="U361">
        <v>2025.99</v>
      </c>
      <c r="V361" t="s">
        <v>32</v>
      </c>
      <c r="W361" t="s">
        <v>33</v>
      </c>
      <c r="X361" t="str">
        <f>_xlfn.TEXTJOIN("|", TRUE, A361:W361)</f>
        <v>ORD-2024-10360|45525|45526|1|OK|CUST-9571|Isha Nair|Consumer|South|Tamil Nadu|Chennai|Technology|Phones|Classic Phones 586|Same Day|9|616.96|0.1|4997.38|2971.39|2025.99|Paid|Completed</v>
      </c>
      <c r="Y361">
        <f>COUNTIF($X$2:$X$1000, X361)</f>
        <v>1</v>
      </c>
      <c r="Z361">
        <f>COUNTIF($A$2:$A$1000, A361)</f>
        <v>1</v>
      </c>
      <c r="AA361" t="str">
        <f>IF(Y361&gt;1, "Exact Duplicate",
  IF(Z361&gt;1, "Conflicting Duplicate - Review",
    "Unique"))</f>
        <v>Unique</v>
      </c>
      <c r="AB361" s="2">
        <f>IF(ISBLANK(R361), 0, IF(ISTEXT(R361), VALUE(SUBSTITUTE(R361, "%", ""))/100, IF(OR(R361&lt;0, R361&gt;1), "Invalid", R361)))</f>
        <v>0.1</v>
      </c>
      <c r="AC361" s="4">
        <f>IF(AB361="Invalid", "Error", P361 * Q361 * (1 - AB361))</f>
        <v>4997.3760000000002</v>
      </c>
      <c r="AD361" s="4">
        <f>IF(AC361="Error", "Error", AC361 - T361)</f>
        <v>2025.9860000000003</v>
      </c>
      <c r="AE361" s="2">
        <f>IF(AC361="Error", "Error", IF(AC361=0, 0, AD361 / AC361))</f>
        <v>0.40540995914656014</v>
      </c>
      <c r="AF361" s="7">
        <f>C361-B361</f>
        <v>1</v>
      </c>
      <c r="AG361" s="2" t="str">
        <f>TEXT(B361, "mmmm")</f>
        <v>August</v>
      </c>
      <c r="AH361" s="4">
        <f>YEAR(B361)</f>
        <v>2024</v>
      </c>
      <c r="AI361" s="2" t="str">
        <f t="shared" si="19"/>
        <v>Clean</v>
      </c>
      <c r="AJ361">
        <f>COUNTIFS($A$2:$A$1000,A361,$B$2:$B$1000,B361,$C$2:$C$1000,C361,$D$2:$D$1000,D361,$E$2:$E$1000,E361,$F$2:$F$1000,F361)</f>
        <v>1</v>
      </c>
      <c r="AK361">
        <f>COUNTIF($A$2:$A$1000, A361)</f>
        <v>1</v>
      </c>
    </row>
    <row r="362" spans="1:37">
      <c r="A362" t="s">
        <v>1183</v>
      </c>
      <c r="B362" s="5">
        <v>45460</v>
      </c>
      <c r="C362" s="5">
        <v>45463</v>
      </c>
      <c r="D362" s="6">
        <f>IF(AND(C362&lt;&gt;"",B362&lt;&gt;""), C362-B362, "Missing Date")</f>
        <v>3</v>
      </c>
      <c r="E362" s="6" t="str">
        <f>IF(OR(B362="",C362=""), "Missing Date",
    IF(C362&lt;B362, "Invalid: Ship before Order",
      "OK"))</f>
        <v>OK</v>
      </c>
      <c r="F362" t="s">
        <v>1184</v>
      </c>
      <c r="G362" t="s">
        <v>132</v>
      </c>
      <c r="H362" t="s">
        <v>37</v>
      </c>
      <c r="I362" t="s">
        <v>63</v>
      </c>
      <c r="J362" t="s">
        <v>180</v>
      </c>
      <c r="K362" t="s">
        <v>181</v>
      </c>
      <c r="L362" t="s">
        <v>41</v>
      </c>
      <c r="M362" t="s">
        <v>57</v>
      </c>
      <c r="N362" t="s">
        <v>1185</v>
      </c>
      <c r="O362" t="s">
        <v>59</v>
      </c>
      <c r="P362">
        <v>7</v>
      </c>
      <c r="Q362">
        <v>3155.25</v>
      </c>
      <c r="R362">
        <v>0.2</v>
      </c>
      <c r="S362">
        <v>17669.400000000001</v>
      </c>
      <c r="T362">
        <v>13718.77</v>
      </c>
      <c r="U362">
        <v>3950.63</v>
      </c>
      <c r="V362" t="s">
        <v>102</v>
      </c>
      <c r="W362" t="s">
        <v>68</v>
      </c>
      <c r="X362" t="str">
        <f>_xlfn.TEXTJOIN("|", TRUE, A362:W362)</f>
        <v>ORD-2024-10361|45460|45463|3|OK|CUST-3690|Sneha Kapoor|Small Business|West|Gujarat|Ahmedabad|Furniture|Furnishings|Elite Furnishings 634|Standard Class|7|3155.25|0.2|17669.4|13718.77|3950.63|Refunded|Cancelled</v>
      </c>
      <c r="Y362">
        <f>COUNTIF($X$2:$X$1000, X362)</f>
        <v>1</v>
      </c>
      <c r="Z362">
        <f>COUNTIF($A$2:$A$1000, A362)</f>
        <v>1</v>
      </c>
      <c r="AA362" t="str">
        <f>IF(Y362&gt;1, "Exact Duplicate",
  IF(Z362&gt;1, "Conflicting Duplicate - Review",
    "Unique"))</f>
        <v>Unique</v>
      </c>
      <c r="AB362" s="2">
        <f>IF(ISBLANK(R362), 0, IF(ISTEXT(R362), VALUE(SUBSTITUTE(R362, "%", ""))/100, IF(OR(R362&lt;0, R362&gt;1), "Invalid", R362)))</f>
        <v>0.2</v>
      </c>
      <c r="AC362" s="4">
        <f>IF(AB362="Invalid", "Error", P362 * Q362 * (1 - AB362))</f>
        <v>17669.400000000001</v>
      </c>
      <c r="AD362" s="4">
        <f>IF(AC362="Error", "Error", AC362 - T362)</f>
        <v>3950.630000000001</v>
      </c>
      <c r="AE362" s="2">
        <f>IF(AC362="Error", "Error", IF(AC362=0, 0, AD362 / AC362))</f>
        <v>0.2235859734908939</v>
      </c>
      <c r="AF362" s="7">
        <f>C362-B362</f>
        <v>3</v>
      </c>
      <c r="AG362" s="2" t="str">
        <f>TEXT(B362, "mmmm")</f>
        <v>June</v>
      </c>
      <c r="AH362" s="4">
        <f>YEAR(B362)</f>
        <v>2024</v>
      </c>
      <c r="AI362" s="2" t="str">
        <f t="shared" si="19"/>
        <v>Excluded from Sales</v>
      </c>
      <c r="AJ362">
        <f>COUNTIFS($A$2:$A$1000,A362,$B$2:$B$1000,B362,$C$2:$C$1000,C362,$D$2:$D$1000,D362,$E$2:$E$1000,E362,$F$2:$F$1000,F362)</f>
        <v>1</v>
      </c>
      <c r="AK362">
        <f>COUNTIF($A$2:$A$1000, A362)</f>
        <v>1</v>
      </c>
    </row>
    <row r="363" spans="1:37">
      <c r="A363" t="s">
        <v>1186</v>
      </c>
      <c r="B363" s="5">
        <v>45748</v>
      </c>
      <c r="C363" s="5">
        <v>45749</v>
      </c>
      <c r="D363" s="6">
        <f>IF(AND(C363&lt;&gt;"",B363&lt;&gt;""), C363-B363, "Missing Date")</f>
        <v>1</v>
      </c>
      <c r="E363" s="6" t="str">
        <f>IF(OR(B363="",C363=""), "Missing Date",
    IF(C363&lt;B363, "Invalid: Ship before Order",
      "OK"))</f>
        <v>OK</v>
      </c>
      <c r="F363" t="s">
        <v>1187</v>
      </c>
      <c r="G363" t="s">
        <v>141</v>
      </c>
      <c r="H363" t="s">
        <v>90</v>
      </c>
      <c r="I363" t="s">
        <v>38</v>
      </c>
      <c r="J363" t="s">
        <v>39</v>
      </c>
      <c r="K363" t="s">
        <v>40</v>
      </c>
      <c r="L363" t="s">
        <v>41</v>
      </c>
      <c r="M363" t="s">
        <v>66</v>
      </c>
      <c r="N363" t="s">
        <v>1188</v>
      </c>
      <c r="O363" t="s">
        <v>31</v>
      </c>
      <c r="P363">
        <v>9</v>
      </c>
      <c r="Q363">
        <v>4165.58</v>
      </c>
      <c r="R363">
        <v>0.05</v>
      </c>
      <c r="S363">
        <v>35615.71</v>
      </c>
      <c r="T363">
        <v>20389.71</v>
      </c>
      <c r="U363">
        <v>15226</v>
      </c>
      <c r="V363" t="s">
        <v>111</v>
      </c>
      <c r="W363" t="s">
        <v>103</v>
      </c>
      <c r="X363" t="str">
        <f>_xlfn.TEXTJOIN("|", TRUE, A363:W363)</f>
        <v>ORD-2025-10362|45748|45749|1|OK|CUST-2909|Rohan Mehta|Corporate|East|Odisha|Bhubaneswar|Furniture|Chairs|Basic Chairs 113|Second Class|9|4165.58|0.05|35615.71|20389.71|15226|Pending|Returned</v>
      </c>
      <c r="Y363">
        <f>COUNTIF($X$2:$X$1000, X363)</f>
        <v>1</v>
      </c>
      <c r="Z363">
        <f>COUNTIF($A$2:$A$1000, A363)</f>
        <v>1</v>
      </c>
      <c r="AA363" t="str">
        <f>IF(Y363&gt;1, "Exact Duplicate",
  IF(Z363&gt;1, "Conflicting Duplicate - Review",
    "Unique"))</f>
        <v>Unique</v>
      </c>
      <c r="AB363" s="2">
        <f>IF(ISBLANK(R363), 0, IF(ISTEXT(R363), VALUE(SUBSTITUTE(R363, "%", ""))/100, IF(OR(R363&lt;0, R363&gt;1), "Invalid", R363)))</f>
        <v>0.05</v>
      </c>
      <c r="AC363" s="4">
        <f>IF(AB363="Invalid", "Error", P363 * Q363 * (1 - AB363))</f>
        <v>35615.709000000003</v>
      </c>
      <c r="AD363" s="4">
        <f>IF(AC363="Error", "Error", AC363 - T363)</f>
        <v>15225.999000000003</v>
      </c>
      <c r="AE363" s="2">
        <f>IF(AC363="Error", "Error", IF(AC363=0, 0, AD363 / AC363))</f>
        <v>0.42750795723314122</v>
      </c>
      <c r="AF363" s="7">
        <f>C363-B363</f>
        <v>1</v>
      </c>
      <c r="AG363" s="2" t="str">
        <f>TEXT(B363, "mmmm")</f>
        <v>April</v>
      </c>
      <c r="AH363" s="4">
        <f>YEAR(B363)</f>
        <v>2025</v>
      </c>
      <c r="AI363" s="2" t="str">
        <f t="shared" si="19"/>
        <v>Clean</v>
      </c>
      <c r="AJ363">
        <f>COUNTIFS($A$2:$A$1000,A363,$B$2:$B$1000,B363,$C$2:$C$1000,C363,$D$2:$D$1000,D363,$E$2:$E$1000,E363,$F$2:$F$1000,F363)</f>
        <v>1</v>
      </c>
      <c r="AK363">
        <f>COUNTIF($A$2:$A$1000, A363)</f>
        <v>1</v>
      </c>
    </row>
    <row r="364" spans="1:37">
      <c r="A364" t="s">
        <v>1189</v>
      </c>
      <c r="B364" s="5">
        <v>45527</v>
      </c>
      <c r="C364" s="5">
        <v>45529</v>
      </c>
      <c r="D364" s="6">
        <f>IF(AND(C364&lt;&gt;"",B364&lt;&gt;""), C364-B364, "Missing Date")</f>
        <v>2</v>
      </c>
      <c r="E364" s="6" t="str">
        <f>IF(OR(B364="",C364=""), "Missing Date",
    IF(C364&lt;B364, "Invalid: Ship before Order",
      "OK"))</f>
        <v>OK</v>
      </c>
      <c r="F364" t="s">
        <v>1190</v>
      </c>
      <c r="G364" t="s">
        <v>71</v>
      </c>
      <c r="H364" t="s">
        <v>24</v>
      </c>
      <c r="I364" t="s">
        <v>63</v>
      </c>
      <c r="J364" t="s">
        <v>190</v>
      </c>
      <c r="K364" t="s">
        <v>191</v>
      </c>
      <c r="L364" t="s">
        <v>74</v>
      </c>
      <c r="M364" t="s">
        <v>274</v>
      </c>
      <c r="N364" t="s">
        <v>1191</v>
      </c>
      <c r="O364" t="s">
        <v>44</v>
      </c>
      <c r="P364">
        <v>4</v>
      </c>
      <c r="Q364">
        <v>491.16</v>
      </c>
      <c r="R364">
        <v>0.05</v>
      </c>
      <c r="S364">
        <v>1866.41</v>
      </c>
      <c r="T364">
        <v>1576.49</v>
      </c>
      <c r="U364">
        <v>289.92</v>
      </c>
      <c r="V364" t="s">
        <v>32</v>
      </c>
      <c r="W364" t="s">
        <v>33</v>
      </c>
      <c r="X364" t="str">
        <f>_xlfn.TEXTJOIN("|", TRUE, A364:W364)</f>
        <v>ORD-2024-10363|45527|45529|2|OK|CUST-6755|Vikram Iyer|Consumer|West|Goa|Panaji|Technology|Machines|Elite Machines 216|Same Day|4|491.16|0.05|1866.41|1576.49|289.92|Paid|Completed</v>
      </c>
      <c r="Y364">
        <f>COUNTIF($X$2:$X$1000, X364)</f>
        <v>1</v>
      </c>
      <c r="Z364">
        <f>COUNTIF($A$2:$A$1000, A364)</f>
        <v>1</v>
      </c>
      <c r="AA364" t="str">
        <f>IF(Y364&gt;1, "Exact Duplicate",
  IF(Z364&gt;1, "Conflicting Duplicate - Review",
    "Unique"))</f>
        <v>Unique</v>
      </c>
      <c r="AB364" s="2">
        <f>IF(ISBLANK(R364), 0, IF(ISTEXT(R364), VALUE(SUBSTITUTE(R364, "%", ""))/100, IF(OR(R364&lt;0, R364&gt;1), "Invalid", R364)))</f>
        <v>0.05</v>
      </c>
      <c r="AC364" s="4">
        <f>IF(AB364="Invalid", "Error", P364 * Q364 * (1 - AB364))</f>
        <v>1866.4079999999999</v>
      </c>
      <c r="AD364" s="4">
        <f>IF(AC364="Error", "Error", AC364 - T364)</f>
        <v>289.91799999999989</v>
      </c>
      <c r="AE364" s="2">
        <f>IF(AC364="Error", "Error", IF(AC364=0, 0, AD364 / AC364))</f>
        <v>0.15533473924243782</v>
      </c>
      <c r="AF364" s="7">
        <f>C364-B364</f>
        <v>2</v>
      </c>
      <c r="AG364" s="2" t="str">
        <f>TEXT(B364, "mmmm")</f>
        <v>August</v>
      </c>
      <c r="AH364" s="4">
        <f>YEAR(B364)</f>
        <v>2024</v>
      </c>
      <c r="AI364" s="2" t="str">
        <f t="shared" si="19"/>
        <v>Clean</v>
      </c>
      <c r="AJ364">
        <f>COUNTIFS($A$2:$A$1000,A364,$B$2:$B$1000,B364,$C$2:$C$1000,C364,$D$2:$D$1000,D364,$E$2:$E$1000,E364,$F$2:$F$1000,F364)</f>
        <v>1</v>
      </c>
      <c r="AK364">
        <f>COUNTIF($A$2:$A$1000, A364)</f>
        <v>1</v>
      </c>
    </row>
    <row r="365" spans="1:37">
      <c r="A365" t="s">
        <v>1192</v>
      </c>
      <c r="B365" s="5">
        <v>45845</v>
      </c>
      <c r="C365" s="5">
        <v>45998</v>
      </c>
      <c r="D365" s="6">
        <f>IF(AND(C365&lt;&gt;"",B365&lt;&gt;""), C365-B365, "Missing Date")</f>
        <v>153</v>
      </c>
      <c r="E365" s="6" t="str">
        <f>IF(OR(B365="",C365=""), "Missing Date",
    IF(C365&lt;B365, "Invalid: Ship before Order",
      "OK"))</f>
        <v>OK</v>
      </c>
      <c r="F365" t="s">
        <v>1193</v>
      </c>
      <c r="G365" t="s">
        <v>162</v>
      </c>
      <c r="H365" t="s">
        <v>90</v>
      </c>
      <c r="I365" t="s">
        <v>38</v>
      </c>
      <c r="J365" t="s">
        <v>99</v>
      </c>
      <c r="K365" t="s">
        <v>100</v>
      </c>
      <c r="L365" t="s">
        <v>41</v>
      </c>
      <c r="M365" t="s">
        <v>42</v>
      </c>
      <c r="N365" t="s">
        <v>1194</v>
      </c>
      <c r="O365" t="s">
        <v>31</v>
      </c>
      <c r="P365">
        <v>5</v>
      </c>
      <c r="Q365">
        <v>1831.37</v>
      </c>
      <c r="R365">
        <v>0.25</v>
      </c>
      <c r="S365">
        <v>6867.64</v>
      </c>
      <c r="T365">
        <v>5205.3599999999997</v>
      </c>
      <c r="U365">
        <v>1662.28</v>
      </c>
      <c r="V365" t="s">
        <v>32</v>
      </c>
      <c r="W365" t="s">
        <v>33</v>
      </c>
      <c r="X365" t="str">
        <f>_xlfn.TEXTJOIN("|", TRUE, A365:W365)</f>
        <v>ORD-2025-10364|45845|45998|153|OK|CUST-1832|Diya Patel|Corporate|East|West Bengal|Kolkata|Furniture|Tables|Smart Tables 943|Second Class|5|1831.37|0.25|6867.64|5205.36|1662.28|Paid|Completed</v>
      </c>
      <c r="Y365">
        <f>COUNTIF($X$2:$X$1000, X365)</f>
        <v>1</v>
      </c>
      <c r="Z365">
        <f>COUNTIF($A$2:$A$1000, A365)</f>
        <v>1</v>
      </c>
      <c r="AA365" t="str">
        <f>IF(Y365&gt;1, "Exact Duplicate",
  IF(Z365&gt;1, "Conflicting Duplicate - Review",
    "Unique"))</f>
        <v>Unique</v>
      </c>
      <c r="AB365" s="2">
        <f>IF(ISBLANK(R365), 0, IF(ISTEXT(R365), VALUE(SUBSTITUTE(R365, "%", ""))/100, IF(OR(R365&lt;0, R365&gt;1), "Invalid", R365)))</f>
        <v>0.25</v>
      </c>
      <c r="AC365" s="4">
        <f>IF(AB365="Invalid", "Error", P365 * Q365 * (1 - AB365))</f>
        <v>6867.6374999999989</v>
      </c>
      <c r="AD365" s="4">
        <f>IF(AC365="Error", "Error", AC365 - T365)</f>
        <v>1662.2774999999992</v>
      </c>
      <c r="AE365" s="2">
        <f>IF(AC365="Error", "Error", IF(AC365=0, 0, AD365 / AC365))</f>
        <v>0.24204502640100028</v>
      </c>
      <c r="AF365" s="7">
        <f>C365-B365</f>
        <v>153</v>
      </c>
      <c r="AG365" s="2" t="str">
        <f>TEXT(B365, "mmmm")</f>
        <v>July</v>
      </c>
      <c r="AH365" s="4">
        <f>YEAR(B365)</f>
        <v>2025</v>
      </c>
      <c r="AI365" s="2" t="str">
        <f t="shared" si="19"/>
        <v>Clean</v>
      </c>
      <c r="AJ365">
        <f>COUNTIFS($A$2:$A$1000,A365,$B$2:$B$1000,B365,$C$2:$C$1000,C365,$D$2:$D$1000,D365,$E$2:$E$1000,E365,$F$2:$F$1000,F365)</f>
        <v>1</v>
      </c>
      <c r="AK365">
        <f>COUNTIF($A$2:$A$1000, A365)</f>
        <v>1</v>
      </c>
    </row>
    <row r="366" spans="1:37">
      <c r="A366" t="s">
        <v>1195</v>
      </c>
      <c r="B366" s="5">
        <v>45737</v>
      </c>
      <c r="C366" s="5">
        <v>45740</v>
      </c>
      <c r="D366" s="6">
        <f>IF(AND(C366&lt;&gt;"",B366&lt;&gt;""), C366-B366, "Missing Date")</f>
        <v>3</v>
      </c>
      <c r="E366" s="6" t="str">
        <f>IF(OR(B366="",C366=""), "Missing Date",
    IF(C366&lt;B366, "Invalid: Ship before Order",
      "OK"))</f>
        <v>OK</v>
      </c>
      <c r="F366" t="s">
        <v>1196</v>
      </c>
      <c r="G366" t="s">
        <v>128</v>
      </c>
      <c r="H366" t="s">
        <v>37</v>
      </c>
      <c r="I366" t="s">
        <v>54</v>
      </c>
      <c r="J366" t="s">
        <v>84</v>
      </c>
      <c r="K366" t="s">
        <v>85</v>
      </c>
      <c r="L366" t="s">
        <v>41</v>
      </c>
      <c r="M366" t="s">
        <v>66</v>
      </c>
      <c r="N366" t="s">
        <v>1197</v>
      </c>
      <c r="O366" t="s">
        <v>31</v>
      </c>
      <c r="P366">
        <v>5</v>
      </c>
      <c r="Q366">
        <v>1239.1500000000001</v>
      </c>
      <c r="R366">
        <v>0</v>
      </c>
      <c r="S366">
        <v>6195.75</v>
      </c>
      <c r="T366">
        <v>3967.02</v>
      </c>
      <c r="U366">
        <v>2228.73</v>
      </c>
      <c r="V366" t="s">
        <v>32</v>
      </c>
      <c r="W366" t="s">
        <v>33</v>
      </c>
      <c r="X366" t="str">
        <f>_xlfn.TEXTJOIN("|", TRUE, A366:W366)</f>
        <v>ORD-2025-10365|45737|45740|3|OK|CUST-4452|Aarav Sharma|Small Business|South|Andhra Pradesh|Vijayawada|Furniture|Chairs|Prime Chairs 101|Second Class|5|1239.15|0|6195.75|3967.02|2228.73|Paid|Completed</v>
      </c>
      <c r="Y366">
        <f>COUNTIF($X$2:$X$1000, X366)</f>
        <v>1</v>
      </c>
      <c r="Z366">
        <f>COUNTIF($A$2:$A$1000, A366)</f>
        <v>1</v>
      </c>
      <c r="AA366" t="str">
        <f>IF(Y366&gt;1, "Exact Duplicate",
  IF(Z366&gt;1, "Conflicting Duplicate - Review",
    "Unique"))</f>
        <v>Unique</v>
      </c>
      <c r="AB366" s="2">
        <f>IF(ISBLANK(R366), 0, IF(ISTEXT(R366), VALUE(SUBSTITUTE(R366, "%", ""))/100, IF(OR(R366&lt;0, R366&gt;1), "Invalid", R366)))</f>
        <v>0</v>
      </c>
      <c r="AC366" s="4">
        <f>IF(AB366="Invalid", "Error", P366 * Q366 * (1 - AB366))</f>
        <v>6195.75</v>
      </c>
      <c r="AD366" s="4">
        <f>IF(AC366="Error", "Error", AC366 - T366)</f>
        <v>2228.73</v>
      </c>
      <c r="AE366" s="2">
        <f>IF(AC366="Error", "Error", IF(AC366=0, 0, AD366 / AC366))</f>
        <v>0.35971916232901585</v>
      </c>
      <c r="AF366" s="7">
        <f>C366-B366</f>
        <v>3</v>
      </c>
      <c r="AG366" s="2" t="str">
        <f>TEXT(B366, "mmmm")</f>
        <v>March</v>
      </c>
      <c r="AH366" s="4">
        <f>YEAR(B366)</f>
        <v>2025</v>
      </c>
      <c r="AI366" s="2" t="str">
        <f t="shared" si="19"/>
        <v>Clean</v>
      </c>
      <c r="AJ366">
        <f>COUNTIFS($A$2:$A$1000,A366,$B$2:$B$1000,B366,$C$2:$C$1000,C366,$D$2:$D$1000,D366,$E$2:$E$1000,E366,$F$2:$F$1000,F366)</f>
        <v>1</v>
      </c>
      <c r="AK366">
        <f>COUNTIF($A$2:$A$1000, A366)</f>
        <v>1</v>
      </c>
    </row>
    <row r="367" spans="1:37">
      <c r="A367" t="s">
        <v>1198</v>
      </c>
      <c r="B367" s="5">
        <v>45458</v>
      </c>
      <c r="C367" s="5">
        <v>45464</v>
      </c>
      <c r="D367" s="6">
        <f>IF(AND(C367&lt;&gt;"",B367&lt;&gt;""), C367-B367, "Missing Date")</f>
        <v>6</v>
      </c>
      <c r="E367" s="6" t="str">
        <f>IF(OR(B367="",C367=""), "Missing Date",
    IF(C367&lt;B367, "Invalid: Ship before Order",
      "OK"))</f>
        <v>OK</v>
      </c>
      <c r="F367" t="s">
        <v>1199</v>
      </c>
      <c r="G367" t="s">
        <v>89</v>
      </c>
      <c r="H367" t="s">
        <v>90</v>
      </c>
      <c r="I367" t="s">
        <v>63</v>
      </c>
      <c r="J367" t="s">
        <v>190</v>
      </c>
      <c r="K367" t="s">
        <v>191</v>
      </c>
      <c r="L367" t="s">
        <v>74</v>
      </c>
      <c r="M367" t="s">
        <v>75</v>
      </c>
      <c r="N367" t="s">
        <v>1200</v>
      </c>
      <c r="O367" t="s">
        <v>50</v>
      </c>
      <c r="P367">
        <v>8</v>
      </c>
      <c r="Q367">
        <v>1706.4</v>
      </c>
      <c r="S367">
        <v>12968.64</v>
      </c>
      <c r="T367">
        <v>10119.61</v>
      </c>
      <c r="U367">
        <v>2849.03</v>
      </c>
      <c r="V367" t="s">
        <v>32</v>
      </c>
      <c r="W367" t="s">
        <v>33</v>
      </c>
      <c r="X367" t="str">
        <f>_xlfn.TEXTJOIN("|", TRUE, A367:W367)</f>
        <v>ORD-2024-10366|45458|45464|6|OK|CUST-2203|Aditi Sen|Corporate|West|Goa|Panaji|Technology|Accessories|Basic Accessories 774|First Class|8|1706.4|12968.64|10119.61|2849.03|Paid|Completed</v>
      </c>
      <c r="Y367">
        <f>COUNTIF($X$2:$X$1000, X367)</f>
        <v>1</v>
      </c>
      <c r="Z367">
        <f>COUNTIF($A$2:$A$1000, A367)</f>
        <v>1</v>
      </c>
      <c r="AA367" t="str">
        <f>IF(Y367&gt;1, "Exact Duplicate",
  IF(Z367&gt;1, "Conflicting Duplicate - Review",
    "Unique"))</f>
        <v>Unique</v>
      </c>
      <c r="AB367" s="2">
        <f>IF(ISBLANK(R367), 0, IF(ISTEXT(R367), VALUE(SUBSTITUTE(R367, "%", ""))/100, IF(OR(R367&lt;0, R367&gt;1), "Invalid", R367)))</f>
        <v>0</v>
      </c>
      <c r="AC367" s="4">
        <f>IF(AB367="Invalid", "Error", P367 * Q367 * (1 - AB367))</f>
        <v>13651.2</v>
      </c>
      <c r="AD367" s="4">
        <f>IF(AC367="Error", "Error", AC367 - T367)</f>
        <v>3531.59</v>
      </c>
      <c r="AE367" s="2">
        <f>IF(AC367="Error", "Error", IF(AC367=0, 0, AD367 / AC367))</f>
        <v>0.2587017991092358</v>
      </c>
      <c r="AF367" s="7">
        <f>C367-B367</f>
        <v>6</v>
      </c>
      <c r="AG367" s="2" t="str">
        <f>TEXT(B367, "mmmm")</f>
        <v>June</v>
      </c>
      <c r="AH367" s="4">
        <f>YEAR(B367)</f>
        <v>2024</v>
      </c>
      <c r="AI367" s="2" t="str">
        <f t="shared" si="19"/>
        <v>Clean</v>
      </c>
      <c r="AJ367">
        <f>COUNTIFS($A$2:$A$1000,A367,$B$2:$B$1000,B367,$C$2:$C$1000,C367,$D$2:$D$1000,D367,$E$2:$E$1000,E367,$F$2:$F$1000,F367)</f>
        <v>1</v>
      </c>
      <c r="AK367">
        <f>COUNTIF($A$2:$A$1000, A367)</f>
        <v>1</v>
      </c>
    </row>
    <row r="368" spans="1:37">
      <c r="A368" t="s">
        <v>1201</v>
      </c>
      <c r="B368" s="5">
        <v>45673</v>
      </c>
      <c r="C368" s="5">
        <v>45679</v>
      </c>
      <c r="D368" s="6">
        <f>IF(AND(C368&lt;&gt;"",B368&lt;&gt;""), C368-B368, "Missing Date")</f>
        <v>6</v>
      </c>
      <c r="E368" s="6" t="str">
        <f>IF(OR(B368="",C368=""), "Missing Date",
    IF(C368&lt;B368, "Invalid: Ship before Order",
      "OK"))</f>
        <v>OK</v>
      </c>
      <c r="F368" t="s">
        <v>1202</v>
      </c>
      <c r="G368" t="s">
        <v>132</v>
      </c>
      <c r="H368" t="s">
        <v>90</v>
      </c>
      <c r="I368" t="s">
        <v>25</v>
      </c>
      <c r="J368" t="s">
        <v>26</v>
      </c>
      <c r="K368" t="s">
        <v>27</v>
      </c>
      <c r="L368" t="s">
        <v>41</v>
      </c>
      <c r="M368" t="s">
        <v>42</v>
      </c>
      <c r="N368" t="s">
        <v>1203</v>
      </c>
      <c r="O368" t="s">
        <v>44</v>
      </c>
      <c r="P368">
        <v>2</v>
      </c>
      <c r="Q368">
        <v>4418.28</v>
      </c>
      <c r="R368">
        <v>0</v>
      </c>
      <c r="S368">
        <v>8836.56</v>
      </c>
      <c r="T368">
        <v>5867.75</v>
      </c>
      <c r="U368">
        <v>2968.81</v>
      </c>
      <c r="V368" t="s">
        <v>32</v>
      </c>
      <c r="W368" t="s">
        <v>33</v>
      </c>
      <c r="X368" t="str">
        <f>_xlfn.TEXTJOIN("|", TRUE, A368:W368)</f>
        <v>ORD-2025-10367|45673|45679|6|OK|CUST-5397|Sneha Kapoor|Corporate|North|Rajasthan|Jaipur|Furniture|Tables|Max Tables 478|Same Day|2|4418.28|0|8836.56|5867.75|2968.81|Paid|Completed</v>
      </c>
      <c r="Y368">
        <f>COUNTIF($X$2:$X$1000, X368)</f>
        <v>1</v>
      </c>
      <c r="Z368">
        <f>COUNTIF($A$2:$A$1000, A368)</f>
        <v>1</v>
      </c>
      <c r="AA368" t="str">
        <f>IF(Y368&gt;1, "Exact Duplicate",
  IF(Z368&gt;1, "Conflicting Duplicate - Review",
    "Unique"))</f>
        <v>Unique</v>
      </c>
      <c r="AB368" s="2">
        <f>IF(ISBLANK(R368), 0, IF(ISTEXT(R368), VALUE(SUBSTITUTE(R368, "%", ""))/100, IF(OR(R368&lt;0, R368&gt;1), "Invalid", R368)))</f>
        <v>0</v>
      </c>
      <c r="AC368" s="4">
        <f>IF(AB368="Invalid", "Error", P368 * Q368 * (1 - AB368))</f>
        <v>8836.56</v>
      </c>
      <c r="AD368" s="4">
        <f>IF(AC368="Error", "Error", AC368 - T368)</f>
        <v>2968.8099999999995</v>
      </c>
      <c r="AE368" s="2">
        <f>IF(AC368="Error", "Error", IF(AC368=0, 0, AD368 / AC368))</f>
        <v>0.33596897435201023</v>
      </c>
      <c r="AF368" s="7">
        <f>C368-B368</f>
        <v>6</v>
      </c>
      <c r="AG368" s="2" t="str">
        <f>TEXT(B368, "mmmm")</f>
        <v>January</v>
      </c>
      <c r="AH368" s="4">
        <f>YEAR(B368)</f>
        <v>2025</v>
      </c>
      <c r="AI368" s="2" t="str">
        <f t="shared" si="19"/>
        <v>Clean</v>
      </c>
      <c r="AJ368">
        <f>COUNTIFS($A$2:$A$1000,A368,$B$2:$B$1000,B368,$C$2:$C$1000,C368,$D$2:$D$1000,D368,$E$2:$E$1000,E368,$F$2:$F$1000,F368)</f>
        <v>1</v>
      </c>
      <c r="AK368">
        <f>COUNTIF($A$2:$A$1000, A368)</f>
        <v>1</v>
      </c>
    </row>
    <row r="369" spans="1:37">
      <c r="A369" t="s">
        <v>1204</v>
      </c>
      <c r="B369" s="5">
        <v>45366</v>
      </c>
      <c r="C369" s="5">
        <v>45367</v>
      </c>
      <c r="D369" s="6">
        <f>IF(AND(C369&lt;&gt;"",B369&lt;&gt;""), C369-B369, "Missing Date")</f>
        <v>1</v>
      </c>
      <c r="E369" s="6" t="str">
        <f>IF(OR(B369="",C369=""), "Missing Date",
    IF(C369&lt;B369, "Invalid: Ship before Order",
      "OK"))</f>
        <v>OK</v>
      </c>
      <c r="F369" t="s">
        <v>1205</v>
      </c>
      <c r="G369" t="s">
        <v>141</v>
      </c>
      <c r="H369" t="s">
        <v>24</v>
      </c>
      <c r="I369" t="s">
        <v>25</v>
      </c>
      <c r="J369" t="s">
        <v>350</v>
      </c>
      <c r="K369" t="s">
        <v>351</v>
      </c>
      <c r="L369" t="s">
        <v>28</v>
      </c>
      <c r="M369" t="s">
        <v>48</v>
      </c>
      <c r="N369" t="s">
        <v>1206</v>
      </c>
      <c r="O369" t="s">
        <v>59</v>
      </c>
      <c r="P369">
        <v>6</v>
      </c>
      <c r="Q369">
        <v>3815.09</v>
      </c>
      <c r="R369">
        <v>0.15</v>
      </c>
      <c r="S369">
        <v>19456.96</v>
      </c>
      <c r="T369">
        <v>14520.06</v>
      </c>
      <c r="U369">
        <v>4936.8999999999996</v>
      </c>
      <c r="V369" t="s">
        <v>155</v>
      </c>
      <c r="W369" t="s">
        <v>68</v>
      </c>
      <c r="X369" t="str">
        <f>_xlfn.TEXTJOIN("|", TRUE, A369:W369)</f>
        <v>ORD-2024-10368|45366|45367|1|OK|CUST-4696|Rohan Mehta|Consumer|North|Delhi|New Delhi|Office Supplies|Art|Eco Art 646|Standard Class|6|3815.09|0.15|19456.96|14520.06|4936.9|Failed|Cancelled</v>
      </c>
      <c r="Y369">
        <f>COUNTIF($X$2:$X$1000, X369)</f>
        <v>1</v>
      </c>
      <c r="Z369">
        <f>COUNTIF($A$2:$A$1000, A369)</f>
        <v>1</v>
      </c>
      <c r="AA369" t="str">
        <f>IF(Y369&gt;1, "Exact Duplicate",
  IF(Z369&gt;1, "Conflicting Duplicate - Review",
    "Unique"))</f>
        <v>Unique</v>
      </c>
      <c r="AB369" s="2">
        <f>IF(ISBLANK(R369), 0, IF(ISTEXT(R369), VALUE(SUBSTITUTE(R369, "%", ""))/100, IF(OR(R369&lt;0, R369&gt;1), "Invalid", R369)))</f>
        <v>0.15</v>
      </c>
      <c r="AC369" s="4">
        <f>IF(AB369="Invalid", "Error", P369 * Q369 * (1 - AB369))</f>
        <v>19456.958999999999</v>
      </c>
      <c r="AD369" s="4">
        <f>IF(AC369="Error", "Error", AC369 - T369)</f>
        <v>4936.8989999999994</v>
      </c>
      <c r="AE369" s="2">
        <f>IF(AC369="Error", "Error", IF(AC369=0, 0, AD369 / AC369))</f>
        <v>0.25373435797443988</v>
      </c>
      <c r="AF369" s="7">
        <f>C369-B369</f>
        <v>1</v>
      </c>
      <c r="AG369" s="2" t="str">
        <f>TEXT(B369, "mmmm")</f>
        <v>March</v>
      </c>
      <c r="AH369" s="4">
        <f>YEAR(B369)</f>
        <v>2024</v>
      </c>
      <c r="AI369" s="2" t="str">
        <f t="shared" si="19"/>
        <v>Excluded from Sales</v>
      </c>
      <c r="AJ369">
        <f>COUNTIFS($A$2:$A$1000,A369,$B$2:$B$1000,B369,$C$2:$C$1000,C369,$D$2:$D$1000,D369,$E$2:$E$1000,E369,$F$2:$F$1000,F369)</f>
        <v>1</v>
      </c>
      <c r="AK369">
        <f>COUNTIF($A$2:$A$1000, A369)</f>
        <v>1</v>
      </c>
    </row>
    <row r="370" spans="1:37">
      <c r="A370" t="s">
        <v>1207</v>
      </c>
      <c r="B370" s="5">
        <v>45844</v>
      </c>
      <c r="C370" s="5">
        <v>45844</v>
      </c>
      <c r="D370" s="6">
        <f>IF(AND(C370&lt;&gt;"",B370&lt;&gt;""), C370-B370, "Missing Date")</f>
        <v>0</v>
      </c>
      <c r="E370" s="6" t="str">
        <f>IF(OR(B370="",C370=""), "Missing Date",
    IF(C370&lt;B370, "Invalid: Ship before Order",
      "OK"))</f>
        <v>OK</v>
      </c>
      <c r="F370" t="s">
        <v>1208</v>
      </c>
      <c r="G370" t="s">
        <v>128</v>
      </c>
      <c r="H370" t="s">
        <v>95</v>
      </c>
      <c r="I370" t="s">
        <v>25</v>
      </c>
      <c r="J370" t="s">
        <v>26</v>
      </c>
      <c r="K370" t="s">
        <v>27</v>
      </c>
      <c r="L370" t="s">
        <v>74</v>
      </c>
      <c r="M370" t="s">
        <v>75</v>
      </c>
      <c r="N370" t="s">
        <v>1209</v>
      </c>
      <c r="O370" t="s">
        <v>44</v>
      </c>
      <c r="P370">
        <v>9</v>
      </c>
      <c r="Q370">
        <v>243.19</v>
      </c>
      <c r="R370">
        <v>0.05</v>
      </c>
      <c r="S370">
        <v>2079.27</v>
      </c>
      <c r="T370">
        <v>1512.17</v>
      </c>
      <c r="U370">
        <v>567.1</v>
      </c>
      <c r="V370" t="s">
        <v>102</v>
      </c>
      <c r="W370" t="s">
        <v>103</v>
      </c>
      <c r="X370" t="str">
        <f>_xlfn.TEXTJOIN("|", TRUE, A370:W370)</f>
        <v>ORD-2025-10369|45844|45844|0|OK|CUST-8246|Aarav Sharma|Home Office|North|Rajasthan|Jaipur|Technology|Accessories|Prime Accessories 962|Same Day|9|243.19|0.05|2079.27|1512.17|567.1|Refunded|Returned</v>
      </c>
      <c r="Y370">
        <f>COUNTIF($X$2:$X$1000, X370)</f>
        <v>1</v>
      </c>
      <c r="Z370">
        <f>COUNTIF($A$2:$A$1000, A370)</f>
        <v>1</v>
      </c>
      <c r="AA370" t="str">
        <f>IF(Y370&gt;1, "Exact Duplicate",
  IF(Z370&gt;1, "Conflicting Duplicate - Review",
    "Unique"))</f>
        <v>Unique</v>
      </c>
      <c r="AB370" s="2">
        <f>IF(ISBLANK(R370), 0, IF(ISTEXT(R370), VALUE(SUBSTITUTE(R370, "%", ""))/100, IF(OR(R370&lt;0, R370&gt;1), "Invalid", R370)))</f>
        <v>0.05</v>
      </c>
      <c r="AC370" s="4">
        <f>IF(AB370="Invalid", "Error", P370 * Q370 * (1 - AB370))</f>
        <v>2079.2745</v>
      </c>
      <c r="AD370" s="4">
        <f>IF(AC370="Error", "Error", AC370 - T370)</f>
        <v>567.10449999999992</v>
      </c>
      <c r="AE370" s="2">
        <f>IF(AC370="Error", "Error", IF(AC370=0, 0, AD370 / AC370))</f>
        <v>0.27274152595051782</v>
      </c>
      <c r="AF370" s="7">
        <f>C370-B370</f>
        <v>0</v>
      </c>
      <c r="AG370" s="2" t="str">
        <f>TEXT(B370, "mmmm")</f>
        <v>July</v>
      </c>
      <c r="AH370" s="4">
        <f>YEAR(B370)</f>
        <v>2025</v>
      </c>
      <c r="AI370" s="2" t="str">
        <f t="shared" si="19"/>
        <v>Clean</v>
      </c>
      <c r="AJ370">
        <f>COUNTIFS($A$2:$A$1000,A370,$B$2:$B$1000,B370,$C$2:$C$1000,C370,$D$2:$D$1000,D370,$E$2:$E$1000,E370,$F$2:$F$1000,F370)</f>
        <v>1</v>
      </c>
      <c r="AK370">
        <f>COUNTIF($A$2:$A$1000, A370)</f>
        <v>1</v>
      </c>
    </row>
    <row r="371" spans="1:37">
      <c r="A371" t="s">
        <v>1210</v>
      </c>
      <c r="B371" s="5">
        <v>45680</v>
      </c>
      <c r="C371" s="5">
        <v>45687</v>
      </c>
      <c r="D371" s="6">
        <f>IF(AND(C371&lt;&gt;"",B371&lt;&gt;""), C371-B371, "Missing Date")</f>
        <v>7</v>
      </c>
      <c r="E371" s="6" t="str">
        <f>IF(OR(B371="",C371=""), "Missing Date",
    IF(C371&lt;B371, "Invalid: Ship before Order",
      "OK"))</f>
        <v>OK</v>
      </c>
      <c r="F371" t="s">
        <v>1211</v>
      </c>
      <c r="G371" t="s">
        <v>114</v>
      </c>
      <c r="H371" t="s">
        <v>24</v>
      </c>
      <c r="I371" t="s">
        <v>25</v>
      </c>
      <c r="J371" t="s">
        <v>350</v>
      </c>
      <c r="K371" t="s">
        <v>351</v>
      </c>
      <c r="L371" t="s">
        <v>28</v>
      </c>
      <c r="M371" t="s">
        <v>91</v>
      </c>
      <c r="N371" t="s">
        <v>1212</v>
      </c>
      <c r="O371" t="s">
        <v>59</v>
      </c>
      <c r="P371">
        <v>9</v>
      </c>
      <c r="Q371">
        <v>1169.3699999999999</v>
      </c>
      <c r="R371">
        <v>0.15</v>
      </c>
      <c r="S371">
        <v>8945.68</v>
      </c>
      <c r="T371">
        <v>6740.35</v>
      </c>
      <c r="U371">
        <v>2205.33</v>
      </c>
      <c r="V371" t="s">
        <v>32</v>
      </c>
      <c r="W371" t="s">
        <v>33</v>
      </c>
      <c r="X371" t="str">
        <f>_xlfn.TEXTJOIN("|", TRUE, A371:W371)</f>
        <v>ORD-2025-10370|45680|45687|7|OK|CUST-5672|Priya Menon|Consumer|North|Delhi|New Delhi|Office Supplies|Labels|Eco Labels 646|Standard Class|9|1169.37|0.15|8945.68|6740.35|2205.33|Paid|Completed</v>
      </c>
      <c r="Y371">
        <f>COUNTIF($X$2:$X$1000, X371)</f>
        <v>1</v>
      </c>
      <c r="Z371">
        <f>COUNTIF($A$2:$A$1000, A371)</f>
        <v>1</v>
      </c>
      <c r="AA371" t="str">
        <f>IF(Y371&gt;1, "Exact Duplicate",
  IF(Z371&gt;1, "Conflicting Duplicate - Review",
    "Unique"))</f>
        <v>Unique</v>
      </c>
      <c r="AB371" s="2">
        <f>IF(ISBLANK(R371), 0, IF(ISTEXT(R371), VALUE(SUBSTITUTE(R371, "%", ""))/100, IF(OR(R371&lt;0, R371&gt;1), "Invalid", R371)))</f>
        <v>0.15</v>
      </c>
      <c r="AC371" s="4">
        <f>IF(AB371="Invalid", "Error", P371 * Q371 * (1 - AB371))</f>
        <v>8945.6804999999986</v>
      </c>
      <c r="AD371" s="4">
        <f>IF(AC371="Error", "Error", AC371 - T371)</f>
        <v>2205.3304999999982</v>
      </c>
      <c r="AE371" s="2">
        <f>IF(AC371="Error", "Error", IF(AC371=0, 0, AD371 / AC371))</f>
        <v>0.24652462157574245</v>
      </c>
      <c r="AF371" s="7">
        <f>C371-B371</f>
        <v>7</v>
      </c>
      <c r="AG371" s="2" t="str">
        <f>TEXT(B371, "mmmm")</f>
        <v>January</v>
      </c>
      <c r="AH371" s="4">
        <f>YEAR(B371)</f>
        <v>2025</v>
      </c>
      <c r="AI371" s="2" t="str">
        <f t="shared" si="19"/>
        <v>Clean</v>
      </c>
      <c r="AJ371">
        <f>COUNTIFS($A$2:$A$1000,A371,$B$2:$B$1000,B371,$C$2:$C$1000,C371,$D$2:$D$1000,D371,$E$2:$E$1000,E371,$F$2:$F$1000,F371)</f>
        <v>1</v>
      </c>
      <c r="AK371">
        <f>COUNTIF($A$2:$A$1000, A371)</f>
        <v>1</v>
      </c>
    </row>
    <row r="372" spans="1:37">
      <c r="A372" t="s">
        <v>1213</v>
      </c>
      <c r="B372" s="5">
        <v>45519</v>
      </c>
      <c r="C372" s="5">
        <v>45525</v>
      </c>
      <c r="D372" s="6">
        <f>IF(AND(C372&lt;&gt;"",B372&lt;&gt;""), C372-B372, "Missing Date")</f>
        <v>6</v>
      </c>
      <c r="E372" s="6" t="str">
        <f>IF(OR(B372="",C372=""), "Missing Date",
    IF(C372&lt;B372, "Invalid: Ship before Order",
      "OK"))</f>
        <v>OK</v>
      </c>
      <c r="F372" t="s">
        <v>1214</v>
      </c>
      <c r="G372" t="s">
        <v>62</v>
      </c>
      <c r="H372" t="s">
        <v>37</v>
      </c>
      <c r="I372" t="s">
        <v>63</v>
      </c>
      <c r="J372" t="s">
        <v>26</v>
      </c>
      <c r="K372" t="s">
        <v>109</v>
      </c>
      <c r="L372" t="s">
        <v>74</v>
      </c>
      <c r="M372" t="s">
        <v>80</v>
      </c>
      <c r="N372" t="s">
        <v>1215</v>
      </c>
      <c r="O372" t="s">
        <v>50</v>
      </c>
      <c r="P372">
        <v>7</v>
      </c>
      <c r="Q372">
        <v>2333.81</v>
      </c>
      <c r="R372">
        <v>0.2</v>
      </c>
      <c r="S372">
        <v>13069.34</v>
      </c>
      <c r="T372">
        <v>8768.59</v>
      </c>
      <c r="U372">
        <v>4300.75</v>
      </c>
      <c r="V372" t="s">
        <v>32</v>
      </c>
      <c r="W372" t="s">
        <v>33</v>
      </c>
      <c r="X372" t="str">
        <f>_xlfn.TEXTJOIN("|", TRUE, A372:W372)</f>
        <v>ORD-2024-10371|45519|45525|6|OK|CUST-8521|Ananya Rao|Small Business|West|Rajasthan|Udaipur|Technology|Copiers|Classic Copiers 505|First Class|7|2333.81|0.2|13069.34|8768.59|4300.75|Paid|Completed</v>
      </c>
      <c r="Y372">
        <f>COUNTIF($X$2:$X$1000, X372)</f>
        <v>1</v>
      </c>
      <c r="Z372">
        <f>COUNTIF($A$2:$A$1000, A372)</f>
        <v>1</v>
      </c>
      <c r="AA372" t="str">
        <f>IF(Y372&gt;1, "Exact Duplicate",
  IF(Z372&gt;1, "Conflicting Duplicate - Review",
    "Unique"))</f>
        <v>Unique</v>
      </c>
      <c r="AB372" s="2">
        <f>IF(ISBLANK(R372), 0, IF(ISTEXT(R372), VALUE(SUBSTITUTE(R372, "%", ""))/100, IF(OR(R372&lt;0, R372&gt;1), "Invalid", R372)))</f>
        <v>0.2</v>
      </c>
      <c r="AC372" s="4">
        <f>IF(AB372="Invalid", "Error", P372 * Q372 * (1 - AB372))</f>
        <v>13069.336000000001</v>
      </c>
      <c r="AD372" s="4">
        <f>IF(AC372="Error", "Error", AC372 - T372)</f>
        <v>4300.746000000001</v>
      </c>
      <c r="AE372" s="2">
        <f>IF(AC372="Error", "Error", IF(AC372=0, 0, AD372 / AC372))</f>
        <v>0.32907149988339124</v>
      </c>
      <c r="AF372" s="7">
        <f>C372-B372</f>
        <v>6</v>
      </c>
      <c r="AG372" s="2" t="str">
        <f>TEXT(B372, "mmmm")</f>
        <v>August</v>
      </c>
      <c r="AH372" s="4">
        <f>YEAR(B372)</f>
        <v>2024</v>
      </c>
      <c r="AI372" s="2" t="str">
        <f t="shared" si="19"/>
        <v>Clean</v>
      </c>
      <c r="AJ372">
        <f>COUNTIFS($A$2:$A$1000,A372,$B$2:$B$1000,B372,$C$2:$C$1000,C372,$D$2:$D$1000,D372,$E$2:$E$1000,E372,$F$2:$F$1000,F372)</f>
        <v>1</v>
      </c>
      <c r="AK372">
        <f>COUNTIF($A$2:$A$1000, A372)</f>
        <v>1</v>
      </c>
    </row>
    <row r="373" spans="1:37">
      <c r="A373" t="s">
        <v>1216</v>
      </c>
      <c r="B373" s="5">
        <v>45313</v>
      </c>
      <c r="C373" s="5">
        <v>45315</v>
      </c>
      <c r="D373" s="6">
        <f>IF(AND(C373&lt;&gt;"",B373&lt;&gt;""), C373-B373, "Missing Date")</f>
        <v>2</v>
      </c>
      <c r="E373" s="6" t="str">
        <f>IF(OR(B373="",C373=""), "Missing Date",
    IF(C373&lt;B373, "Invalid: Ship before Order",
      "OK"))</f>
        <v>OK</v>
      </c>
      <c r="F373" t="s">
        <v>1217</v>
      </c>
      <c r="G373" t="s">
        <v>162</v>
      </c>
      <c r="H373" t="s">
        <v>95</v>
      </c>
      <c r="I373" t="s">
        <v>63</v>
      </c>
      <c r="J373" t="s">
        <v>64</v>
      </c>
      <c r="K373" t="s">
        <v>65</v>
      </c>
      <c r="L373" t="s">
        <v>28</v>
      </c>
      <c r="M373" t="s">
        <v>48</v>
      </c>
      <c r="N373" t="s">
        <v>1218</v>
      </c>
      <c r="O373" t="s">
        <v>59</v>
      </c>
      <c r="P373">
        <v>6</v>
      </c>
      <c r="Q373">
        <v>1026.06</v>
      </c>
      <c r="S373">
        <v>4617.2700000000004</v>
      </c>
      <c r="T373">
        <v>2981.94</v>
      </c>
      <c r="U373">
        <v>1635.33</v>
      </c>
      <c r="V373" t="s">
        <v>102</v>
      </c>
      <c r="W373" t="s">
        <v>68</v>
      </c>
      <c r="X373" t="str">
        <f>_xlfn.TEXTJOIN("|", TRUE, A373:W373)</f>
        <v>ORD-2024-10372|45313|45315|2|OK|CUST-2204|Diya Patel|Home Office|West|Maharashtra|Mumbai|Office Supplies|Art|Pro Art 906|Standard Class|6|1026.06|4617.27|2981.94|1635.33|Refunded|Cancelled</v>
      </c>
      <c r="Y373">
        <f>COUNTIF($X$2:$X$1000, X373)</f>
        <v>1</v>
      </c>
      <c r="Z373">
        <f>COUNTIF($A$2:$A$1000, A373)</f>
        <v>1</v>
      </c>
      <c r="AA373" t="str">
        <f>IF(Y373&gt;1, "Exact Duplicate",
  IF(Z373&gt;1, "Conflicting Duplicate - Review",
    "Unique"))</f>
        <v>Unique</v>
      </c>
      <c r="AB373" s="2">
        <f>IF(ISBLANK(R373), 0, IF(ISTEXT(R373), VALUE(SUBSTITUTE(R373, "%", ""))/100, IF(OR(R373&lt;0, R373&gt;1), "Invalid", R373)))</f>
        <v>0</v>
      </c>
      <c r="AC373" s="4">
        <f>IF(AB373="Invalid", "Error", P373 * Q373 * (1 - AB373))</f>
        <v>6156.36</v>
      </c>
      <c r="AD373" s="4">
        <f>IF(AC373="Error", "Error", AC373 - T373)</f>
        <v>3174.4199999999996</v>
      </c>
      <c r="AE373" s="2">
        <f>IF(AC373="Error", "Error", IF(AC373=0, 0, AD373 / AC373))</f>
        <v>0.51563261407714944</v>
      </c>
      <c r="AF373" s="7">
        <f>C373-B373</f>
        <v>2</v>
      </c>
      <c r="AG373" s="2" t="str">
        <f>TEXT(B373, "mmmm")</f>
        <v>January</v>
      </c>
      <c r="AH373" s="4">
        <f>YEAR(B373)</f>
        <v>2024</v>
      </c>
      <c r="AI373" s="2" t="str">
        <f t="shared" si="19"/>
        <v>Excluded from Sales</v>
      </c>
      <c r="AJ373">
        <f>COUNTIFS($A$2:$A$1000,A373,$B$2:$B$1000,B373,$C$2:$C$1000,C373,$D$2:$D$1000,D373,$E$2:$E$1000,E373,$F$2:$F$1000,F373)</f>
        <v>1</v>
      </c>
      <c r="AK373">
        <f>COUNTIF($A$2:$A$1000, A373)</f>
        <v>1</v>
      </c>
    </row>
    <row r="374" spans="1:37">
      <c r="A374" t="s">
        <v>1219</v>
      </c>
      <c r="B374" s="5">
        <v>45885</v>
      </c>
      <c r="C374" s="5">
        <v>45887</v>
      </c>
      <c r="D374" s="6">
        <f>IF(AND(C374&lt;&gt;"",B374&lt;&gt;""), C374-B374, "Missing Date")</f>
        <v>2</v>
      </c>
      <c r="E374" s="6" t="str">
        <f>IF(OR(B374="",C374=""), "Missing Date",
    IF(C374&lt;B374, "Invalid: Ship before Order",
      "OK"))</f>
        <v>OK</v>
      </c>
      <c r="F374" t="s">
        <v>641</v>
      </c>
      <c r="G374" t="s">
        <v>264</v>
      </c>
      <c r="H374" t="s">
        <v>24</v>
      </c>
      <c r="I374" t="s">
        <v>38</v>
      </c>
      <c r="J374" t="s">
        <v>228</v>
      </c>
      <c r="K374" t="s">
        <v>229</v>
      </c>
      <c r="L374" t="s">
        <v>41</v>
      </c>
      <c r="M374" t="s">
        <v>66</v>
      </c>
      <c r="N374" t="s">
        <v>1220</v>
      </c>
      <c r="O374" t="s">
        <v>44</v>
      </c>
      <c r="P374">
        <v>5</v>
      </c>
      <c r="Q374">
        <v>1530.36</v>
      </c>
      <c r="R374">
        <v>0</v>
      </c>
      <c r="S374">
        <v>7651.8</v>
      </c>
      <c r="T374">
        <v>5171.78</v>
      </c>
      <c r="U374">
        <v>2480.02</v>
      </c>
      <c r="V374" t="s">
        <v>32</v>
      </c>
      <c r="W374" t="s">
        <v>33</v>
      </c>
      <c r="X374" t="str">
        <f>_xlfn.TEXTJOIN("|", TRUE, A374:W374)</f>
        <v>ORD-2025-10373|45885|45887|2|OK|CUST-4399|Kabir Singh|Consumer|East|Jharkhand|Ranchi|Furniture|Chairs|Max Chairs 181|Same Day|5|1530.36|0|7651.8|5171.78|2480.02|Paid|Completed</v>
      </c>
      <c r="Y374">
        <f>COUNTIF($X$2:$X$1000, X374)</f>
        <v>1</v>
      </c>
      <c r="Z374">
        <f>COUNTIF($A$2:$A$1000, A374)</f>
        <v>1</v>
      </c>
      <c r="AA374" t="str">
        <f>IF(Y374&gt;1, "Exact Duplicate",
  IF(Z374&gt;1, "Conflicting Duplicate - Review",
    "Unique"))</f>
        <v>Unique</v>
      </c>
      <c r="AB374" s="2">
        <f>IF(ISBLANK(R374), 0, IF(ISTEXT(R374), VALUE(SUBSTITUTE(R374, "%", ""))/100, IF(OR(R374&lt;0, R374&gt;1), "Invalid", R374)))</f>
        <v>0</v>
      </c>
      <c r="AC374" s="4">
        <f>IF(AB374="Invalid", "Error", P374 * Q374 * (1 - AB374))</f>
        <v>7651.7999999999993</v>
      </c>
      <c r="AD374" s="4">
        <f>IF(AC374="Error", "Error", AC374 - T374)</f>
        <v>2480.0199999999995</v>
      </c>
      <c r="AE374" s="2">
        <f>IF(AC374="Error", "Error", IF(AC374=0, 0, AD374 / AC374))</f>
        <v>0.32410935988917638</v>
      </c>
      <c r="AF374" s="7">
        <f>C374-B374</f>
        <v>2</v>
      </c>
      <c r="AG374" s="2" t="str">
        <f>TEXT(B374, "mmmm")</f>
        <v>August</v>
      </c>
      <c r="AH374" s="4">
        <f>YEAR(B374)</f>
        <v>2025</v>
      </c>
      <c r="AI374" s="2" t="str">
        <f t="shared" si="19"/>
        <v>Clean</v>
      </c>
      <c r="AJ374">
        <f>COUNTIFS($A$2:$A$1000,A374,$B$2:$B$1000,B374,$C$2:$C$1000,C374,$D$2:$D$1000,D374,$E$2:$E$1000,E374,$F$2:$F$1000,F374)</f>
        <v>1</v>
      </c>
      <c r="AK374">
        <f>COUNTIF($A$2:$A$1000, A374)</f>
        <v>1</v>
      </c>
    </row>
    <row r="375" spans="1:37">
      <c r="A375" t="s">
        <v>1221</v>
      </c>
      <c r="B375" s="5">
        <v>45760</v>
      </c>
      <c r="C375" s="5">
        <v>45760</v>
      </c>
      <c r="D375" s="6">
        <f>IF(AND(C375&lt;&gt;"",B375&lt;&gt;""), C375-B375, "Missing Date")</f>
        <v>0</v>
      </c>
      <c r="E375" s="6" t="str">
        <f>IF(OR(B375="",C375=""), "Missing Date",
    IF(C375&lt;B375, "Invalid: Ship before Order",
      "OK"))</f>
        <v>OK</v>
      </c>
      <c r="F375" t="s">
        <v>1222</v>
      </c>
      <c r="G375" t="s">
        <v>132</v>
      </c>
      <c r="H375" t="s">
        <v>37</v>
      </c>
      <c r="I375" t="s">
        <v>25</v>
      </c>
      <c r="J375" t="s">
        <v>136</v>
      </c>
      <c r="K375" t="s">
        <v>137</v>
      </c>
      <c r="L375" t="s">
        <v>28</v>
      </c>
      <c r="M375" t="s">
        <v>124</v>
      </c>
      <c r="N375" t="s">
        <v>1223</v>
      </c>
      <c r="O375" t="s">
        <v>31</v>
      </c>
      <c r="P375">
        <v>9</v>
      </c>
      <c r="Q375">
        <v>1118.68</v>
      </c>
      <c r="R375">
        <v>0</v>
      </c>
      <c r="S375">
        <v>10068.120000000001</v>
      </c>
      <c r="T375">
        <v>8595.3700000000008</v>
      </c>
      <c r="U375">
        <v>1472.75</v>
      </c>
      <c r="V375" t="s">
        <v>32</v>
      </c>
      <c r="W375" t="s">
        <v>33</v>
      </c>
      <c r="X375" t="str">
        <f>_xlfn.TEXTJOIN("|", TRUE, A375:W375)</f>
        <v>ORD-2025-10374|45760|45760|0|OK|CUST-8566|Sneha Kapoor|Small Business|North|Uttar Pradesh|Noida|Office Supplies|Storage|Prime Storage 951|Second Class|9|1118.68|0|10068.12|8595.37|1472.75|Paid|Completed</v>
      </c>
      <c r="Y375">
        <f>COUNTIF($X$2:$X$1000, X375)</f>
        <v>1</v>
      </c>
      <c r="Z375">
        <f>COUNTIF($A$2:$A$1000, A375)</f>
        <v>2</v>
      </c>
      <c r="AA375" t="str">
        <f>IF(Y375&gt;1, "Exact Duplicate",
  IF(Z375&gt;1, "Conflicting Duplicate - Review",
    "Unique"))</f>
        <v>Conflicting Duplicate - Review</v>
      </c>
      <c r="AB375" s="2">
        <f>IF(ISBLANK(R375), 0, IF(ISTEXT(R375), VALUE(SUBSTITUTE(R375, "%", ""))/100, IF(OR(R375&lt;0, R375&gt;1), "Invalid", R375)))</f>
        <v>0</v>
      </c>
      <c r="AC375" s="4">
        <f>IF(AB375="Invalid", "Error", P375 * Q375 * (1 - AB375))</f>
        <v>10068.120000000001</v>
      </c>
      <c r="AD375" s="4">
        <f>IF(AC375="Error", "Error", AC375 - T375)</f>
        <v>1472.75</v>
      </c>
      <c r="AE375" s="2">
        <f>IF(AC375="Error", "Error", IF(AC375=0, 0, AD375 / AC375))</f>
        <v>0.14627855051389932</v>
      </c>
      <c r="AF375" s="7">
        <f>C375-B375</f>
        <v>0</v>
      </c>
      <c r="AG375" s="2" t="str">
        <f>TEXT(B375, "mmmm")</f>
        <v>April</v>
      </c>
      <c r="AH375" s="4">
        <f>YEAR(B375)</f>
        <v>2025</v>
      </c>
      <c r="AI375" s="2" t="str">
        <f t="shared" si="19"/>
        <v>Clean</v>
      </c>
      <c r="AJ375">
        <f>COUNTIFS($A$2:$A$1000,A375,$B$2:$B$1000,B375,$C$2:$C$1000,C375,$D$2:$D$1000,D375,$E$2:$E$1000,E375,$F$2:$F$1000,F375)</f>
        <v>2</v>
      </c>
      <c r="AK375">
        <f>COUNTIF($A$2:$A$1000, A375)</f>
        <v>2</v>
      </c>
    </row>
    <row r="376" spans="1:37">
      <c r="A376" t="s">
        <v>1224</v>
      </c>
      <c r="B376" s="5">
        <v>45715</v>
      </c>
      <c r="C376" s="5">
        <v>45716</v>
      </c>
      <c r="D376" s="6">
        <f>IF(AND(C376&lt;&gt;"",B376&lt;&gt;""), C376-B376, "Missing Date")</f>
        <v>1</v>
      </c>
      <c r="E376" s="6" t="str">
        <f>IF(OR(B376="",C376=""), "Missing Date",
    IF(C376&lt;B376, "Invalid: Ship before Order",
      "OK"))</f>
        <v>OK</v>
      </c>
      <c r="F376" t="s">
        <v>1225</v>
      </c>
      <c r="G376" t="s">
        <v>89</v>
      </c>
      <c r="H376" t="s">
        <v>37</v>
      </c>
      <c r="I376" t="s">
        <v>25</v>
      </c>
      <c r="J376" t="s">
        <v>136</v>
      </c>
      <c r="K376" t="s">
        <v>137</v>
      </c>
      <c r="L376" t="s">
        <v>28</v>
      </c>
      <c r="M376" t="s">
        <v>91</v>
      </c>
      <c r="N376" t="s">
        <v>1226</v>
      </c>
      <c r="O376" t="s">
        <v>59</v>
      </c>
      <c r="P376">
        <v>6</v>
      </c>
      <c r="Q376">
        <v>2393.25</v>
      </c>
      <c r="R376">
        <v>0</v>
      </c>
      <c r="S376">
        <v>14359.5</v>
      </c>
      <c r="T376">
        <v>8117.71</v>
      </c>
      <c r="U376">
        <v>6241.79</v>
      </c>
      <c r="V376" t="s">
        <v>32</v>
      </c>
      <c r="W376" t="s">
        <v>33</v>
      </c>
      <c r="X376" t="str">
        <f>_xlfn.TEXTJOIN("|", TRUE, A376:W376)</f>
        <v>ORD-2025-10375|45715|45716|1|OK|CUST-2358|Aditi Sen|Small Business|North|Uttar Pradesh|Noida|Office Supplies|Labels|Smart Labels 668|Standard Class|6|2393.25|0|14359.5|8117.71|6241.79|Paid|Completed</v>
      </c>
      <c r="Y376">
        <f>COUNTIF($X$2:$X$1000, X376)</f>
        <v>1</v>
      </c>
      <c r="Z376">
        <f>COUNTIF($A$2:$A$1000, A376)</f>
        <v>1</v>
      </c>
      <c r="AA376" t="str">
        <f>IF(Y376&gt;1, "Exact Duplicate",
  IF(Z376&gt;1, "Conflicting Duplicate - Review",
    "Unique"))</f>
        <v>Unique</v>
      </c>
      <c r="AB376" s="2">
        <f>IF(ISBLANK(R376), 0, IF(ISTEXT(R376), VALUE(SUBSTITUTE(R376, "%", ""))/100, IF(OR(R376&lt;0, R376&gt;1), "Invalid", R376)))</f>
        <v>0</v>
      </c>
      <c r="AC376" s="4">
        <f>IF(AB376="Invalid", "Error", P376 * Q376 * (1 - AB376))</f>
        <v>14359.5</v>
      </c>
      <c r="AD376" s="4">
        <f>IF(AC376="Error", "Error", AC376 - T376)</f>
        <v>6241.79</v>
      </c>
      <c r="AE376" s="2">
        <f>IF(AC376="Error", "Error", IF(AC376=0, 0, AD376 / AC376))</f>
        <v>0.43468017688638183</v>
      </c>
      <c r="AF376" s="7">
        <f>C376-B376</f>
        <v>1</v>
      </c>
      <c r="AG376" s="2" t="str">
        <f>TEXT(B376, "mmmm")</f>
        <v>February</v>
      </c>
      <c r="AH376" s="4">
        <f>YEAR(B376)</f>
        <v>2025</v>
      </c>
      <c r="AI376" s="2" t="str">
        <f t="shared" si="19"/>
        <v>Clean</v>
      </c>
      <c r="AJ376">
        <f>COUNTIFS($A$2:$A$1000,A376,$B$2:$B$1000,B376,$C$2:$C$1000,C376,$D$2:$D$1000,D376,$E$2:$E$1000,E376,$F$2:$F$1000,F376)</f>
        <v>1</v>
      </c>
      <c r="AK376">
        <f>COUNTIF($A$2:$A$1000, A376)</f>
        <v>1</v>
      </c>
    </row>
    <row r="377" spans="1:37">
      <c r="A377" t="s">
        <v>1227</v>
      </c>
      <c r="B377" s="5">
        <v>45657</v>
      </c>
      <c r="C377" s="5">
        <v>45661</v>
      </c>
      <c r="D377" s="6">
        <f>IF(AND(C377&lt;&gt;"",B377&lt;&gt;""), C377-B377, "Missing Date")</f>
        <v>4</v>
      </c>
      <c r="E377" s="6" t="str">
        <f>IF(OR(B377="",C377=""), "Missing Date",
    IF(C377&lt;B377, "Invalid: Ship before Order",
      "OK"))</f>
        <v>OK</v>
      </c>
      <c r="F377" t="s">
        <v>1228</v>
      </c>
      <c r="G377" t="s">
        <v>71</v>
      </c>
      <c r="H377" t="s">
        <v>24</v>
      </c>
      <c r="I377" t="s">
        <v>25</v>
      </c>
      <c r="J377" t="s">
        <v>350</v>
      </c>
      <c r="K377" t="s">
        <v>351</v>
      </c>
      <c r="L377" t="s">
        <v>41</v>
      </c>
      <c r="M377" t="s">
        <v>66</v>
      </c>
      <c r="N377" t="s">
        <v>1229</v>
      </c>
      <c r="O377" t="s">
        <v>44</v>
      </c>
      <c r="P377">
        <v>3</v>
      </c>
      <c r="Q377">
        <v>1166.6099999999999</v>
      </c>
      <c r="R377">
        <v>0.25</v>
      </c>
      <c r="S377">
        <v>2624.87</v>
      </c>
      <c r="T377">
        <v>2253.88</v>
      </c>
      <c r="U377">
        <v>370.99</v>
      </c>
      <c r="V377" t="s">
        <v>32</v>
      </c>
      <c r="W377" t="s">
        <v>33</v>
      </c>
      <c r="X377" t="str">
        <f>_xlfn.TEXTJOIN("|", TRUE, A377:W377)</f>
        <v>ORD-2024-10376|45657|45661|4|OK|CUST-2810|Vikram Iyer|Consumer|North|Delhi|New Delhi|Furniture|Chairs|Pro Chairs 364|Same Day|3|1166.61|0.25|2624.87|2253.88|370.99|Paid|Completed</v>
      </c>
      <c r="Y377">
        <f>COUNTIF($X$2:$X$1000, X377)</f>
        <v>1</v>
      </c>
      <c r="Z377">
        <f>COUNTIF($A$2:$A$1000, A377)</f>
        <v>1</v>
      </c>
      <c r="AA377" t="str">
        <f>IF(Y377&gt;1, "Exact Duplicate",
  IF(Z377&gt;1, "Conflicting Duplicate - Review",
    "Unique"))</f>
        <v>Unique</v>
      </c>
      <c r="AB377" s="2">
        <f>IF(ISBLANK(R377), 0, IF(ISTEXT(R377), VALUE(SUBSTITUTE(R377, "%", ""))/100, IF(OR(R377&lt;0, R377&gt;1), "Invalid", R377)))</f>
        <v>0.25</v>
      </c>
      <c r="AC377" s="4">
        <f>IF(AB377="Invalid", "Error", P377 * Q377 * (1 - AB377))</f>
        <v>2624.8724999999999</v>
      </c>
      <c r="AD377" s="4">
        <f>IF(AC377="Error", "Error", AC377 - T377)</f>
        <v>370.99249999999984</v>
      </c>
      <c r="AE377" s="2">
        <f>IF(AC377="Error", "Error", IF(AC377=0, 0, AD377 / AC377))</f>
        <v>0.14133734114704613</v>
      </c>
      <c r="AF377" s="7">
        <f>C377-B377</f>
        <v>4</v>
      </c>
      <c r="AG377" s="2" t="str">
        <f>TEXT(B377, "mmmm")</f>
        <v>December</v>
      </c>
      <c r="AH377" s="4">
        <f>YEAR(B377)</f>
        <v>2024</v>
      </c>
      <c r="AI377" s="2" t="str">
        <f t="shared" si="19"/>
        <v>Clean</v>
      </c>
      <c r="AJ377">
        <f>COUNTIFS($A$2:$A$1000,A377,$B$2:$B$1000,B377,$C$2:$C$1000,C377,$D$2:$D$1000,D377,$E$2:$E$1000,E377,$F$2:$F$1000,F377)</f>
        <v>1</v>
      </c>
      <c r="AK377">
        <f>COUNTIF($A$2:$A$1000, A377)</f>
        <v>1</v>
      </c>
    </row>
    <row r="378" spans="1:37">
      <c r="A378" t="s">
        <v>1230</v>
      </c>
      <c r="B378" s="5">
        <v>45655</v>
      </c>
      <c r="C378" s="5">
        <v>45657</v>
      </c>
      <c r="D378" s="6">
        <f>IF(AND(C378&lt;&gt;"",B378&lt;&gt;""), C378-B378, "Missing Date")</f>
        <v>2</v>
      </c>
      <c r="E378" s="6" t="str">
        <f>IF(OR(B378="",C378=""), "Missing Date",
    IF(C378&lt;B378, "Invalid: Ship before Order",
      "OK"))</f>
        <v>OK</v>
      </c>
      <c r="F378" t="s">
        <v>1231</v>
      </c>
      <c r="G378" t="s">
        <v>47</v>
      </c>
      <c r="H378" t="s">
        <v>37</v>
      </c>
      <c r="I378" t="s">
        <v>38</v>
      </c>
      <c r="J378" t="s">
        <v>145</v>
      </c>
      <c r="K378" t="s">
        <v>146</v>
      </c>
      <c r="L378" t="s">
        <v>41</v>
      </c>
      <c r="M378" t="s">
        <v>66</v>
      </c>
      <c r="N378" t="s">
        <v>1232</v>
      </c>
      <c r="O378" t="s">
        <v>50</v>
      </c>
      <c r="P378">
        <v>6</v>
      </c>
      <c r="Q378">
        <v>1844.78</v>
      </c>
      <c r="R378">
        <v>0.2</v>
      </c>
      <c r="S378">
        <v>8854.94</v>
      </c>
      <c r="T378">
        <v>7433.95</v>
      </c>
      <c r="U378">
        <v>1420.99</v>
      </c>
      <c r="V378" t="s">
        <v>32</v>
      </c>
      <c r="W378" t="s">
        <v>33</v>
      </c>
      <c r="X378" t="str">
        <f>_xlfn.TEXTJOIN("|", TRUE, A378:W378)</f>
        <v>ORD-2024-10377|45655|45657|2|OK|CUST-5166|Isha Nair|Small Business|East|Bihar|Patna|Furniture|Chairs|Basic Chairs 248|First Class|6|1844.78|0.2|8854.94|7433.95|1420.99|Paid|Completed</v>
      </c>
      <c r="Y378">
        <f>COUNTIF($X$2:$X$1000, X378)</f>
        <v>1</v>
      </c>
      <c r="Z378">
        <f>COUNTIF($A$2:$A$1000, A378)</f>
        <v>1</v>
      </c>
      <c r="AA378" t="str">
        <f>IF(Y378&gt;1, "Exact Duplicate",
  IF(Z378&gt;1, "Conflicting Duplicate - Review",
    "Unique"))</f>
        <v>Unique</v>
      </c>
      <c r="AB378" s="2">
        <f>IF(ISBLANK(R378), 0, IF(ISTEXT(R378), VALUE(SUBSTITUTE(R378, "%", ""))/100, IF(OR(R378&lt;0, R378&gt;1), "Invalid", R378)))</f>
        <v>0.2</v>
      </c>
      <c r="AC378" s="4">
        <f>IF(AB378="Invalid", "Error", P378 * Q378 * (1 - AB378))</f>
        <v>8854.9440000000013</v>
      </c>
      <c r="AD378" s="4">
        <f>IF(AC378="Error", "Error", AC378 - T378)</f>
        <v>1420.9940000000015</v>
      </c>
      <c r="AE378" s="2">
        <f>IF(AC378="Error", "Error", IF(AC378=0, 0, AD378 / AC378))</f>
        <v>0.1604746455765278</v>
      </c>
      <c r="AF378" s="7">
        <f>C378-B378</f>
        <v>2</v>
      </c>
      <c r="AG378" s="2" t="str">
        <f>TEXT(B378, "mmmm")</f>
        <v>December</v>
      </c>
      <c r="AH378" s="4">
        <f>YEAR(B378)</f>
        <v>2024</v>
      </c>
      <c r="AI378" s="2" t="str">
        <f t="shared" si="19"/>
        <v>Clean</v>
      </c>
      <c r="AJ378">
        <f>COUNTIFS($A$2:$A$1000,A378,$B$2:$B$1000,B378,$C$2:$C$1000,C378,$D$2:$D$1000,D378,$E$2:$E$1000,E378,$F$2:$F$1000,F378)</f>
        <v>1</v>
      </c>
      <c r="AK378">
        <f>COUNTIF($A$2:$A$1000, A378)</f>
        <v>1</v>
      </c>
    </row>
    <row r="379" spans="1:37">
      <c r="A379" t="s">
        <v>1233</v>
      </c>
      <c r="B379" s="5">
        <v>45801</v>
      </c>
      <c r="C379" s="5">
        <v>45807</v>
      </c>
      <c r="D379" s="6">
        <f>IF(AND(C379&lt;&gt;"",B379&lt;&gt;""), C379-B379, "Missing Date")</f>
        <v>6</v>
      </c>
      <c r="E379" s="6" t="str">
        <f>IF(OR(B379="",C379=""), "Missing Date",
    IF(C379&lt;B379, "Invalid: Ship before Order",
      "OK"))</f>
        <v>OK</v>
      </c>
      <c r="F379" t="s">
        <v>1234</v>
      </c>
      <c r="G379" t="s">
        <v>264</v>
      </c>
      <c r="H379" t="s">
        <v>37</v>
      </c>
      <c r="I379" t="s">
        <v>38</v>
      </c>
      <c r="J379" t="s">
        <v>39</v>
      </c>
      <c r="K379" t="s">
        <v>40</v>
      </c>
      <c r="L379" t="s">
        <v>28</v>
      </c>
      <c r="M379" t="s">
        <v>124</v>
      </c>
      <c r="N379" t="s">
        <v>1236</v>
      </c>
      <c r="O379" t="s">
        <v>44</v>
      </c>
      <c r="P379">
        <v>1</v>
      </c>
      <c r="Q379">
        <v>2564.7399999999998</v>
      </c>
      <c r="R379">
        <v>0</v>
      </c>
      <c r="S379">
        <v>2564.7399999999998</v>
      </c>
      <c r="T379">
        <v>1754.58</v>
      </c>
      <c r="U379">
        <v>810.16</v>
      </c>
      <c r="V379" t="s">
        <v>32</v>
      </c>
      <c r="W379" t="s">
        <v>33</v>
      </c>
      <c r="X379" t="str">
        <f>_xlfn.TEXTJOIN("|", TRUE, A379:W379)</f>
        <v>ORD-2025-10378|45801|45807|6|OK|CUST-4875|Kabir Singh|Small Business|East|Odisha|Bhubaneswar|Office Supplies|Storage|Basic Storage 360|Same Day|1|2564.74|0|2564.74|1754.58|810.16|Paid|Completed</v>
      </c>
      <c r="Y379">
        <f>COUNTIF($X$2:$X$1000, X379)</f>
        <v>1</v>
      </c>
      <c r="Z379">
        <f>COUNTIF($A$2:$A$1000, A379)</f>
        <v>2</v>
      </c>
      <c r="AA379" t="str">
        <f>IF(Y379&gt;1, "Exact Duplicate",
  IF(Z379&gt;1, "Conflicting Duplicate - Review",
    "Unique"))</f>
        <v>Conflicting Duplicate - Review</v>
      </c>
      <c r="AB379" s="2">
        <f>IF(ISBLANK(R379), 0, IF(ISTEXT(R379), VALUE(SUBSTITUTE(R379, "%", ""))/100, IF(OR(R379&lt;0, R379&gt;1), "Invalid", R379)))</f>
        <v>0</v>
      </c>
      <c r="AC379" s="4">
        <f>IF(AB379="Invalid", "Error", P379 * Q379 * (1 - AB379))</f>
        <v>2564.7399999999998</v>
      </c>
      <c r="AD379" s="4">
        <f>IF(AC379="Error", "Error", AC379 - T379)</f>
        <v>810.15999999999985</v>
      </c>
      <c r="AE379" s="2">
        <f>IF(AC379="Error", "Error", IF(AC379=0, 0, AD379 / AC379))</f>
        <v>0.31588387126960232</v>
      </c>
      <c r="AF379" s="7">
        <f>C379-B379</f>
        <v>6</v>
      </c>
      <c r="AG379" s="2" t="str">
        <f>TEXT(B379, "mmmm")</f>
        <v>May</v>
      </c>
      <c r="AH379" s="4">
        <f>YEAR(B379)</f>
        <v>2025</v>
      </c>
      <c r="AI379" s="2" t="str">
        <f t="shared" si="19"/>
        <v>Clean</v>
      </c>
      <c r="AJ379">
        <f>COUNTIFS($A$2:$A$1000,A379,$B$2:$B$1000,B379,$C$2:$C$1000,C379,$D$2:$D$1000,D379,$E$2:$E$1000,E379,$F$2:$F$1000,F379)</f>
        <v>2</v>
      </c>
      <c r="AK379">
        <f>COUNTIF($A$2:$A$1000, A379)</f>
        <v>2</v>
      </c>
    </row>
    <row r="380" spans="1:37">
      <c r="A380" t="s">
        <v>1237</v>
      </c>
      <c r="B380" s="5">
        <v>45799</v>
      </c>
      <c r="C380" s="5">
        <v>45799</v>
      </c>
      <c r="D380" s="6">
        <f>IF(AND(C380&lt;&gt;"",B380&lt;&gt;""), C380-B380, "Missing Date")</f>
        <v>0</v>
      </c>
      <c r="E380" s="6" t="str">
        <f>IF(OR(B380="",C380=""), "Missing Date",
    IF(C380&lt;B380, "Invalid: Ship before Order",
      "OK"))</f>
        <v>OK</v>
      </c>
      <c r="F380" t="s">
        <v>1238</v>
      </c>
      <c r="G380" t="s">
        <v>36</v>
      </c>
      <c r="H380" t="s">
        <v>24</v>
      </c>
      <c r="I380" t="s">
        <v>63</v>
      </c>
      <c r="J380" t="s">
        <v>190</v>
      </c>
      <c r="K380" t="s">
        <v>191</v>
      </c>
      <c r="L380" t="s">
        <v>74</v>
      </c>
      <c r="M380" t="s">
        <v>75</v>
      </c>
      <c r="N380" t="s">
        <v>1239</v>
      </c>
      <c r="O380" t="s">
        <v>59</v>
      </c>
      <c r="P380">
        <v>2</v>
      </c>
      <c r="Q380">
        <v>3910.61</v>
      </c>
      <c r="R380">
        <v>0</v>
      </c>
      <c r="S380">
        <v>7821.22</v>
      </c>
      <c r="T380">
        <v>4994.46</v>
      </c>
      <c r="U380">
        <v>2826.76</v>
      </c>
      <c r="V380" t="s">
        <v>32</v>
      </c>
      <c r="W380" t="s">
        <v>33</v>
      </c>
      <c r="X380" t="str">
        <f>_xlfn.TEXTJOIN("|", TRUE, A380:W380)</f>
        <v>ORD-2025-10379|45799|45799|0|OK|CUST-3154|Mira Das|Consumer|West|Goa|Panaji|Technology|Accessories|Basic Accessories 988|Standard Class|2|3910.61|0|7821.22|4994.46|2826.76|Paid|Completed</v>
      </c>
      <c r="Y380">
        <f>COUNTIF($X$2:$X$1000, X380)</f>
        <v>1</v>
      </c>
      <c r="Z380">
        <f>COUNTIF($A$2:$A$1000, A380)</f>
        <v>1</v>
      </c>
      <c r="AA380" t="str">
        <f>IF(Y380&gt;1, "Exact Duplicate",
  IF(Z380&gt;1, "Conflicting Duplicate - Review",
    "Unique"))</f>
        <v>Unique</v>
      </c>
      <c r="AB380" s="2">
        <f>IF(ISBLANK(R380), 0, IF(ISTEXT(R380), VALUE(SUBSTITUTE(R380, "%", ""))/100, IF(OR(R380&lt;0, R380&gt;1), "Invalid", R380)))</f>
        <v>0</v>
      </c>
      <c r="AC380" s="4">
        <f>IF(AB380="Invalid", "Error", P380 * Q380 * (1 - AB380))</f>
        <v>7821.22</v>
      </c>
      <c r="AD380" s="4">
        <f>IF(AC380="Error", "Error", AC380 - T380)</f>
        <v>2826.76</v>
      </c>
      <c r="AE380" s="2">
        <f>IF(AC380="Error", "Error", IF(AC380=0, 0, AD380 / AC380))</f>
        <v>0.36142187535959863</v>
      </c>
      <c r="AF380" s="7">
        <f>C380-B380</f>
        <v>0</v>
      </c>
      <c r="AG380" s="2" t="str">
        <f>TEXT(B380, "mmmm")</f>
        <v>May</v>
      </c>
      <c r="AH380" s="4">
        <f>YEAR(B380)</f>
        <v>2025</v>
      </c>
      <c r="AI380" s="2" t="str">
        <f t="shared" si="19"/>
        <v>Clean</v>
      </c>
      <c r="AJ380">
        <f>COUNTIFS($A$2:$A$1000,A380,$B$2:$B$1000,B380,$C$2:$C$1000,C380,$D$2:$D$1000,D380,$E$2:$E$1000,E380,$F$2:$F$1000,F380)</f>
        <v>1</v>
      </c>
      <c r="AK380">
        <f>COUNTIF($A$2:$A$1000, A380)</f>
        <v>1</v>
      </c>
    </row>
    <row r="381" spans="1:37">
      <c r="A381" t="s">
        <v>1240</v>
      </c>
      <c r="B381" s="5">
        <v>45554</v>
      </c>
      <c r="C381" s="5">
        <v>45558</v>
      </c>
      <c r="D381" s="6">
        <f>IF(AND(C381&lt;&gt;"",B381&lt;&gt;""), C381-B381, "Missing Date")</f>
        <v>4</v>
      </c>
      <c r="E381" s="6" t="str">
        <f>IF(OR(B381="",C381=""), "Missing Date",
    IF(C381&lt;B381, "Invalid: Ship before Order",
      "OK"))</f>
        <v>OK</v>
      </c>
      <c r="F381" t="s">
        <v>1241</v>
      </c>
      <c r="G381" t="s">
        <v>36</v>
      </c>
      <c r="H381" t="s">
        <v>37</v>
      </c>
      <c r="I381" t="s">
        <v>54</v>
      </c>
      <c r="J381" t="s">
        <v>185</v>
      </c>
      <c r="K381" t="s">
        <v>186</v>
      </c>
      <c r="L381" t="s">
        <v>28</v>
      </c>
      <c r="M381" t="s">
        <v>29</v>
      </c>
      <c r="N381" t="s">
        <v>1242</v>
      </c>
      <c r="O381" t="s">
        <v>59</v>
      </c>
      <c r="P381">
        <v>7</v>
      </c>
      <c r="Q381">
        <v>1136.68</v>
      </c>
      <c r="S381">
        <v>7956.76</v>
      </c>
      <c r="T381">
        <v>4799.54</v>
      </c>
      <c r="U381">
        <v>3157.22</v>
      </c>
      <c r="V381" t="s">
        <v>32</v>
      </c>
      <c r="W381" t="s">
        <v>33</v>
      </c>
      <c r="X381" t="str">
        <f>_xlfn.TEXTJOIN("|", TRUE, A381:W381)</f>
        <v>ORD-2024-10380|45554|45558|4|OK|CUST-6405|Mira Das|Small Business|South|Kerala|Kochi|Office Supplies|Paper|Max Paper 334|Standard Class|7|1136.68|7956.76|4799.54|3157.22|Paid|Completed</v>
      </c>
      <c r="Y381">
        <f>COUNTIF($X$2:$X$1000, X381)</f>
        <v>1</v>
      </c>
      <c r="Z381">
        <f>COUNTIF($A$2:$A$1000, A381)</f>
        <v>1</v>
      </c>
      <c r="AA381" t="str">
        <f>IF(Y381&gt;1, "Exact Duplicate",
  IF(Z381&gt;1, "Conflicting Duplicate - Review",
    "Unique"))</f>
        <v>Unique</v>
      </c>
      <c r="AB381" s="2">
        <f>IF(ISBLANK(R381), 0, IF(ISTEXT(R381), VALUE(SUBSTITUTE(R381, "%", ""))/100, IF(OR(R381&lt;0, R381&gt;1), "Invalid", R381)))</f>
        <v>0</v>
      </c>
      <c r="AC381" s="4">
        <f>IF(AB381="Invalid", "Error", P381 * Q381 * (1 - AB381))</f>
        <v>7956.76</v>
      </c>
      <c r="AD381" s="4">
        <f>IF(AC381="Error", "Error", AC381 - T381)</f>
        <v>3157.2200000000003</v>
      </c>
      <c r="AE381" s="2">
        <f>IF(AC381="Error", "Error", IF(AC381=0, 0, AD381 / AC381))</f>
        <v>0.39679718880549369</v>
      </c>
      <c r="AF381" s="7">
        <f>C381-B381</f>
        <v>4</v>
      </c>
      <c r="AG381" s="2" t="str">
        <f>TEXT(B381, "mmmm")</f>
        <v>September</v>
      </c>
      <c r="AH381" s="4">
        <f>YEAR(B381)</f>
        <v>2024</v>
      </c>
      <c r="AI381" s="2" t="str">
        <f t="shared" si="19"/>
        <v>Clean</v>
      </c>
      <c r="AJ381">
        <f>COUNTIFS($A$2:$A$1000,A381,$B$2:$B$1000,B381,$C$2:$C$1000,C381,$D$2:$D$1000,D381,$E$2:$E$1000,E381,$F$2:$F$1000,F381)</f>
        <v>1</v>
      </c>
      <c r="AK381">
        <f>COUNTIF($A$2:$A$1000, A381)</f>
        <v>1</v>
      </c>
    </row>
    <row r="382" spans="1:37">
      <c r="A382" t="s">
        <v>1243</v>
      </c>
      <c r="B382" s="5">
        <v>45389</v>
      </c>
      <c r="C382" s="5">
        <v>45396</v>
      </c>
      <c r="D382" s="6">
        <f>IF(AND(C382&lt;&gt;"",B382&lt;&gt;""), C382-B382, "Missing Date")</f>
        <v>7</v>
      </c>
      <c r="E382" s="6" t="str">
        <f>IF(OR(B382="",C382=""), "Missing Date",
    IF(C382&lt;B382, "Invalid: Ship before Order",
      "OK"))</f>
        <v>OK</v>
      </c>
      <c r="F382" t="s">
        <v>1244</v>
      </c>
      <c r="G382" t="s">
        <v>71</v>
      </c>
      <c r="H382" t="s">
        <v>24</v>
      </c>
      <c r="I382" t="s">
        <v>63</v>
      </c>
      <c r="J382" t="s">
        <v>64</v>
      </c>
      <c r="K382" t="s">
        <v>65</v>
      </c>
      <c r="L382" t="s">
        <v>41</v>
      </c>
      <c r="M382" t="s">
        <v>158</v>
      </c>
      <c r="N382" t="s">
        <v>1245</v>
      </c>
      <c r="O382" t="s">
        <v>44</v>
      </c>
      <c r="P382">
        <v>5</v>
      </c>
      <c r="Q382">
        <v>2235.85</v>
      </c>
      <c r="R382">
        <v>0.25</v>
      </c>
      <c r="S382">
        <v>8384.44</v>
      </c>
      <c r="T382">
        <v>4765.96</v>
      </c>
      <c r="U382">
        <v>3618.48</v>
      </c>
      <c r="V382" t="s">
        <v>32</v>
      </c>
      <c r="W382" t="s">
        <v>103</v>
      </c>
      <c r="X382" t="str">
        <f>_xlfn.TEXTJOIN("|", TRUE, A382:W382)</f>
        <v>ORD-2024-10381|45389|45396|7|OK|CUST-5779|Vikram Iyer|Consumer|West|Maharashtra|Mumbai|Furniture|Bookcases|Prime Bookcases 952|Same Day|5|2235.85|0.25|8384.44|4765.96|3618.48|Paid|Returned</v>
      </c>
      <c r="Y382">
        <f>COUNTIF($X$2:$X$1000, X382)</f>
        <v>1</v>
      </c>
      <c r="Z382">
        <f>COUNTIF($A$2:$A$1000, A382)</f>
        <v>1</v>
      </c>
      <c r="AA382" t="str">
        <f>IF(Y382&gt;1, "Exact Duplicate",
  IF(Z382&gt;1, "Conflicting Duplicate - Review",
    "Unique"))</f>
        <v>Unique</v>
      </c>
      <c r="AB382" s="2">
        <f>IF(ISBLANK(R382), 0, IF(ISTEXT(R382), VALUE(SUBSTITUTE(R382, "%", ""))/100, IF(OR(R382&lt;0, R382&gt;1), "Invalid", R382)))</f>
        <v>0.25</v>
      </c>
      <c r="AC382" s="4">
        <f>IF(AB382="Invalid", "Error", P382 * Q382 * (1 - AB382))</f>
        <v>8384.4375</v>
      </c>
      <c r="AD382" s="4">
        <f>IF(AC382="Error", "Error", AC382 - T382)</f>
        <v>3618.4775</v>
      </c>
      <c r="AE382" s="2">
        <f>IF(AC382="Error", "Error", IF(AC382=0, 0, AD382 / AC382))</f>
        <v>0.43157069272685256</v>
      </c>
      <c r="AF382" s="7">
        <f>C382-B382</f>
        <v>7</v>
      </c>
      <c r="AG382" s="2" t="str">
        <f>TEXT(B382, "mmmm")</f>
        <v>April</v>
      </c>
      <c r="AH382" s="4">
        <f>YEAR(B382)</f>
        <v>2024</v>
      </c>
      <c r="AI382" s="2" t="str">
        <f t="shared" si="19"/>
        <v>Clean</v>
      </c>
      <c r="AJ382">
        <f>COUNTIFS($A$2:$A$1000,A382,$B$2:$B$1000,B382,$C$2:$C$1000,C382,$D$2:$D$1000,D382,$E$2:$E$1000,E382,$F$2:$F$1000,F382)</f>
        <v>1</v>
      </c>
      <c r="AK382">
        <f>COUNTIF($A$2:$A$1000, A382)</f>
        <v>1</v>
      </c>
    </row>
    <row r="383" spans="1:37">
      <c r="A383" t="s">
        <v>1246</v>
      </c>
      <c r="B383" s="5">
        <v>45919</v>
      </c>
      <c r="C383" s="5">
        <v>45923</v>
      </c>
      <c r="D383" s="6">
        <f>IF(AND(C383&lt;&gt;"",B383&lt;&gt;""), C383-B383, "Missing Date")</f>
        <v>4</v>
      </c>
      <c r="E383" s="6" t="str">
        <f>IF(OR(B383="",C383=""), "Missing Date",
    IF(C383&lt;B383, "Invalid: Ship before Order",
      "OK"))</f>
        <v>OK</v>
      </c>
      <c r="F383" t="s">
        <v>1247</v>
      </c>
      <c r="G383" t="s">
        <v>53</v>
      </c>
      <c r="H383" t="s">
        <v>95</v>
      </c>
      <c r="I383" t="s">
        <v>25</v>
      </c>
      <c r="J383" t="s">
        <v>350</v>
      </c>
      <c r="K383" t="s">
        <v>351</v>
      </c>
      <c r="L383" t="s">
        <v>28</v>
      </c>
      <c r="M383" t="s">
        <v>153</v>
      </c>
      <c r="N383" t="s">
        <v>1248</v>
      </c>
      <c r="O383" t="s">
        <v>59</v>
      </c>
      <c r="P383">
        <v>4</v>
      </c>
      <c r="Q383">
        <v>4387.1499999999996</v>
      </c>
      <c r="R383">
        <v>0.05</v>
      </c>
      <c r="S383">
        <v>16671.169999999998</v>
      </c>
      <c r="T383">
        <v>10833.19</v>
      </c>
      <c r="U383">
        <v>5837.98</v>
      </c>
      <c r="V383" t="s">
        <v>155</v>
      </c>
      <c r="W383" t="s">
        <v>68</v>
      </c>
      <c r="X383" t="str">
        <f>_xlfn.TEXTJOIN("|", TRUE, A383:W383)</f>
        <v>ORD-2025-10382|45919|45923|4|OK|CUST-9943|Arjun Bose|Home Office|North|Delhi|New Delhi|Office Supplies|Binders|Prime Binders 523|Standard Class|4|4387.15|0.05|16671.17|10833.19|5837.98|Failed|Cancelled</v>
      </c>
      <c r="Y383">
        <f>COUNTIF($X$2:$X$1000, X383)</f>
        <v>1</v>
      </c>
      <c r="Z383">
        <f>COUNTIF($A$2:$A$1000, A383)</f>
        <v>1</v>
      </c>
      <c r="AA383" t="str">
        <f>IF(Y383&gt;1, "Exact Duplicate",
  IF(Z383&gt;1, "Conflicting Duplicate - Review",
    "Unique"))</f>
        <v>Unique</v>
      </c>
      <c r="AB383" s="2">
        <f>IF(ISBLANK(R383), 0, IF(ISTEXT(R383), VALUE(SUBSTITUTE(R383, "%", ""))/100, IF(OR(R383&lt;0, R383&gt;1), "Invalid", R383)))</f>
        <v>0.05</v>
      </c>
      <c r="AC383" s="4">
        <f>IF(AB383="Invalid", "Error", P383 * Q383 * (1 - AB383))</f>
        <v>16671.169999999998</v>
      </c>
      <c r="AD383" s="4">
        <f>IF(AC383="Error", "Error", AC383 - T383)</f>
        <v>5837.9799999999977</v>
      </c>
      <c r="AE383" s="2">
        <f>IF(AC383="Error", "Error", IF(AC383=0, 0, AD383 / AC383))</f>
        <v>0.35018418023450054</v>
      </c>
      <c r="AF383" s="7">
        <f>C383-B383</f>
        <v>4</v>
      </c>
      <c r="AG383" s="2" t="str">
        <f>TEXT(B383, "mmmm")</f>
        <v>September</v>
      </c>
      <c r="AH383" s="4">
        <f>YEAR(B383)</f>
        <v>2025</v>
      </c>
      <c r="AI383" s="2" t="str">
        <f t="shared" si="19"/>
        <v>Excluded from Sales</v>
      </c>
      <c r="AJ383">
        <f>COUNTIFS($A$2:$A$1000,A383,$B$2:$B$1000,B383,$C$2:$C$1000,C383,$D$2:$D$1000,D383,$E$2:$E$1000,E383,$F$2:$F$1000,F383)</f>
        <v>1</v>
      </c>
      <c r="AK383">
        <f>COUNTIF($A$2:$A$1000, A383)</f>
        <v>1</v>
      </c>
    </row>
    <row r="384" spans="1:37">
      <c r="A384" t="s">
        <v>1249</v>
      </c>
      <c r="B384" s="5">
        <v>45720</v>
      </c>
      <c r="C384" s="5">
        <v>45872</v>
      </c>
      <c r="D384" s="6">
        <f>IF(AND(C384&lt;&gt;"",B384&lt;&gt;""), C384-B384, "Missing Date")</f>
        <v>152</v>
      </c>
      <c r="E384" s="6" t="str">
        <f>IF(OR(B384="",C384=""), "Missing Date",
    IF(C384&lt;B384, "Invalid: Ship before Order",
      "OK"))</f>
        <v>OK</v>
      </c>
      <c r="F384" t="s">
        <v>157</v>
      </c>
      <c r="G384" t="s">
        <v>53</v>
      </c>
      <c r="H384" t="s">
        <v>37</v>
      </c>
      <c r="I384" t="s">
        <v>38</v>
      </c>
      <c r="J384" t="s">
        <v>145</v>
      </c>
      <c r="K384" t="s">
        <v>146</v>
      </c>
      <c r="L384" t="s">
        <v>74</v>
      </c>
      <c r="M384" t="s">
        <v>171</v>
      </c>
      <c r="N384" t="s">
        <v>1250</v>
      </c>
      <c r="O384" t="s">
        <v>50</v>
      </c>
      <c r="P384">
        <v>3</v>
      </c>
      <c r="Q384">
        <v>4361.8500000000004</v>
      </c>
      <c r="R384">
        <v>0.2</v>
      </c>
      <c r="S384">
        <v>10468.44</v>
      </c>
      <c r="T384">
        <v>8399.8700000000008</v>
      </c>
      <c r="U384">
        <v>2068.5700000000002</v>
      </c>
      <c r="V384" t="s">
        <v>32</v>
      </c>
      <c r="W384" t="s">
        <v>33</v>
      </c>
      <c r="X384" t="str">
        <f>_xlfn.TEXTJOIN("|", TRUE, A384:W384)</f>
        <v>ORD-2025-10383|45720|45872|152|OK|CUST-7098|Arjun Bose|Small Business|East|Bihar|Patna|Technology|Phones|Pro Phones 538|First Class|3|4361.85|0.2|10468.44|8399.87|2068.57|Paid|Completed</v>
      </c>
      <c r="Y384">
        <f>COUNTIF($X$2:$X$1000, X384)</f>
        <v>1</v>
      </c>
      <c r="Z384">
        <f>COUNTIF($A$2:$A$1000, A384)</f>
        <v>1</v>
      </c>
      <c r="AA384" t="str">
        <f>IF(Y384&gt;1, "Exact Duplicate",
  IF(Z384&gt;1, "Conflicting Duplicate - Review",
    "Unique"))</f>
        <v>Unique</v>
      </c>
      <c r="AB384" s="2">
        <f>IF(ISBLANK(R384), 0, IF(ISTEXT(R384), VALUE(SUBSTITUTE(R384, "%", ""))/100, IF(OR(R384&lt;0, R384&gt;1), "Invalid", R384)))</f>
        <v>0.2</v>
      </c>
      <c r="AC384" s="4">
        <f>IF(AB384="Invalid", "Error", P384 * Q384 * (1 - AB384))</f>
        <v>10468.440000000002</v>
      </c>
      <c r="AD384" s="4">
        <f>IF(AC384="Error", "Error", AC384 - T384)</f>
        <v>2068.5700000000015</v>
      </c>
      <c r="AE384" s="2">
        <f>IF(AC384="Error", "Error", IF(AC384=0, 0, AD384 / AC384))</f>
        <v>0.19760059760575607</v>
      </c>
      <c r="AF384" s="7">
        <f>C384-B384</f>
        <v>152</v>
      </c>
      <c r="AG384" s="2" t="str">
        <f>TEXT(B384, "mmmm")</f>
        <v>March</v>
      </c>
      <c r="AH384" s="4">
        <f>YEAR(B384)</f>
        <v>2025</v>
      </c>
      <c r="AI384" s="2" t="str">
        <f t="shared" si="19"/>
        <v>Clean</v>
      </c>
      <c r="AJ384">
        <f>COUNTIFS($A$2:$A$1000,A384,$B$2:$B$1000,B384,$C$2:$C$1000,C384,$D$2:$D$1000,D384,$E$2:$E$1000,E384,$F$2:$F$1000,F384)</f>
        <v>1</v>
      </c>
      <c r="AK384">
        <f>COUNTIF($A$2:$A$1000, A384)</f>
        <v>1</v>
      </c>
    </row>
    <row r="385" spans="1:37">
      <c r="A385" t="s">
        <v>1251</v>
      </c>
      <c r="B385" s="5">
        <v>45836</v>
      </c>
      <c r="C385" s="5">
        <v>45843</v>
      </c>
      <c r="D385" s="6">
        <f>IF(AND(C385&lt;&gt;"",B385&lt;&gt;""), C385-B385, "Missing Date")</f>
        <v>7</v>
      </c>
      <c r="E385" s="6" t="str">
        <f>IF(OR(B385="",C385=""), "Missing Date",
    IF(C385&lt;B385, "Invalid: Ship before Order",
      "OK"))</f>
        <v>OK</v>
      </c>
      <c r="F385" t="s">
        <v>1252</v>
      </c>
      <c r="G385" t="s">
        <v>71</v>
      </c>
      <c r="H385" t="s">
        <v>90</v>
      </c>
      <c r="I385" t="s">
        <v>38</v>
      </c>
      <c r="J385" t="s">
        <v>99</v>
      </c>
      <c r="K385" t="s">
        <v>100</v>
      </c>
      <c r="L385" t="s">
        <v>28</v>
      </c>
      <c r="M385" t="s">
        <v>48</v>
      </c>
      <c r="N385" t="s">
        <v>1253</v>
      </c>
      <c r="O385" t="s">
        <v>50</v>
      </c>
      <c r="P385">
        <v>2</v>
      </c>
      <c r="Q385">
        <v>2242.75</v>
      </c>
      <c r="R385">
        <v>0</v>
      </c>
      <c r="S385">
        <v>4485.5</v>
      </c>
      <c r="T385">
        <v>3131.86</v>
      </c>
      <c r="U385">
        <v>1353.64</v>
      </c>
      <c r="V385" t="s">
        <v>32</v>
      </c>
      <c r="W385" t="s">
        <v>68</v>
      </c>
      <c r="X385" t="str">
        <f>_xlfn.TEXTJOIN("|", TRUE, A385:W385)</f>
        <v>ORD-2025-10384|45836|45843|7|OK|CUST-7438|Vikram Iyer|Corporate|East|West Bengal|Kolkata|Office Supplies|Art|Basic Art 608|First Class|2|2242.75|0|4485.5|3131.86|1353.64|Paid|Cancelled</v>
      </c>
      <c r="Y385">
        <f>COUNTIF($X$2:$X$1000, X385)</f>
        <v>1</v>
      </c>
      <c r="Z385">
        <f>COUNTIF($A$2:$A$1000, A385)</f>
        <v>1</v>
      </c>
      <c r="AA385" t="str">
        <f>IF(Y385&gt;1, "Exact Duplicate",
  IF(Z385&gt;1, "Conflicting Duplicate - Review",
    "Unique"))</f>
        <v>Unique</v>
      </c>
      <c r="AB385" s="2">
        <f>IF(ISBLANK(R385), 0, IF(ISTEXT(R385), VALUE(SUBSTITUTE(R385, "%", ""))/100, IF(OR(R385&lt;0, R385&gt;1), "Invalid", R385)))</f>
        <v>0</v>
      </c>
      <c r="AC385" s="4">
        <f>IF(AB385="Invalid", "Error", P385 * Q385 * (1 - AB385))</f>
        <v>4485.5</v>
      </c>
      <c r="AD385" s="4">
        <f>IF(AC385="Error", "Error", AC385 - T385)</f>
        <v>1353.6399999999999</v>
      </c>
      <c r="AE385" s="2">
        <f>IF(AC385="Error", "Error", IF(AC385=0, 0, AD385 / AC385))</f>
        <v>0.30178129528480657</v>
      </c>
      <c r="AF385" s="7">
        <f>C385-B385</f>
        <v>7</v>
      </c>
      <c r="AG385" s="2" t="str">
        <f>TEXT(B385, "mmmm")</f>
        <v>June</v>
      </c>
      <c r="AH385" s="4">
        <f>YEAR(B385)</f>
        <v>2025</v>
      </c>
      <c r="AI385" s="2" t="str">
        <f t="shared" si="19"/>
        <v>Excluded from Sales</v>
      </c>
      <c r="AJ385">
        <f>COUNTIFS($A$2:$A$1000,A385,$B$2:$B$1000,B385,$C$2:$C$1000,C385,$D$2:$D$1000,D385,$E$2:$E$1000,E385,$F$2:$F$1000,F385)</f>
        <v>1</v>
      </c>
      <c r="AK385">
        <f>COUNTIF($A$2:$A$1000, A385)</f>
        <v>1</v>
      </c>
    </row>
    <row r="386" spans="1:37">
      <c r="A386" t="s">
        <v>1254</v>
      </c>
      <c r="B386" s="5">
        <v>45366</v>
      </c>
      <c r="C386" s="5">
        <v>45371</v>
      </c>
      <c r="D386" s="6">
        <f>IF(AND(C386&lt;&gt;"",B386&lt;&gt;""), C386-B386, "Missing Date")</f>
        <v>5</v>
      </c>
      <c r="E386" s="6" t="str">
        <f>IF(OR(B386="",C386=""), "Missing Date",
    IF(C386&lt;B386, "Invalid: Ship before Order",
      "OK"))</f>
        <v>OK</v>
      </c>
      <c r="F386" t="s">
        <v>1255</v>
      </c>
      <c r="G386" t="s">
        <v>141</v>
      </c>
      <c r="H386" t="s">
        <v>24</v>
      </c>
      <c r="I386" t="s">
        <v>38</v>
      </c>
      <c r="J386" t="s">
        <v>228</v>
      </c>
      <c r="K386" t="s">
        <v>229</v>
      </c>
      <c r="L386" t="s">
        <v>74</v>
      </c>
      <c r="M386" t="s">
        <v>80</v>
      </c>
      <c r="N386" t="s">
        <v>1256</v>
      </c>
      <c r="O386" t="s">
        <v>59</v>
      </c>
      <c r="P386">
        <v>2</v>
      </c>
      <c r="Q386">
        <v>1881.4</v>
      </c>
      <c r="R386">
        <v>0.25</v>
      </c>
      <c r="S386">
        <v>2822.1</v>
      </c>
      <c r="T386">
        <v>1624.57</v>
      </c>
      <c r="U386">
        <v>1197.53</v>
      </c>
      <c r="V386" t="s">
        <v>32</v>
      </c>
      <c r="W386" t="s">
        <v>103</v>
      </c>
      <c r="X386" t="str">
        <f>_xlfn.TEXTJOIN("|", TRUE, A386:W386)</f>
        <v>ORD-2024-10385|45366|45371|5|OK|CUST-8432|Rohan Mehta|Consumer|East|Jharkhand|Ranchi|Technology|Copiers|Prime Copiers 820|Standard Class|2|1881.4|0.25|2822.1|1624.57|1197.53|Paid|Returned</v>
      </c>
      <c r="Y386">
        <f>COUNTIF($X$2:$X$1000, X386)</f>
        <v>1</v>
      </c>
      <c r="Z386">
        <f>COUNTIF($A$2:$A$1000, A386)</f>
        <v>1</v>
      </c>
      <c r="AA386" t="str">
        <f>IF(Y386&gt;1, "Exact Duplicate",
  IF(Z386&gt;1, "Conflicting Duplicate - Review",
    "Unique"))</f>
        <v>Unique</v>
      </c>
      <c r="AB386" s="2">
        <f>IF(ISBLANK(R386), 0, IF(ISTEXT(R386), VALUE(SUBSTITUTE(R386, "%", ""))/100, IF(OR(R386&lt;0, R386&gt;1), "Invalid", R386)))</f>
        <v>0.25</v>
      </c>
      <c r="AC386" s="4">
        <f>IF(AB386="Invalid", "Error", P386 * Q386 * (1 - AB386))</f>
        <v>2822.1000000000004</v>
      </c>
      <c r="AD386" s="4">
        <f>IF(AC386="Error", "Error", AC386 - T386)</f>
        <v>1197.5300000000004</v>
      </c>
      <c r="AE386" s="2">
        <f>IF(AC386="Error", "Error", IF(AC386=0, 0, AD386 / AC386))</f>
        <v>0.42434003047376079</v>
      </c>
      <c r="AF386" s="7">
        <f>C386-B386</f>
        <v>5</v>
      </c>
      <c r="AG386" s="2" t="str">
        <f>TEXT(B386, "mmmm")</f>
        <v>March</v>
      </c>
      <c r="AH386" s="4">
        <f>YEAR(B386)</f>
        <v>2024</v>
      </c>
      <c r="AI386" s="2" t="str">
        <f t="shared" si="19"/>
        <v>Clean</v>
      </c>
      <c r="AJ386">
        <f>COUNTIFS($A$2:$A$1000,A386,$B$2:$B$1000,B386,$C$2:$C$1000,C386,$D$2:$D$1000,D386,$E$2:$E$1000,E386,$F$2:$F$1000,F386)</f>
        <v>1</v>
      </c>
      <c r="AK386">
        <f>COUNTIF($A$2:$A$1000, A386)</f>
        <v>1</v>
      </c>
    </row>
    <row r="387" spans="1:37">
      <c r="A387" t="s">
        <v>1257</v>
      </c>
      <c r="B387" s="5">
        <v>45832</v>
      </c>
      <c r="C387" s="5">
        <v>45838</v>
      </c>
      <c r="D387" s="6">
        <f>IF(AND(C387&lt;&gt;"",B387&lt;&gt;""), C387-B387, "Missing Date")</f>
        <v>6</v>
      </c>
      <c r="E387" s="6" t="str">
        <f>IF(OR(B387="",C387=""), "Missing Date",
    IF(C387&lt;B387, "Invalid: Ship before Order",
      "OK"))</f>
        <v>OK</v>
      </c>
      <c r="F387" t="s">
        <v>1258</v>
      </c>
      <c r="G387" t="s">
        <v>53</v>
      </c>
      <c r="H387" t="s">
        <v>24</v>
      </c>
      <c r="I387" t="s">
        <v>25</v>
      </c>
      <c r="J387" t="s">
        <v>236</v>
      </c>
      <c r="K387" t="s">
        <v>237</v>
      </c>
      <c r="L387" t="s">
        <v>28</v>
      </c>
      <c r="M387" t="s">
        <v>91</v>
      </c>
      <c r="N387" t="s">
        <v>1259</v>
      </c>
      <c r="O387" t="s">
        <v>59</v>
      </c>
      <c r="P387">
        <v>6</v>
      </c>
      <c r="Q387">
        <v>365.76</v>
      </c>
      <c r="R387">
        <v>0.1</v>
      </c>
      <c r="S387">
        <v>1975.1</v>
      </c>
      <c r="T387">
        <v>1115.3499999999999</v>
      </c>
      <c r="U387">
        <v>859.75</v>
      </c>
      <c r="V387" t="s">
        <v>32</v>
      </c>
      <c r="W387" t="s">
        <v>33</v>
      </c>
      <c r="X387" t="str">
        <f>_xlfn.TEXTJOIN("|", TRUE, A387:W387)</f>
        <v>ORD-2025-10386|45832|45838|6|OK|CUST-2834|Arjun Bose|Consumer|North|Haryana|Gurugram|Office Supplies|Labels|Classic Labels 670|Standard Class|6|365.76|0.1|1975.1|1115.35|859.75|Paid|Completed</v>
      </c>
      <c r="Y387">
        <f>COUNTIF($X$2:$X$1000, X387)</f>
        <v>1</v>
      </c>
      <c r="Z387">
        <f>COUNTIF($A$2:$A$1000, A387)</f>
        <v>1</v>
      </c>
      <c r="AA387" t="str">
        <f>IF(Y387&gt;1, "Exact Duplicate",
  IF(Z387&gt;1, "Conflicting Duplicate - Review",
    "Unique"))</f>
        <v>Unique</v>
      </c>
      <c r="AB387" s="2">
        <f>IF(ISBLANK(R387), 0, IF(ISTEXT(R387), VALUE(SUBSTITUTE(R387, "%", ""))/100, IF(OR(R387&lt;0, R387&gt;1), "Invalid", R387)))</f>
        <v>0.1</v>
      </c>
      <c r="AC387" s="4">
        <f>IF(AB387="Invalid", "Error", P387 * Q387 * (1 - AB387))</f>
        <v>1975.104</v>
      </c>
      <c r="AD387" s="4">
        <f>IF(AC387="Error", "Error", AC387 - T387)</f>
        <v>859.75400000000013</v>
      </c>
      <c r="AE387" s="2">
        <f>IF(AC387="Error", "Error", IF(AC387=0, 0, AD387 / AC387))</f>
        <v>0.4352955591199249</v>
      </c>
      <c r="AF387" s="7">
        <f>C387-B387</f>
        <v>6</v>
      </c>
      <c r="AG387" s="2" t="str">
        <f>TEXT(B387, "mmmm")</f>
        <v>June</v>
      </c>
      <c r="AH387" s="4">
        <f>YEAR(B387)</f>
        <v>2025</v>
      </c>
      <c r="AI387" s="2" t="str">
        <f t="shared" ref="AI387:AI450" si="20">IF(OR(R387&lt;0,R387&gt;1),"Invalid: Discount",
IF(AND(I387="Unknown",J387&lt;&gt;""),"Warning: Missing Region",
IF(W387="Cancelled","Excluded from Sales",
IF(V387="Failed","Excluded from Sales",
IF(O387="Unknown","Warning: Missing Shipping Mode",
IF(W387="Refunded","Refund – Separate Summary",
IF(C387&lt;B387,"Invalid Shipping Record",
"Clean")))))))</f>
        <v>Clean</v>
      </c>
      <c r="AJ387">
        <f>COUNTIFS($A$2:$A$1000,A387,$B$2:$B$1000,B387,$C$2:$C$1000,C387,$D$2:$D$1000,D387,$E$2:$E$1000,E387,$F$2:$F$1000,F387)</f>
        <v>1</v>
      </c>
      <c r="AK387">
        <f>COUNTIF($A$2:$A$1000, A387)</f>
        <v>1</v>
      </c>
    </row>
    <row r="388" spans="1:37">
      <c r="A388" t="s">
        <v>1260</v>
      </c>
      <c r="B388" s="5">
        <v>45993</v>
      </c>
      <c r="C388" s="5">
        <v>45702</v>
      </c>
      <c r="D388" s="6">
        <f>IF(AND(C388&lt;&gt;"",B388&lt;&gt;""), C388-B388, "Missing Date")</f>
        <v>-291</v>
      </c>
      <c r="E388" s="6" t="str">
        <f>IF(OR(B388="",C388=""), "Missing Date",
    IF(C388&lt;B388, "Invalid: Ship before Order",
      "OK"))</f>
        <v>Invalid: Ship before Order</v>
      </c>
      <c r="F388" t="s">
        <v>1261</v>
      </c>
      <c r="G388" t="s">
        <v>132</v>
      </c>
      <c r="H388" t="s">
        <v>24</v>
      </c>
      <c r="I388" t="s">
        <v>63</v>
      </c>
      <c r="J388" t="s">
        <v>64</v>
      </c>
      <c r="K388" t="s">
        <v>65</v>
      </c>
      <c r="L388" t="s">
        <v>41</v>
      </c>
      <c r="M388" t="s">
        <v>57</v>
      </c>
      <c r="N388" t="s">
        <v>1262</v>
      </c>
      <c r="O388" t="s">
        <v>31</v>
      </c>
      <c r="P388">
        <v>8</v>
      </c>
      <c r="Q388">
        <v>2786.66</v>
      </c>
      <c r="R388">
        <v>0.1</v>
      </c>
      <c r="S388">
        <v>20063.95</v>
      </c>
      <c r="T388">
        <v>14363.38</v>
      </c>
      <c r="U388">
        <v>5700.57</v>
      </c>
      <c r="V388" t="s">
        <v>32</v>
      </c>
      <c r="W388" t="s">
        <v>33</v>
      </c>
      <c r="X388" t="str">
        <f>_xlfn.TEXTJOIN("|", TRUE, A388:W388)</f>
        <v>ORD-2025-10387|45993|45702|-291|Invalid: Ship before Order|CUST-4222|Sneha Kapoor|Consumer|West|Maharashtra|Mumbai|Furniture|Furnishings|Prime Furnishings 597|Second Class|8|2786.66|0.1|20063.95|14363.38|5700.57|Paid|Completed</v>
      </c>
      <c r="Y388">
        <f>COUNTIF($X$2:$X$1000, X388)</f>
        <v>1</v>
      </c>
      <c r="Z388">
        <f>COUNTIF($A$2:$A$1000, A388)</f>
        <v>1</v>
      </c>
      <c r="AA388" t="str">
        <f>IF(Y388&gt;1, "Exact Duplicate",
  IF(Z388&gt;1, "Conflicting Duplicate - Review",
    "Unique"))</f>
        <v>Unique</v>
      </c>
      <c r="AB388" s="2">
        <f>IF(ISBLANK(R388), 0, IF(ISTEXT(R388), VALUE(SUBSTITUTE(R388, "%", ""))/100, IF(OR(R388&lt;0, R388&gt;1), "Invalid", R388)))</f>
        <v>0.1</v>
      </c>
      <c r="AC388" s="4">
        <f>IF(AB388="Invalid", "Error", P388 * Q388 * (1 - AB388))</f>
        <v>20063.952000000001</v>
      </c>
      <c r="AD388" s="4">
        <f>IF(AC388="Error", "Error", AC388 - T388)</f>
        <v>5700.5720000000019</v>
      </c>
      <c r="AE388" s="2">
        <f>IF(AC388="Error", "Error", IF(AC388=0, 0, AD388 / AC388))</f>
        <v>0.2841200975759911</v>
      </c>
      <c r="AF388" s="7">
        <f>C388-B388</f>
        <v>-291</v>
      </c>
      <c r="AG388" s="2" t="str">
        <f>TEXT(B388, "mmmm")</f>
        <v>December</v>
      </c>
      <c r="AH388" s="4">
        <f>YEAR(B388)</f>
        <v>2025</v>
      </c>
      <c r="AI388" s="2" t="str">
        <f t="shared" si="20"/>
        <v>Invalid Shipping Record</v>
      </c>
      <c r="AJ388">
        <f>COUNTIFS($A$2:$A$1000,A388,$B$2:$B$1000,B388,$C$2:$C$1000,C388,$D$2:$D$1000,D388,$E$2:$E$1000,E388,$F$2:$F$1000,F388)</f>
        <v>1</v>
      </c>
      <c r="AK388">
        <f>COUNTIF($A$2:$A$1000, A388)</f>
        <v>1</v>
      </c>
    </row>
    <row r="389" spans="1:37">
      <c r="A389" t="s">
        <v>1263</v>
      </c>
      <c r="B389" s="5">
        <v>45879</v>
      </c>
      <c r="C389" s="5">
        <v>45882</v>
      </c>
      <c r="D389" s="6">
        <f>IF(AND(C389&lt;&gt;"",B389&lt;&gt;""), C389-B389, "Missing Date")</f>
        <v>3</v>
      </c>
      <c r="E389" s="6" t="str">
        <f>IF(OR(B389="",C389=""), "Missing Date",
    IF(C389&lt;B389, "Invalid: Ship before Order",
      "OK"))</f>
        <v>OK</v>
      </c>
      <c r="F389" t="s">
        <v>1264</v>
      </c>
      <c r="G389" t="s">
        <v>114</v>
      </c>
      <c r="H389" t="s">
        <v>37</v>
      </c>
      <c r="I389" t="s">
        <v>63</v>
      </c>
      <c r="J389" t="s">
        <v>72</v>
      </c>
      <c r="K389" t="s">
        <v>73</v>
      </c>
      <c r="L389" t="s">
        <v>41</v>
      </c>
      <c r="M389" t="s">
        <v>66</v>
      </c>
      <c r="N389" t="s">
        <v>1265</v>
      </c>
      <c r="O389" t="s">
        <v>59</v>
      </c>
      <c r="P389">
        <v>5</v>
      </c>
      <c r="Q389">
        <v>352.86</v>
      </c>
      <c r="R389">
        <v>0</v>
      </c>
      <c r="S389">
        <v>1764.3</v>
      </c>
      <c r="T389">
        <v>1332.49</v>
      </c>
      <c r="U389">
        <v>431.81</v>
      </c>
      <c r="V389" t="s">
        <v>111</v>
      </c>
      <c r="W389" t="s">
        <v>68</v>
      </c>
      <c r="X389" t="str">
        <f>_xlfn.TEXTJOIN("|", TRUE, A389:W389)</f>
        <v>ORD-2025-10388|45879|45882|3|OK|CUST-1053|Priya Menon|Small Business|West|Madhya Pradesh|Indore|Furniture|Chairs|Prime Chairs 196|Standard Class|5|352.86|0|1764.3|1332.49|431.81|Pending|Cancelled</v>
      </c>
      <c r="Y389">
        <f>COUNTIF($X$2:$X$1000, X389)</f>
        <v>1</v>
      </c>
      <c r="Z389">
        <f>COUNTIF($A$2:$A$1000, A389)</f>
        <v>1</v>
      </c>
      <c r="AA389" t="str">
        <f>IF(Y389&gt;1, "Exact Duplicate",
  IF(Z389&gt;1, "Conflicting Duplicate - Review",
    "Unique"))</f>
        <v>Unique</v>
      </c>
      <c r="AB389" s="2">
        <f>IF(ISBLANK(R389), 0, IF(ISTEXT(R389), VALUE(SUBSTITUTE(R389, "%", ""))/100, IF(OR(R389&lt;0, R389&gt;1), "Invalid", R389)))</f>
        <v>0</v>
      </c>
      <c r="AC389" s="4">
        <f>IF(AB389="Invalid", "Error", P389 * Q389 * (1 - AB389))</f>
        <v>1764.3000000000002</v>
      </c>
      <c r="AD389" s="4">
        <f>IF(AC389="Error", "Error", AC389 - T389)</f>
        <v>431.81000000000017</v>
      </c>
      <c r="AE389" s="2">
        <f>IF(AC389="Error", "Error", IF(AC389=0, 0, AD389 / AC389))</f>
        <v>0.24474862551720236</v>
      </c>
      <c r="AF389" s="7">
        <f>C389-B389</f>
        <v>3</v>
      </c>
      <c r="AG389" s="2" t="str">
        <f>TEXT(B389, "mmmm")</f>
        <v>August</v>
      </c>
      <c r="AH389" s="4">
        <f>YEAR(B389)</f>
        <v>2025</v>
      </c>
      <c r="AI389" s="2" t="str">
        <f t="shared" si="20"/>
        <v>Excluded from Sales</v>
      </c>
      <c r="AJ389">
        <f>COUNTIFS($A$2:$A$1000,A389,$B$2:$B$1000,B389,$C$2:$C$1000,C389,$D$2:$D$1000,D389,$E$2:$E$1000,E389,$F$2:$F$1000,F389)</f>
        <v>1</v>
      </c>
      <c r="AK389">
        <f>COUNTIF($A$2:$A$1000, A389)</f>
        <v>1</v>
      </c>
    </row>
    <row r="390" spans="1:37">
      <c r="A390" t="s">
        <v>1266</v>
      </c>
      <c r="B390" s="5">
        <v>45425</v>
      </c>
      <c r="C390" s="5">
        <v>45430</v>
      </c>
      <c r="D390" s="6">
        <f>IF(AND(C390&lt;&gt;"",B390&lt;&gt;""), C390-B390, "Missing Date")</f>
        <v>5</v>
      </c>
      <c r="E390" s="6" t="str">
        <f>IF(OR(B390="",C390=""), "Missing Date",
    IF(C390&lt;B390, "Invalid: Ship before Order",
      "OK"))</f>
        <v>OK</v>
      </c>
      <c r="F390" t="s">
        <v>1267</v>
      </c>
      <c r="G390" t="s">
        <v>47</v>
      </c>
      <c r="H390" t="s">
        <v>37</v>
      </c>
      <c r="I390" t="s">
        <v>63</v>
      </c>
      <c r="J390" t="s">
        <v>180</v>
      </c>
      <c r="K390" t="s">
        <v>181</v>
      </c>
      <c r="L390" t="s">
        <v>41</v>
      </c>
      <c r="M390" t="s">
        <v>66</v>
      </c>
      <c r="N390" t="s">
        <v>1268</v>
      </c>
      <c r="O390" t="s">
        <v>59</v>
      </c>
      <c r="P390">
        <v>3</v>
      </c>
      <c r="Q390">
        <v>3128.59</v>
      </c>
      <c r="R390">
        <v>0</v>
      </c>
      <c r="S390">
        <v>9385.77</v>
      </c>
      <c r="T390">
        <v>6872.44</v>
      </c>
      <c r="U390">
        <v>2783.66</v>
      </c>
      <c r="V390" t="s">
        <v>32</v>
      </c>
      <c r="W390" t="s">
        <v>33</v>
      </c>
      <c r="X390" t="str">
        <f>_xlfn.TEXTJOIN("|", TRUE, A390:W390)</f>
        <v>ORD-2024-10389|45425|45430|5|OK|CUST-1457|Isha Nair|Small Business|West|Gujarat|Ahmedabad|Furniture|Chairs|Elite Chairs 639|Standard Class|3|3128.59|0|9385.77|6872.44|2783.66|Paid|Completed</v>
      </c>
      <c r="Y390">
        <f>COUNTIF($X$2:$X$1000, X390)</f>
        <v>1</v>
      </c>
      <c r="Z390">
        <f>COUNTIF($A$2:$A$1000, A390)</f>
        <v>1</v>
      </c>
      <c r="AA390" t="str">
        <f>IF(Y390&gt;1, "Exact Duplicate",
  IF(Z390&gt;1, "Conflicting Duplicate - Review",
    "Unique"))</f>
        <v>Unique</v>
      </c>
      <c r="AB390" s="2">
        <f>IF(ISBLANK(R390), 0, IF(ISTEXT(R390), VALUE(SUBSTITUTE(R390, "%", ""))/100, IF(OR(R390&lt;0, R390&gt;1), "Invalid", R390)))</f>
        <v>0</v>
      </c>
      <c r="AC390" s="4">
        <f>IF(AB390="Invalid", "Error", P390 * Q390 * (1 - AB390))</f>
        <v>9385.77</v>
      </c>
      <c r="AD390" s="4">
        <f>IF(AC390="Error", "Error", AC390 - T390)</f>
        <v>2513.3300000000008</v>
      </c>
      <c r="AE390" s="2">
        <f>IF(AC390="Error", "Error", IF(AC390=0, 0, AD390 / AC390))</f>
        <v>0.26778090662779941</v>
      </c>
      <c r="AF390" s="7">
        <f>C390-B390</f>
        <v>5</v>
      </c>
      <c r="AG390" s="2" t="str">
        <f>TEXT(B390, "mmmm")</f>
        <v>May</v>
      </c>
      <c r="AH390" s="4">
        <f>YEAR(B390)</f>
        <v>2024</v>
      </c>
      <c r="AI390" s="2" t="str">
        <f t="shared" si="20"/>
        <v>Clean</v>
      </c>
      <c r="AJ390">
        <f>COUNTIFS($A$2:$A$1000,A390,$B$2:$B$1000,B390,$C$2:$C$1000,C390,$D$2:$D$1000,D390,$E$2:$E$1000,E390,$F$2:$F$1000,F390)</f>
        <v>1</v>
      </c>
      <c r="AK390">
        <f>COUNTIF($A$2:$A$1000, A390)</f>
        <v>1</v>
      </c>
    </row>
    <row r="391" spans="1:37">
      <c r="A391" t="s">
        <v>1269</v>
      </c>
      <c r="B391" s="5">
        <v>45387</v>
      </c>
      <c r="C391" s="5">
        <v>45395</v>
      </c>
      <c r="D391" s="6">
        <f>IF(AND(C391&lt;&gt;"",B391&lt;&gt;""), C391-B391, "Missing Date")</f>
        <v>8</v>
      </c>
      <c r="E391" s="6" t="str">
        <f>IF(OR(B391="",C391=""), "Missing Date",
    IF(C391&lt;B391, "Invalid: Ship before Order",
      "OK"))</f>
        <v>OK</v>
      </c>
      <c r="F391" t="s">
        <v>1270</v>
      </c>
      <c r="G391" t="s">
        <v>162</v>
      </c>
      <c r="H391" t="s">
        <v>90</v>
      </c>
      <c r="I391" t="s">
        <v>63</v>
      </c>
      <c r="J391" t="s">
        <v>180</v>
      </c>
      <c r="K391" t="s">
        <v>181</v>
      </c>
      <c r="L391" t="s">
        <v>74</v>
      </c>
      <c r="M391" t="s">
        <v>274</v>
      </c>
      <c r="N391" t="s">
        <v>1271</v>
      </c>
      <c r="O391" t="s">
        <v>31</v>
      </c>
      <c r="P391">
        <v>5</v>
      </c>
      <c r="Q391">
        <v>1937.54</v>
      </c>
      <c r="R391">
        <v>0.2</v>
      </c>
      <c r="S391">
        <v>7750.16</v>
      </c>
      <c r="T391">
        <v>5434.3</v>
      </c>
      <c r="U391">
        <v>2315.86</v>
      </c>
      <c r="V391" t="s">
        <v>111</v>
      </c>
      <c r="W391" t="s">
        <v>68</v>
      </c>
      <c r="X391" t="str">
        <f>_xlfn.TEXTJOIN("|", TRUE, A391:W391)</f>
        <v>ORD-2024-10390|45387|45395|8|OK|CUST-3930|Diya Patel|Corporate|West|Gujarat|Ahmedabad|Technology|Machines|Elite Machines 563|Second Class|5|1937.54|0.2|7750.16|5434.3|2315.86|Pending|Cancelled</v>
      </c>
      <c r="Y391">
        <f>COUNTIF($X$2:$X$1000, X391)</f>
        <v>1</v>
      </c>
      <c r="Z391">
        <f>COUNTIF($A$2:$A$1000, A391)</f>
        <v>1</v>
      </c>
      <c r="AA391" t="str">
        <f>IF(Y391&gt;1, "Exact Duplicate",
  IF(Z391&gt;1, "Conflicting Duplicate - Review",
    "Unique"))</f>
        <v>Unique</v>
      </c>
      <c r="AB391" s="2">
        <f>IF(ISBLANK(R391), 0, IF(ISTEXT(R391), VALUE(SUBSTITUTE(R391, "%", ""))/100, IF(OR(R391&lt;0, R391&gt;1), "Invalid", R391)))</f>
        <v>0.2</v>
      </c>
      <c r="AC391" s="4">
        <f>IF(AB391="Invalid", "Error", P391 * Q391 * (1 - AB391))</f>
        <v>7750.1600000000008</v>
      </c>
      <c r="AD391" s="4">
        <f>IF(AC391="Error", "Error", AC391 - T391)</f>
        <v>2315.8600000000006</v>
      </c>
      <c r="AE391" s="2">
        <f>IF(AC391="Error", "Error", IF(AC391=0, 0, AD391 / AC391))</f>
        <v>0.29881447608823564</v>
      </c>
      <c r="AF391" s="7">
        <f>C391-B391</f>
        <v>8</v>
      </c>
      <c r="AG391" s="2" t="str">
        <f>TEXT(B391, "mmmm")</f>
        <v>April</v>
      </c>
      <c r="AH391" s="4">
        <f>YEAR(B391)</f>
        <v>2024</v>
      </c>
      <c r="AI391" s="2" t="str">
        <f t="shared" si="20"/>
        <v>Excluded from Sales</v>
      </c>
      <c r="AJ391">
        <f>COUNTIFS($A$2:$A$1000,A391,$B$2:$B$1000,B391,$C$2:$C$1000,C391,$D$2:$D$1000,D391,$E$2:$E$1000,E391,$F$2:$F$1000,F391)</f>
        <v>1</v>
      </c>
      <c r="AK391">
        <f>COUNTIF($A$2:$A$1000, A391)</f>
        <v>1</v>
      </c>
    </row>
    <row r="392" spans="1:37">
      <c r="A392" t="s">
        <v>1272</v>
      </c>
      <c r="B392" s="5">
        <v>45602</v>
      </c>
      <c r="C392" s="5">
        <v>45607</v>
      </c>
      <c r="D392" s="6">
        <f>IF(AND(C392&lt;&gt;"",B392&lt;&gt;""), C392-B392, "Missing Date")</f>
        <v>5</v>
      </c>
      <c r="E392" s="6" t="str">
        <f>IF(OR(B392="",C392=""), "Missing Date",
    IF(C392&lt;B392, "Invalid: Ship before Order",
      "OK"))</f>
        <v>OK</v>
      </c>
      <c r="F392" t="s">
        <v>1273</v>
      </c>
      <c r="G392" t="s">
        <v>47</v>
      </c>
      <c r="H392" t="s">
        <v>24</v>
      </c>
      <c r="I392" t="s">
        <v>63</v>
      </c>
      <c r="J392" t="s">
        <v>180</v>
      </c>
      <c r="K392" t="s">
        <v>181</v>
      </c>
      <c r="L392" t="s">
        <v>41</v>
      </c>
      <c r="M392" t="s">
        <v>57</v>
      </c>
      <c r="N392" t="s">
        <v>1274</v>
      </c>
      <c r="O392" t="s">
        <v>59</v>
      </c>
      <c r="P392">
        <v>4</v>
      </c>
      <c r="Q392">
        <v>1917.26</v>
      </c>
      <c r="R392">
        <v>0.2</v>
      </c>
      <c r="S392">
        <v>6135.23</v>
      </c>
      <c r="T392">
        <v>3439.79</v>
      </c>
      <c r="U392">
        <v>2695.44</v>
      </c>
      <c r="V392" t="s">
        <v>32</v>
      </c>
      <c r="W392" t="s">
        <v>33</v>
      </c>
      <c r="X392" t="str">
        <f>_xlfn.TEXTJOIN("|", TRUE, A392:W392)</f>
        <v>ORD-2024-10391|45602|45607|5|OK|CUST-7853|Isha Nair|Consumer|West|Gujarat|Ahmedabad|Furniture|Furnishings|Pro Furnishings 281|Standard Class|4|1917.26|0.2|6135.23|3439.79|2695.44|Paid|Completed</v>
      </c>
      <c r="Y392">
        <f>COUNTIF($X$2:$X$1000, X392)</f>
        <v>1</v>
      </c>
      <c r="Z392">
        <f>COUNTIF($A$2:$A$1000, A392)</f>
        <v>1</v>
      </c>
      <c r="AA392" t="str">
        <f>IF(Y392&gt;1, "Exact Duplicate",
  IF(Z392&gt;1, "Conflicting Duplicate - Review",
    "Unique"))</f>
        <v>Unique</v>
      </c>
      <c r="AB392" s="2">
        <f>IF(ISBLANK(R392), 0, IF(ISTEXT(R392), VALUE(SUBSTITUTE(R392, "%", ""))/100, IF(OR(R392&lt;0, R392&gt;1), "Invalid", R392)))</f>
        <v>0.2</v>
      </c>
      <c r="AC392" s="4">
        <f>IF(AB392="Invalid", "Error", P392 * Q392 * (1 - AB392))</f>
        <v>6135.232</v>
      </c>
      <c r="AD392" s="4">
        <f>IF(AC392="Error", "Error", AC392 - T392)</f>
        <v>2695.442</v>
      </c>
      <c r="AE392" s="2">
        <f>IF(AC392="Error", "Error", IF(AC392=0, 0, AD392 / AC392))</f>
        <v>0.43933823529411764</v>
      </c>
      <c r="AF392" s="7">
        <f>C392-B392</f>
        <v>5</v>
      </c>
      <c r="AG392" s="2" t="str">
        <f>TEXT(B392, "mmmm")</f>
        <v>November</v>
      </c>
      <c r="AH392" s="4">
        <f>YEAR(B392)</f>
        <v>2024</v>
      </c>
      <c r="AI392" s="2" t="str">
        <f t="shared" si="20"/>
        <v>Clean</v>
      </c>
      <c r="AJ392">
        <f>COUNTIFS($A$2:$A$1000,A392,$B$2:$B$1000,B392,$C$2:$C$1000,C392,$D$2:$D$1000,D392,$E$2:$E$1000,E392,$F$2:$F$1000,F392)</f>
        <v>1</v>
      </c>
      <c r="AK392">
        <f>COUNTIF($A$2:$A$1000, A392)</f>
        <v>1</v>
      </c>
    </row>
    <row r="393" spans="1:37">
      <c r="A393" t="s">
        <v>1275</v>
      </c>
      <c r="B393" s="5">
        <v>45702</v>
      </c>
      <c r="C393" s="5">
        <v>45702</v>
      </c>
      <c r="D393" s="6">
        <f>IF(AND(C393&lt;&gt;"",B393&lt;&gt;""), C393-B393, "Missing Date")</f>
        <v>0</v>
      </c>
      <c r="E393" s="6" t="str">
        <f>IF(OR(B393="",C393=""), "Missing Date",
    IF(C393&lt;B393, "Invalid: Ship before Order",
      "OK"))</f>
        <v>OK</v>
      </c>
      <c r="F393" t="s">
        <v>1276</v>
      </c>
      <c r="G393" t="s">
        <v>162</v>
      </c>
      <c r="H393" t="s">
        <v>24</v>
      </c>
      <c r="I393" t="s">
        <v>54</v>
      </c>
      <c r="J393" t="s">
        <v>175</v>
      </c>
      <c r="K393" t="s">
        <v>176</v>
      </c>
      <c r="L393" t="s">
        <v>28</v>
      </c>
      <c r="M393" t="s">
        <v>124</v>
      </c>
      <c r="N393" t="s">
        <v>1277</v>
      </c>
      <c r="O393" t="s">
        <v>50</v>
      </c>
      <c r="P393">
        <v>1</v>
      </c>
      <c r="Q393">
        <v>714.43</v>
      </c>
      <c r="R393">
        <v>0</v>
      </c>
      <c r="S393">
        <v>714.43</v>
      </c>
      <c r="T393">
        <v>565.44000000000005</v>
      </c>
      <c r="U393">
        <v>148.99</v>
      </c>
      <c r="V393" t="s">
        <v>32</v>
      </c>
      <c r="W393" t="s">
        <v>33</v>
      </c>
      <c r="X393" t="str">
        <f>_xlfn.TEXTJOIN("|", TRUE, A393:W393)</f>
        <v>ORD-2025-10392|45702|45702|0|OK|CUST-2267|Diya Patel|Consumer|South|Karnataka|Bengaluru|Office Supplies|Storage|Eco Storage 285|First Class|1|714.43|0|714.43|565.44|148.99|Paid|Completed</v>
      </c>
      <c r="Y393">
        <f>COUNTIF($X$2:$X$1000, X393)</f>
        <v>1</v>
      </c>
      <c r="Z393">
        <f>COUNTIF($A$2:$A$1000, A393)</f>
        <v>1</v>
      </c>
      <c r="AA393" t="str">
        <f>IF(Y393&gt;1, "Exact Duplicate",
  IF(Z393&gt;1, "Conflicting Duplicate - Review",
    "Unique"))</f>
        <v>Unique</v>
      </c>
      <c r="AB393" s="2">
        <f>IF(ISBLANK(R393), 0, IF(ISTEXT(R393), VALUE(SUBSTITUTE(R393, "%", ""))/100, IF(OR(R393&lt;0, R393&gt;1), "Invalid", R393)))</f>
        <v>0</v>
      </c>
      <c r="AC393" s="4">
        <f>IF(AB393="Invalid", "Error", P393 * Q393 * (1 - AB393))</f>
        <v>714.43</v>
      </c>
      <c r="AD393" s="4">
        <f>IF(AC393="Error", "Error", AC393 - T393)</f>
        <v>148.9899999999999</v>
      </c>
      <c r="AE393" s="2">
        <f>IF(AC393="Error", "Error", IF(AC393=0, 0, AD393 / AC393))</f>
        <v>0.20854387413742412</v>
      </c>
      <c r="AF393" s="7">
        <f>C393-B393</f>
        <v>0</v>
      </c>
      <c r="AG393" s="2" t="str">
        <f>TEXT(B393, "mmmm")</f>
        <v>February</v>
      </c>
      <c r="AH393" s="4">
        <f>YEAR(B393)</f>
        <v>2025</v>
      </c>
      <c r="AI393" s="2" t="str">
        <f t="shared" si="20"/>
        <v>Clean</v>
      </c>
      <c r="AJ393">
        <f>COUNTIFS($A$2:$A$1000,A393,$B$2:$B$1000,B393,$C$2:$C$1000,C393,$D$2:$D$1000,D393,$E$2:$E$1000,E393,$F$2:$F$1000,F393)</f>
        <v>1</v>
      </c>
      <c r="AK393">
        <f>COUNTIF($A$2:$A$1000, A393)</f>
        <v>1</v>
      </c>
    </row>
    <row r="394" spans="1:37">
      <c r="A394" t="s">
        <v>1278</v>
      </c>
      <c r="B394" s="5">
        <v>45341</v>
      </c>
      <c r="C394" s="5">
        <v>45344</v>
      </c>
      <c r="D394" s="6">
        <f>IF(AND(C394&lt;&gt;"",B394&lt;&gt;""), C394-B394, "Missing Date")</f>
        <v>3</v>
      </c>
      <c r="E394" s="6" t="str">
        <f>IF(OR(B394="",C394=""), "Missing Date",
    IF(C394&lt;B394, "Invalid: Ship before Order",
      "OK"))</f>
        <v>OK</v>
      </c>
      <c r="F394" t="s">
        <v>1279</v>
      </c>
      <c r="G394" t="s">
        <v>89</v>
      </c>
      <c r="H394" t="s">
        <v>37</v>
      </c>
      <c r="I394" t="s">
        <v>54</v>
      </c>
      <c r="J394" t="s">
        <v>185</v>
      </c>
      <c r="K394" t="s">
        <v>186</v>
      </c>
      <c r="L394" t="s">
        <v>41</v>
      </c>
      <c r="M394" t="s">
        <v>57</v>
      </c>
      <c r="N394" t="s">
        <v>1280</v>
      </c>
      <c r="O394" t="s">
        <v>44</v>
      </c>
      <c r="P394">
        <v>9</v>
      </c>
      <c r="Q394">
        <v>4053.01</v>
      </c>
      <c r="R394">
        <v>0</v>
      </c>
      <c r="S394">
        <v>36477.089999999997</v>
      </c>
      <c r="T394">
        <v>24525.48</v>
      </c>
      <c r="U394">
        <v>11951.61</v>
      </c>
      <c r="V394" t="s">
        <v>32</v>
      </c>
      <c r="W394" t="s">
        <v>33</v>
      </c>
      <c r="X394" t="str">
        <f>_xlfn.TEXTJOIN("|", TRUE, A394:W394)</f>
        <v>ORD-2024-10393|45341|45344|3|OK|CUST-6866|Aditi Sen|Small Business|South|Kerala|Kochi|Furniture|Furnishings|Classic Furnishings 746|Same Day|9|4053.01|0|36477.09|24525.48|11951.61|Paid|Completed</v>
      </c>
      <c r="Y394">
        <f>COUNTIF($X$2:$X$1000, X394)</f>
        <v>1</v>
      </c>
      <c r="Z394">
        <f>COUNTIF($A$2:$A$1000, A394)</f>
        <v>1</v>
      </c>
      <c r="AA394" t="str">
        <f>IF(Y394&gt;1, "Exact Duplicate",
  IF(Z394&gt;1, "Conflicting Duplicate - Review",
    "Unique"))</f>
        <v>Unique</v>
      </c>
      <c r="AB394" s="2">
        <f>IF(ISBLANK(R394), 0, IF(ISTEXT(R394), VALUE(SUBSTITUTE(R394, "%", ""))/100, IF(OR(R394&lt;0, R394&gt;1), "Invalid", R394)))</f>
        <v>0</v>
      </c>
      <c r="AC394" s="4">
        <f>IF(AB394="Invalid", "Error", P394 * Q394 * (1 - AB394))</f>
        <v>36477.090000000004</v>
      </c>
      <c r="AD394" s="4">
        <f>IF(AC394="Error", "Error", AC394 - T394)</f>
        <v>11951.610000000004</v>
      </c>
      <c r="AE394" s="2">
        <f>IF(AC394="Error", "Error", IF(AC394=0, 0, AD394 / AC394))</f>
        <v>0.32764702447481425</v>
      </c>
      <c r="AF394" s="7">
        <f>C394-B394</f>
        <v>3</v>
      </c>
      <c r="AG394" s="2" t="str">
        <f>TEXT(B394, "mmmm")</f>
        <v>February</v>
      </c>
      <c r="AH394" s="4">
        <f>YEAR(B394)</f>
        <v>2024</v>
      </c>
      <c r="AI394" s="2" t="str">
        <f t="shared" si="20"/>
        <v>Clean</v>
      </c>
      <c r="AJ394">
        <f>COUNTIFS($A$2:$A$1000,A394,$B$2:$B$1000,B394,$C$2:$C$1000,C394,$D$2:$D$1000,D394,$E$2:$E$1000,E394,$F$2:$F$1000,F394)</f>
        <v>1</v>
      </c>
      <c r="AK394">
        <f>COUNTIF($A$2:$A$1000, A394)</f>
        <v>1</v>
      </c>
    </row>
    <row r="395" spans="1:37">
      <c r="A395" t="s">
        <v>1281</v>
      </c>
      <c r="B395" s="5">
        <v>45527</v>
      </c>
      <c r="C395" s="5">
        <v>45533</v>
      </c>
      <c r="D395" s="6">
        <f>IF(AND(C395&lt;&gt;"",B395&lt;&gt;""), C395-B395, "Missing Date")</f>
        <v>6</v>
      </c>
      <c r="E395" s="6" t="str">
        <f>IF(OR(B395="",C395=""), "Missing Date",
    IF(C395&lt;B395, "Invalid: Ship before Order",
      "OK"))</f>
        <v>OK</v>
      </c>
      <c r="F395" t="s">
        <v>1282</v>
      </c>
      <c r="G395" t="s">
        <v>36</v>
      </c>
      <c r="H395" t="s">
        <v>90</v>
      </c>
      <c r="I395" t="s">
        <v>25</v>
      </c>
      <c r="J395" t="s">
        <v>136</v>
      </c>
      <c r="K395" t="s">
        <v>137</v>
      </c>
      <c r="L395" t="s">
        <v>28</v>
      </c>
      <c r="M395" t="s">
        <v>91</v>
      </c>
      <c r="N395" t="s">
        <v>1283</v>
      </c>
      <c r="O395" t="s">
        <v>44</v>
      </c>
      <c r="P395">
        <v>2</v>
      </c>
      <c r="Q395">
        <v>1936.91</v>
      </c>
      <c r="R395">
        <v>0.05</v>
      </c>
      <c r="S395">
        <v>3680.13</v>
      </c>
      <c r="T395">
        <v>2967.46</v>
      </c>
      <c r="U395">
        <v>712.67</v>
      </c>
      <c r="V395" t="s">
        <v>32</v>
      </c>
      <c r="W395" t="s">
        <v>33</v>
      </c>
      <c r="X395" t="str">
        <f>_xlfn.TEXTJOIN("|", TRUE, A395:W395)</f>
        <v>ORD-2024-10394|45527|45533|6|OK|CUST-3160|Mira Das|Corporate|North|Uttar Pradesh|Noida|Office Supplies|Labels|Eco Labels 815|Same Day|2|1936.91|0.05|3680.13|2967.46|712.67|Paid|Completed</v>
      </c>
      <c r="Y395">
        <f>COUNTIF($X$2:$X$1000, X395)</f>
        <v>1</v>
      </c>
      <c r="Z395">
        <f>COUNTIF($A$2:$A$1000, A395)</f>
        <v>1</v>
      </c>
      <c r="AA395" t="str">
        <f>IF(Y395&gt;1, "Exact Duplicate",
  IF(Z395&gt;1, "Conflicting Duplicate - Review",
    "Unique"))</f>
        <v>Unique</v>
      </c>
      <c r="AB395" s="2">
        <f>IF(ISBLANK(R395), 0, IF(ISTEXT(R395), VALUE(SUBSTITUTE(R395, "%", ""))/100, IF(OR(R395&lt;0, R395&gt;1), "Invalid", R395)))</f>
        <v>0.05</v>
      </c>
      <c r="AC395" s="4">
        <f>IF(AB395="Invalid", "Error", P395 * Q395 * (1 - AB395))</f>
        <v>3680.1289999999999</v>
      </c>
      <c r="AD395" s="4">
        <f>IF(AC395="Error", "Error", AC395 - T395)</f>
        <v>712.66899999999987</v>
      </c>
      <c r="AE395" s="2">
        <f>IF(AC395="Error", "Error", IF(AC395=0, 0, AD395 / AC395))</f>
        <v>0.19365326595888346</v>
      </c>
      <c r="AF395" s="7">
        <f>C395-B395</f>
        <v>6</v>
      </c>
      <c r="AG395" s="2" t="str">
        <f>TEXT(B395, "mmmm")</f>
        <v>August</v>
      </c>
      <c r="AH395" s="4">
        <f>YEAR(B395)</f>
        <v>2024</v>
      </c>
      <c r="AI395" s="2" t="str">
        <f t="shared" si="20"/>
        <v>Clean</v>
      </c>
      <c r="AJ395">
        <f>COUNTIFS($A$2:$A$1000,A395,$B$2:$B$1000,B395,$C$2:$C$1000,C395,$D$2:$D$1000,D395,$E$2:$E$1000,E395,$F$2:$F$1000,F395)</f>
        <v>1</v>
      </c>
      <c r="AK395">
        <f>COUNTIF($A$2:$A$1000, A395)</f>
        <v>1</v>
      </c>
    </row>
    <row r="396" spans="1:37">
      <c r="A396" t="s">
        <v>1284</v>
      </c>
      <c r="B396" s="5">
        <v>45385</v>
      </c>
      <c r="C396" s="5">
        <v>45386</v>
      </c>
      <c r="D396" s="6">
        <f>IF(AND(C396&lt;&gt;"",B396&lt;&gt;""), C396-B396, "Missing Date")</f>
        <v>1</v>
      </c>
      <c r="E396" s="6" t="str">
        <f>IF(OR(B396="",C396=""), "Missing Date",
    IF(C396&lt;B396, "Invalid: Ship before Order",
      "OK"))</f>
        <v>OK</v>
      </c>
      <c r="F396" t="s">
        <v>1285</v>
      </c>
      <c r="G396" t="s">
        <v>264</v>
      </c>
      <c r="H396" t="s">
        <v>24</v>
      </c>
      <c r="I396" t="s">
        <v>63</v>
      </c>
      <c r="J396" t="s">
        <v>64</v>
      </c>
      <c r="K396" t="s">
        <v>65</v>
      </c>
      <c r="L396" t="s">
        <v>41</v>
      </c>
      <c r="M396" t="s">
        <v>57</v>
      </c>
      <c r="N396" t="s">
        <v>1286</v>
      </c>
      <c r="O396" t="s">
        <v>50</v>
      </c>
      <c r="P396">
        <v>7</v>
      </c>
      <c r="Q396">
        <v>3945.21</v>
      </c>
      <c r="R396">
        <v>0</v>
      </c>
      <c r="S396">
        <v>27616.47</v>
      </c>
      <c r="T396">
        <v>21225.26</v>
      </c>
      <c r="U396">
        <v>6391.21</v>
      </c>
      <c r="V396" t="s">
        <v>32</v>
      </c>
      <c r="W396" t="s">
        <v>33</v>
      </c>
      <c r="X396" t="str">
        <f>_xlfn.TEXTJOIN("|", TRUE, A396:W396)</f>
        <v>ORD-2024-10395|45385|45386|1|OK|CUST-8444|Kabir Singh|Consumer|West|Maharashtra|Mumbai|Furniture|Furnishings|Prime Furnishings 879|First Class|7|3945.21|0|27616.47|21225.26|6391.21|Paid|Completed</v>
      </c>
      <c r="Y396">
        <f>COUNTIF($X$2:$X$1000, X396)</f>
        <v>1</v>
      </c>
      <c r="Z396">
        <f>COUNTIF($A$2:$A$1000, A396)</f>
        <v>1</v>
      </c>
      <c r="AA396" t="str">
        <f>IF(Y396&gt;1, "Exact Duplicate",
  IF(Z396&gt;1, "Conflicting Duplicate - Review",
    "Unique"))</f>
        <v>Unique</v>
      </c>
      <c r="AB396" s="2">
        <f>IF(ISBLANK(R396), 0, IF(ISTEXT(R396), VALUE(SUBSTITUTE(R396, "%", ""))/100, IF(OR(R396&lt;0, R396&gt;1), "Invalid", R396)))</f>
        <v>0</v>
      </c>
      <c r="AC396" s="4">
        <f>IF(AB396="Invalid", "Error", P396 * Q396 * (1 - AB396))</f>
        <v>27616.47</v>
      </c>
      <c r="AD396" s="4">
        <f>IF(AC396="Error", "Error", AC396 - T396)</f>
        <v>6391.2100000000028</v>
      </c>
      <c r="AE396" s="2">
        <f>IF(AC396="Error", "Error", IF(AC396=0, 0, AD396 / AC396))</f>
        <v>0.23142747787823725</v>
      </c>
      <c r="AF396" s="7">
        <f>C396-B396</f>
        <v>1</v>
      </c>
      <c r="AG396" s="2" t="str">
        <f>TEXT(B396, "mmmm")</f>
        <v>April</v>
      </c>
      <c r="AH396" s="4">
        <f>YEAR(B396)</f>
        <v>2024</v>
      </c>
      <c r="AI396" s="2" t="str">
        <f t="shared" si="20"/>
        <v>Clean</v>
      </c>
      <c r="AJ396">
        <f>COUNTIFS($A$2:$A$1000,A396,$B$2:$B$1000,B396,$C$2:$C$1000,C396,$D$2:$D$1000,D396,$E$2:$E$1000,E396,$F$2:$F$1000,F396)</f>
        <v>1</v>
      </c>
      <c r="AK396">
        <f>COUNTIF($A$2:$A$1000, A396)</f>
        <v>1</v>
      </c>
    </row>
    <row r="397" spans="1:37">
      <c r="A397" t="s">
        <v>1287</v>
      </c>
      <c r="B397" s="5">
        <v>45449</v>
      </c>
      <c r="C397" s="5">
        <v>45479</v>
      </c>
      <c r="D397" s="6">
        <f>IF(AND(C397&lt;&gt;"",B397&lt;&gt;""), C397-B397, "Missing Date")</f>
        <v>30</v>
      </c>
      <c r="E397" s="6" t="str">
        <f>IF(OR(B397="",C397=""), "Missing Date",
    IF(C397&lt;B397, "Invalid: Ship before Order",
      "OK"))</f>
        <v>OK</v>
      </c>
      <c r="F397" t="s">
        <v>1288</v>
      </c>
      <c r="G397" t="s">
        <v>118</v>
      </c>
      <c r="H397" t="s">
        <v>95</v>
      </c>
      <c r="I397" t="s">
        <v>54</v>
      </c>
      <c r="J397" t="s">
        <v>247</v>
      </c>
      <c r="K397" t="s">
        <v>248</v>
      </c>
      <c r="L397" t="s">
        <v>41</v>
      </c>
      <c r="M397" t="s">
        <v>42</v>
      </c>
      <c r="N397" t="s">
        <v>1289</v>
      </c>
      <c r="O397" t="s">
        <v>44</v>
      </c>
      <c r="P397">
        <v>7</v>
      </c>
      <c r="Q397">
        <v>861.91</v>
      </c>
      <c r="R397">
        <v>0.05</v>
      </c>
      <c r="S397">
        <v>5731.7</v>
      </c>
      <c r="T397">
        <v>4115.5600000000004</v>
      </c>
      <c r="U397">
        <v>1616.14</v>
      </c>
      <c r="V397" t="s">
        <v>32</v>
      </c>
      <c r="W397" t="s">
        <v>33</v>
      </c>
      <c r="X397" t="str">
        <f>_xlfn.TEXTJOIN("|", TRUE, A397:W397)</f>
        <v>ORD-2024-10396|45449|45479|30|OK|CUST-4765|Rahul Verma|Home Office|South|Tamil Nadu|Chennai|Furniture|Tables|Pro Tables 142|Same Day|7|861.91|0.05|5731.7|4115.56|1616.14|Paid|Completed</v>
      </c>
      <c r="Y397">
        <f>COUNTIF($X$2:$X$1000, X397)</f>
        <v>1</v>
      </c>
      <c r="Z397">
        <f>COUNTIF($A$2:$A$1000, A397)</f>
        <v>1</v>
      </c>
      <c r="AA397" t="str">
        <f>IF(Y397&gt;1, "Exact Duplicate",
  IF(Z397&gt;1, "Conflicting Duplicate - Review",
    "Unique"))</f>
        <v>Unique</v>
      </c>
      <c r="AB397" s="2">
        <f>IF(ISBLANK(R397), 0, IF(ISTEXT(R397), VALUE(SUBSTITUTE(R397, "%", ""))/100, IF(OR(R397&lt;0, R397&gt;1), "Invalid", R397)))</f>
        <v>0.05</v>
      </c>
      <c r="AC397" s="4">
        <f>IF(AB397="Invalid", "Error", P397 * Q397 * (1 - AB397))</f>
        <v>5731.7014999999992</v>
      </c>
      <c r="AD397" s="4">
        <f>IF(AC397="Error", "Error", AC397 - T397)</f>
        <v>1616.1414999999988</v>
      </c>
      <c r="AE397" s="2">
        <f>IF(AC397="Error", "Error", IF(AC397=0, 0, AD397 / AC397))</f>
        <v>0.28196539893084088</v>
      </c>
      <c r="AF397" s="7">
        <f>C397-B397</f>
        <v>30</v>
      </c>
      <c r="AG397" s="2" t="str">
        <f>TEXT(B397, "mmmm")</f>
        <v>June</v>
      </c>
      <c r="AH397" s="4">
        <f>YEAR(B397)</f>
        <v>2024</v>
      </c>
      <c r="AI397" s="2" t="str">
        <f t="shared" si="20"/>
        <v>Clean</v>
      </c>
      <c r="AJ397">
        <f>COUNTIFS($A$2:$A$1000,A397,$B$2:$B$1000,B397,$C$2:$C$1000,C397,$D$2:$D$1000,D397,$E$2:$E$1000,E397,$F$2:$F$1000,F397)</f>
        <v>1</v>
      </c>
      <c r="AK397">
        <f>COUNTIF($A$2:$A$1000, A397)</f>
        <v>1</v>
      </c>
    </row>
    <row r="398" spans="1:37">
      <c r="A398" t="s">
        <v>1290</v>
      </c>
      <c r="B398" s="5">
        <v>45761</v>
      </c>
      <c r="C398" s="5">
        <v>45769</v>
      </c>
      <c r="D398" s="6">
        <f>IF(AND(C398&lt;&gt;"",B398&lt;&gt;""), C398-B398, "Missing Date")</f>
        <v>8</v>
      </c>
      <c r="E398" s="6" t="str">
        <f>IF(OR(B398="",C398=""), "Missing Date",
    IF(C398&lt;B398, "Invalid: Ship before Order",
      "OK"))</f>
        <v>OK</v>
      </c>
      <c r="F398" t="s">
        <v>1291</v>
      </c>
      <c r="G398" t="s">
        <v>89</v>
      </c>
      <c r="H398" t="s">
        <v>37</v>
      </c>
      <c r="I398" t="s">
        <v>54</v>
      </c>
      <c r="J398" t="s">
        <v>175</v>
      </c>
      <c r="K398" t="s">
        <v>176</v>
      </c>
      <c r="L398" t="s">
        <v>74</v>
      </c>
      <c r="M398" t="s">
        <v>274</v>
      </c>
      <c r="N398" t="s">
        <v>1292</v>
      </c>
      <c r="O398" t="s">
        <v>59</v>
      </c>
      <c r="P398">
        <v>2</v>
      </c>
      <c r="Q398">
        <v>638.73</v>
      </c>
      <c r="R398">
        <v>0.05</v>
      </c>
      <c r="S398">
        <v>1213.5899999999999</v>
      </c>
      <c r="T398">
        <v>956.22</v>
      </c>
      <c r="U398">
        <v>257.37</v>
      </c>
      <c r="V398" t="s">
        <v>32</v>
      </c>
      <c r="W398" t="s">
        <v>33</v>
      </c>
      <c r="X398" t="str">
        <f>_xlfn.TEXTJOIN("|", TRUE, A398:W398)</f>
        <v>ORD-2025-10397|45761|45769|8|OK|CUST-2280|Aditi Sen|Small Business|South|Karnataka|Bengaluru|Technology|Machines|Prime Machines 267|Standard Class|2|638.73|0.05|1213.59|956.22|257.37|Paid|Completed</v>
      </c>
      <c r="Y398">
        <f>COUNTIF($X$2:$X$1000, X398)</f>
        <v>1</v>
      </c>
      <c r="Z398">
        <f>COUNTIF($A$2:$A$1000, A398)</f>
        <v>1</v>
      </c>
      <c r="AA398" t="str">
        <f>IF(Y398&gt;1, "Exact Duplicate",
  IF(Z398&gt;1, "Conflicting Duplicate - Review",
    "Unique"))</f>
        <v>Unique</v>
      </c>
      <c r="AB398" s="2">
        <f>IF(ISBLANK(R398), 0, IF(ISTEXT(R398), VALUE(SUBSTITUTE(R398, "%", ""))/100, IF(OR(R398&lt;0, R398&gt;1), "Invalid", R398)))</f>
        <v>0.05</v>
      </c>
      <c r="AC398" s="4">
        <f>IF(AB398="Invalid", "Error", P398 * Q398 * (1 - AB398))</f>
        <v>1213.587</v>
      </c>
      <c r="AD398" s="4">
        <f>IF(AC398="Error", "Error", AC398 - T398)</f>
        <v>257.36699999999996</v>
      </c>
      <c r="AE398" s="2">
        <f>IF(AC398="Error", "Error", IF(AC398=0, 0, AD398 / AC398))</f>
        <v>0.21207132245154239</v>
      </c>
      <c r="AF398" s="7">
        <f>C398-B398</f>
        <v>8</v>
      </c>
      <c r="AG398" s="2" t="str">
        <f>TEXT(B398, "mmmm")</f>
        <v>April</v>
      </c>
      <c r="AH398" s="4">
        <f>YEAR(B398)</f>
        <v>2025</v>
      </c>
      <c r="AI398" s="2" t="str">
        <f t="shared" si="20"/>
        <v>Clean</v>
      </c>
      <c r="AJ398">
        <f>COUNTIFS($A$2:$A$1000,A398,$B$2:$B$1000,B398,$C$2:$C$1000,C398,$D$2:$D$1000,D398,$E$2:$E$1000,E398,$F$2:$F$1000,F398)</f>
        <v>1</v>
      </c>
      <c r="AK398">
        <f>COUNTIF($A$2:$A$1000, A398)</f>
        <v>1</v>
      </c>
    </row>
    <row r="399" spans="1:37">
      <c r="A399" t="s">
        <v>1293</v>
      </c>
      <c r="B399" s="5">
        <v>45817</v>
      </c>
      <c r="C399" s="5">
        <v>45818</v>
      </c>
      <c r="D399" s="6">
        <f>IF(AND(C399&lt;&gt;"",B399&lt;&gt;""), C399-B399, "Missing Date")</f>
        <v>1</v>
      </c>
      <c r="E399" s="6" t="str">
        <f>IF(OR(B399="",C399=""), "Missing Date",
    IF(C399&lt;B399, "Invalid: Ship before Order",
      "OK"))</f>
        <v>OK</v>
      </c>
      <c r="F399" t="s">
        <v>1294</v>
      </c>
      <c r="G399" t="s">
        <v>132</v>
      </c>
      <c r="H399" t="s">
        <v>37</v>
      </c>
      <c r="I399" t="s">
        <v>25</v>
      </c>
      <c r="J399" t="s">
        <v>136</v>
      </c>
      <c r="K399" t="s">
        <v>137</v>
      </c>
      <c r="L399" t="s">
        <v>41</v>
      </c>
      <c r="M399" t="s">
        <v>42</v>
      </c>
      <c r="N399" t="s">
        <v>1295</v>
      </c>
      <c r="O399" t="s">
        <v>31</v>
      </c>
      <c r="P399">
        <v>2</v>
      </c>
      <c r="Q399">
        <v>1731.88</v>
      </c>
      <c r="R399">
        <v>0</v>
      </c>
      <c r="S399">
        <v>3463.76</v>
      </c>
      <c r="T399">
        <v>2143.7399999999998</v>
      </c>
      <c r="U399">
        <v>1320.02</v>
      </c>
      <c r="V399" t="s">
        <v>32</v>
      </c>
      <c r="W399" t="s">
        <v>33</v>
      </c>
      <c r="X399" t="str">
        <f>_xlfn.TEXTJOIN("|", TRUE, A399:W399)</f>
        <v>ORD-2025-10398|45817|45818|1|OK|CUST-3177|Sneha Kapoor|Small Business|North|Uttar Pradesh|Noida|Furniture|Tables|Eco Tables 378|Second Class|2|1731.88|0|3463.76|2143.74|1320.02|Paid|Completed</v>
      </c>
      <c r="Y399">
        <f>COUNTIF($X$2:$X$1000, X399)</f>
        <v>1</v>
      </c>
      <c r="Z399">
        <f>COUNTIF($A$2:$A$1000, A399)</f>
        <v>1</v>
      </c>
      <c r="AA399" t="str">
        <f>IF(Y399&gt;1, "Exact Duplicate",
  IF(Z399&gt;1, "Conflicting Duplicate - Review",
    "Unique"))</f>
        <v>Unique</v>
      </c>
      <c r="AB399" s="2">
        <f>IF(ISBLANK(R399), 0, IF(ISTEXT(R399), VALUE(SUBSTITUTE(R399, "%", ""))/100, IF(OR(R399&lt;0, R399&gt;1), "Invalid", R399)))</f>
        <v>0</v>
      </c>
      <c r="AC399" s="4">
        <f>IF(AB399="Invalid", "Error", P399 * Q399 * (1 - AB399))</f>
        <v>3463.76</v>
      </c>
      <c r="AD399" s="4">
        <f>IF(AC399="Error", "Error", AC399 - T399)</f>
        <v>1320.0200000000004</v>
      </c>
      <c r="AE399" s="2">
        <f>IF(AC399="Error", "Error", IF(AC399=0, 0, AD399 / AC399))</f>
        <v>0.38109453310852959</v>
      </c>
      <c r="AF399" s="7">
        <f>C399-B399</f>
        <v>1</v>
      </c>
      <c r="AG399" s="2" t="str">
        <f>TEXT(B399, "mmmm")</f>
        <v>June</v>
      </c>
      <c r="AH399" s="4">
        <f>YEAR(B399)</f>
        <v>2025</v>
      </c>
      <c r="AI399" s="2" t="str">
        <f t="shared" si="20"/>
        <v>Clean</v>
      </c>
      <c r="AJ399">
        <f>COUNTIFS($A$2:$A$1000,A399,$B$2:$B$1000,B399,$C$2:$C$1000,C399,$D$2:$D$1000,D399,$E$2:$E$1000,E399,$F$2:$F$1000,F399)</f>
        <v>1</v>
      </c>
      <c r="AK399">
        <f>COUNTIF($A$2:$A$1000, A399)</f>
        <v>1</v>
      </c>
    </row>
    <row r="400" spans="1:37">
      <c r="A400" t="s">
        <v>1296</v>
      </c>
      <c r="B400" s="5">
        <v>45492</v>
      </c>
      <c r="C400" s="5">
        <v>45499</v>
      </c>
      <c r="D400" s="6">
        <f>IF(AND(C400&lt;&gt;"",B400&lt;&gt;""), C400-B400, "Missing Date")</f>
        <v>7</v>
      </c>
      <c r="E400" s="6" t="str">
        <f>IF(OR(B400="",C400=""), "Missing Date",
    IF(C400&lt;B400, "Invalid: Ship before Order",
      "OK"))</f>
        <v>OK</v>
      </c>
      <c r="F400" t="s">
        <v>1297</v>
      </c>
      <c r="G400" t="s">
        <v>71</v>
      </c>
      <c r="H400" t="s">
        <v>90</v>
      </c>
      <c r="I400" t="s">
        <v>25</v>
      </c>
      <c r="J400" t="s">
        <v>122</v>
      </c>
      <c r="K400" t="s">
        <v>123</v>
      </c>
      <c r="L400" t="s">
        <v>74</v>
      </c>
      <c r="M400" t="s">
        <v>274</v>
      </c>
      <c r="N400" t="s">
        <v>1298</v>
      </c>
      <c r="O400" t="s">
        <v>44</v>
      </c>
      <c r="P400">
        <v>2</v>
      </c>
      <c r="Q400">
        <v>1263.6500000000001</v>
      </c>
      <c r="R400">
        <v>0.2</v>
      </c>
      <c r="S400">
        <v>2021.84</v>
      </c>
      <c r="T400">
        <v>1355.22</v>
      </c>
      <c r="U400">
        <v>666.62</v>
      </c>
      <c r="V400" t="s">
        <v>32</v>
      </c>
      <c r="W400" t="s">
        <v>33</v>
      </c>
      <c r="X400" t="str">
        <f>_xlfn.TEXTJOIN("|", TRUE, A400:W400)</f>
        <v>ORD-2024-10399|45492|45499|7|OK|CUST-4718|Vikram Iyer|Corporate|North|Punjab|Ludhiana|Technology|Machines|Elite Machines 523|Same Day|2|1263.65|0.2|2021.84|1355.22|666.62|Paid|Completed</v>
      </c>
      <c r="Y400">
        <f>COUNTIF($X$2:$X$1000, X400)</f>
        <v>1</v>
      </c>
      <c r="Z400">
        <f>COUNTIF($A$2:$A$1000, A400)</f>
        <v>1</v>
      </c>
      <c r="AA400" t="str">
        <f>IF(Y400&gt;1, "Exact Duplicate",
  IF(Z400&gt;1, "Conflicting Duplicate - Review",
    "Unique"))</f>
        <v>Unique</v>
      </c>
      <c r="AB400" s="2">
        <f>IF(ISBLANK(R400), 0, IF(ISTEXT(R400), VALUE(SUBSTITUTE(R400, "%", ""))/100, IF(OR(R400&lt;0, R400&gt;1), "Invalid", R400)))</f>
        <v>0.2</v>
      </c>
      <c r="AC400" s="4">
        <f>IF(AB400="Invalid", "Error", P400 * Q400 * (1 - AB400))</f>
        <v>2021.8400000000001</v>
      </c>
      <c r="AD400" s="4">
        <f>IF(AC400="Error", "Error", AC400 - T400)</f>
        <v>666.62000000000012</v>
      </c>
      <c r="AE400" s="2">
        <f>IF(AC400="Error", "Error", IF(AC400=0, 0, AD400 / AC400))</f>
        <v>0.32970957147944452</v>
      </c>
      <c r="AF400" s="7">
        <f>C400-B400</f>
        <v>7</v>
      </c>
      <c r="AG400" s="2" t="str">
        <f>TEXT(B400, "mmmm")</f>
        <v>July</v>
      </c>
      <c r="AH400" s="4">
        <f>YEAR(B400)</f>
        <v>2024</v>
      </c>
      <c r="AI400" s="2" t="str">
        <f t="shared" si="20"/>
        <v>Clean</v>
      </c>
      <c r="AJ400">
        <f>COUNTIFS($A$2:$A$1000,A400,$B$2:$B$1000,B400,$C$2:$C$1000,C400,$D$2:$D$1000,D400,$E$2:$E$1000,E400,$F$2:$F$1000,F400)</f>
        <v>1</v>
      </c>
      <c r="AK400">
        <f>COUNTIF($A$2:$A$1000, A400)</f>
        <v>1</v>
      </c>
    </row>
    <row r="401" spans="1:37">
      <c r="A401" t="s">
        <v>1299</v>
      </c>
      <c r="B401" s="5">
        <v>45771</v>
      </c>
      <c r="C401" s="5">
        <v>45776</v>
      </c>
      <c r="D401" s="6">
        <f>IF(AND(C401&lt;&gt;"",B401&lt;&gt;""), C401-B401, "Missing Date")</f>
        <v>5</v>
      </c>
      <c r="E401" s="6" t="str">
        <f>IF(OR(B401="",C401=""), "Missing Date",
    IF(C401&lt;B401, "Invalid: Ship before Order",
      "OK"))</f>
        <v>OK</v>
      </c>
      <c r="F401" t="s">
        <v>1300</v>
      </c>
      <c r="G401" t="s">
        <v>162</v>
      </c>
      <c r="H401" t="s">
        <v>37</v>
      </c>
      <c r="I401" t="s">
        <v>54</v>
      </c>
      <c r="J401" t="s">
        <v>84</v>
      </c>
      <c r="K401" t="s">
        <v>85</v>
      </c>
      <c r="L401" t="s">
        <v>28</v>
      </c>
      <c r="M401" t="s">
        <v>29</v>
      </c>
      <c r="N401" t="s">
        <v>1301</v>
      </c>
      <c r="O401" t="s">
        <v>44</v>
      </c>
      <c r="P401">
        <v>1</v>
      </c>
      <c r="Q401">
        <v>4358.5</v>
      </c>
      <c r="R401">
        <v>0.25</v>
      </c>
      <c r="S401">
        <v>3268.88</v>
      </c>
      <c r="T401">
        <v>1993.74</v>
      </c>
      <c r="U401">
        <v>1275.1400000000001</v>
      </c>
      <c r="V401" t="s">
        <v>32</v>
      </c>
      <c r="W401" t="s">
        <v>33</v>
      </c>
      <c r="X401" t="str">
        <f>_xlfn.TEXTJOIN("|", TRUE, A401:W401)</f>
        <v>ORD-2025-10400|45771|45776|5|OK|CUST-5647|Diya Patel|Small Business|South|Andhra Pradesh|Vijayawada|Office Supplies|Paper|Elite Paper 308|Same Day|1|4358.5|0.25|3268.88|1993.74|1275.14|Paid|Completed</v>
      </c>
      <c r="Y401">
        <f>COUNTIF($X$2:$X$1000, X401)</f>
        <v>1</v>
      </c>
      <c r="Z401">
        <f>COUNTIF($A$2:$A$1000, A401)</f>
        <v>2</v>
      </c>
      <c r="AA401" t="str">
        <f>IF(Y401&gt;1, "Exact Duplicate",
  IF(Z401&gt;1, "Conflicting Duplicate - Review",
    "Unique"))</f>
        <v>Conflicting Duplicate - Review</v>
      </c>
      <c r="AB401" s="2">
        <f>IF(ISBLANK(R401), 0, IF(ISTEXT(R401), VALUE(SUBSTITUTE(R401, "%", ""))/100, IF(OR(R401&lt;0, R401&gt;1), "Invalid", R401)))</f>
        <v>0.25</v>
      </c>
      <c r="AC401" s="4">
        <f>IF(AB401="Invalid", "Error", P401 * Q401 * (1 - AB401))</f>
        <v>3268.875</v>
      </c>
      <c r="AD401" s="4">
        <f>IF(AC401="Error", "Error", AC401 - T401)</f>
        <v>1275.135</v>
      </c>
      <c r="AE401" s="2">
        <f>IF(AC401="Error", "Error", IF(AC401=0, 0, AD401 / AC401))</f>
        <v>0.39008374440747962</v>
      </c>
      <c r="AF401" s="7">
        <f>C401-B401</f>
        <v>5</v>
      </c>
      <c r="AG401" s="2" t="str">
        <f>TEXT(B401, "mmmm")</f>
        <v>April</v>
      </c>
      <c r="AH401" s="4">
        <f>YEAR(B401)</f>
        <v>2025</v>
      </c>
      <c r="AI401" s="2" t="str">
        <f t="shared" si="20"/>
        <v>Clean</v>
      </c>
      <c r="AJ401">
        <f>COUNTIFS($A$2:$A$1000,A401,$B$2:$B$1000,B401,$C$2:$C$1000,C401,$D$2:$D$1000,D401,$E$2:$E$1000,E401,$F$2:$F$1000,F401)</f>
        <v>2</v>
      </c>
      <c r="AK401">
        <f>COUNTIF($A$2:$A$1000, A401)</f>
        <v>2</v>
      </c>
    </row>
    <row r="402" spans="1:37">
      <c r="A402" t="s">
        <v>1302</v>
      </c>
      <c r="B402" s="5">
        <v>45814</v>
      </c>
      <c r="C402" s="5">
        <v>45819</v>
      </c>
      <c r="D402" s="6">
        <f>IF(AND(C402&lt;&gt;"",B402&lt;&gt;""), C402-B402, "Missing Date")</f>
        <v>5</v>
      </c>
      <c r="E402" s="6" t="str">
        <f>IF(OR(B402="",C402=""), "Missing Date",
    IF(C402&lt;B402, "Invalid: Ship before Order",
      "OK"))</f>
        <v>OK</v>
      </c>
      <c r="F402" t="s">
        <v>1303</v>
      </c>
      <c r="G402" t="s">
        <v>132</v>
      </c>
      <c r="H402" t="s">
        <v>37</v>
      </c>
      <c r="I402" t="s">
        <v>25</v>
      </c>
      <c r="J402" t="s">
        <v>136</v>
      </c>
      <c r="K402" t="s">
        <v>137</v>
      </c>
      <c r="L402" t="s">
        <v>28</v>
      </c>
      <c r="M402" t="s">
        <v>29</v>
      </c>
      <c r="N402" t="s">
        <v>1304</v>
      </c>
      <c r="O402" t="s">
        <v>44</v>
      </c>
      <c r="P402">
        <v>7</v>
      </c>
      <c r="Q402">
        <v>878.09</v>
      </c>
      <c r="R402">
        <v>-0.1</v>
      </c>
      <c r="S402">
        <v>5839.3</v>
      </c>
      <c r="T402">
        <v>4877.38</v>
      </c>
      <c r="U402">
        <v>961.92</v>
      </c>
      <c r="V402" t="s">
        <v>32</v>
      </c>
      <c r="W402" t="s">
        <v>33</v>
      </c>
      <c r="X402" t="str">
        <f>_xlfn.TEXTJOIN("|", TRUE, A402:W402)</f>
        <v>ORD-2025-10401|45814|45819|5|OK|CUST-7150|Sneha Kapoor|Small Business|North|Uttar Pradesh|Noida|Office Supplies|Paper|Prime Paper 851|Same Day|7|878.09|-0.1|5839.3|4877.38|961.92|Paid|Completed</v>
      </c>
      <c r="Y402">
        <f>COUNTIF($X$2:$X$1000, X402)</f>
        <v>1</v>
      </c>
      <c r="Z402">
        <f>COUNTIF($A$2:$A$1000, A402)</f>
        <v>1</v>
      </c>
      <c r="AA402" t="str">
        <f>IF(Y402&gt;1, "Exact Duplicate",
  IF(Z402&gt;1, "Conflicting Duplicate - Review",
    "Unique"))</f>
        <v>Unique</v>
      </c>
      <c r="AB402" s="2" t="str">
        <f>IF(ISBLANK(R402), 0, IF(ISTEXT(R402), VALUE(SUBSTITUTE(R402, "%", ""))/100, IF(OR(R402&lt;0, R402&gt;1), "Invalid", R402)))</f>
        <v>Invalid</v>
      </c>
      <c r="AC402" s="4" t="str">
        <f>IF(AB402="Invalid", "Error", P402 * Q402 * (1 - AB402))</f>
        <v>Error</v>
      </c>
      <c r="AD402" s="4" t="str">
        <f>IF(AC402="Error", "Error", AC402 - T402)</f>
        <v>Error</v>
      </c>
      <c r="AE402" s="2" t="str">
        <f>IF(AC402="Error", "Error", IF(AC402=0, 0, AD402 / AC402))</f>
        <v>Error</v>
      </c>
      <c r="AF402" s="7">
        <f>C402-B402</f>
        <v>5</v>
      </c>
      <c r="AG402" s="2" t="str">
        <f>TEXT(B402, "mmmm")</f>
        <v>June</v>
      </c>
      <c r="AH402" s="4">
        <f>YEAR(B402)</f>
        <v>2025</v>
      </c>
      <c r="AI402" s="2" t="str">
        <f t="shared" si="20"/>
        <v>Invalid: Discount</v>
      </c>
      <c r="AJ402">
        <f>COUNTIFS($A$2:$A$1000,A402,$B$2:$B$1000,B402,$C$2:$C$1000,C402,$D$2:$D$1000,D402,$E$2:$E$1000,E402,$F$2:$F$1000,F402)</f>
        <v>1</v>
      </c>
      <c r="AK402">
        <f>COUNTIF($A$2:$A$1000, A402)</f>
        <v>1</v>
      </c>
    </row>
    <row r="403" spans="1:37">
      <c r="A403" t="s">
        <v>1305</v>
      </c>
      <c r="B403" s="5">
        <v>45725</v>
      </c>
      <c r="C403" s="5">
        <v>45732</v>
      </c>
      <c r="D403" s="6">
        <f>IF(AND(C403&lt;&gt;"",B403&lt;&gt;""), C403-B403, "Missing Date")</f>
        <v>7</v>
      </c>
      <c r="E403" s="6" t="str">
        <f>IF(OR(B403="",C403=""), "Missing Date",
    IF(C403&lt;B403, "Invalid: Ship before Order",
      "OK"))</f>
        <v>OK</v>
      </c>
      <c r="F403" t="s">
        <v>1306</v>
      </c>
      <c r="G403" t="s">
        <v>53</v>
      </c>
      <c r="H403" t="s">
        <v>37</v>
      </c>
      <c r="I403" t="s">
        <v>38</v>
      </c>
      <c r="J403" t="s">
        <v>228</v>
      </c>
      <c r="K403" t="s">
        <v>229</v>
      </c>
      <c r="L403" t="s">
        <v>41</v>
      </c>
      <c r="M403" t="s">
        <v>42</v>
      </c>
      <c r="N403" t="s">
        <v>1307</v>
      </c>
      <c r="O403" t="s">
        <v>44</v>
      </c>
      <c r="P403">
        <v>3</v>
      </c>
      <c r="Q403">
        <v>2625.85</v>
      </c>
      <c r="R403">
        <v>0</v>
      </c>
      <c r="S403">
        <v>7877.55</v>
      </c>
      <c r="T403">
        <v>5562.77</v>
      </c>
      <c r="U403">
        <v>2314.7800000000002</v>
      </c>
      <c r="V403" t="s">
        <v>32</v>
      </c>
      <c r="W403" t="s">
        <v>33</v>
      </c>
      <c r="X403" t="str">
        <f>_xlfn.TEXTJOIN("|", TRUE, A403:W403)</f>
        <v>ORD-2025-10402|45725|45732|7|OK|CUST-6694|Arjun Bose|Small Business|East|Jharkhand|Ranchi|Furniture|Tables|Classic Tables 151|Same Day|3|2625.85|0|7877.55|5562.77|2314.78|Paid|Completed</v>
      </c>
      <c r="Y403">
        <f>COUNTIF($X$2:$X$1000, X403)</f>
        <v>1</v>
      </c>
      <c r="Z403">
        <f>COUNTIF($A$2:$A$1000, A403)</f>
        <v>1</v>
      </c>
      <c r="AA403" t="str">
        <f>IF(Y403&gt;1, "Exact Duplicate",
  IF(Z403&gt;1, "Conflicting Duplicate - Review",
    "Unique"))</f>
        <v>Unique</v>
      </c>
      <c r="AB403" s="2">
        <f>IF(ISBLANK(R403), 0, IF(ISTEXT(R403), VALUE(SUBSTITUTE(R403, "%", ""))/100, IF(OR(R403&lt;0, R403&gt;1), "Invalid", R403)))</f>
        <v>0</v>
      </c>
      <c r="AC403" s="4">
        <f>IF(AB403="Invalid", "Error", P403 * Q403 * (1 - AB403))</f>
        <v>7877.5499999999993</v>
      </c>
      <c r="AD403" s="4">
        <f>IF(AC403="Error", "Error", AC403 - T403)</f>
        <v>2314.7799999999988</v>
      </c>
      <c r="AE403" s="2">
        <f>IF(AC403="Error", "Error", IF(AC403=0, 0, AD403 / AC403))</f>
        <v>0.29384516759652418</v>
      </c>
      <c r="AF403" s="7">
        <f>C403-B403</f>
        <v>7</v>
      </c>
      <c r="AG403" s="2" t="str">
        <f>TEXT(B403, "mmmm")</f>
        <v>March</v>
      </c>
      <c r="AH403" s="4">
        <f>YEAR(B403)</f>
        <v>2025</v>
      </c>
      <c r="AI403" s="2" t="str">
        <f t="shared" si="20"/>
        <v>Clean</v>
      </c>
      <c r="AJ403">
        <f>COUNTIFS($A$2:$A$1000,A403,$B$2:$B$1000,B403,$C$2:$C$1000,C403,$D$2:$D$1000,D403,$E$2:$E$1000,E403,$F$2:$F$1000,F403)</f>
        <v>1</v>
      </c>
      <c r="AK403">
        <f>COUNTIF($A$2:$A$1000, A403)</f>
        <v>1</v>
      </c>
    </row>
    <row r="404" spans="1:37">
      <c r="A404" t="s">
        <v>1308</v>
      </c>
      <c r="B404" s="5">
        <v>45373</v>
      </c>
      <c r="C404" s="5">
        <v>45373</v>
      </c>
      <c r="D404" s="6">
        <f>IF(AND(C404&lt;&gt;"",B404&lt;&gt;""), C404-B404, "Missing Date")</f>
        <v>0</v>
      </c>
      <c r="E404" s="6" t="str">
        <f>IF(OR(B404="",C404=""), "Missing Date",
    IF(C404&lt;B404, "Invalid: Ship before Order",
      "OK"))</f>
        <v>OK</v>
      </c>
      <c r="F404" t="s">
        <v>1309</v>
      </c>
      <c r="G404" t="s">
        <v>114</v>
      </c>
      <c r="H404" t="s">
        <v>37</v>
      </c>
      <c r="I404" t="s">
        <v>54</v>
      </c>
      <c r="J404" t="s">
        <v>175</v>
      </c>
      <c r="K404" t="s">
        <v>176</v>
      </c>
      <c r="L404" t="s">
        <v>41</v>
      </c>
      <c r="M404" t="s">
        <v>42</v>
      </c>
      <c r="N404" t="s">
        <v>1310</v>
      </c>
      <c r="O404" t="s">
        <v>2762</v>
      </c>
      <c r="P404">
        <v>3</v>
      </c>
      <c r="Q404">
        <v>1365.26</v>
      </c>
      <c r="R404">
        <v>0</v>
      </c>
      <c r="S404">
        <v>4095.78</v>
      </c>
      <c r="T404">
        <v>2807.77</v>
      </c>
      <c r="U404">
        <v>1288.01</v>
      </c>
      <c r="V404" t="s">
        <v>32</v>
      </c>
      <c r="W404" t="s">
        <v>33</v>
      </c>
      <c r="X404" t="str">
        <f>_xlfn.TEXTJOIN("|", TRUE, A404:W404)</f>
        <v>ORD-2024-10403|45373|45373|0|OK|CUST-7680|Priya Menon|Small Business|South|Karnataka|Bengaluru|Furniture|Tables|Smart Tables 829|Unknown|3|1365.26|0|4095.78|2807.77|1288.01|Paid|Completed</v>
      </c>
      <c r="Y404">
        <f>COUNTIF($X$2:$X$1000, X404)</f>
        <v>1</v>
      </c>
      <c r="Z404">
        <f>COUNTIF($A$2:$A$1000, A404)</f>
        <v>1</v>
      </c>
      <c r="AA404" t="str">
        <f>IF(Y404&gt;1, "Exact Duplicate",
  IF(Z404&gt;1, "Conflicting Duplicate - Review",
    "Unique"))</f>
        <v>Unique</v>
      </c>
      <c r="AB404" s="2">
        <f>IF(ISBLANK(R404), 0, IF(ISTEXT(R404), VALUE(SUBSTITUTE(R404, "%", ""))/100, IF(OR(R404&lt;0, R404&gt;1), "Invalid", R404)))</f>
        <v>0</v>
      </c>
      <c r="AC404" s="4">
        <f>IF(AB404="Invalid", "Error", P404 * Q404 * (1 - AB404))</f>
        <v>4095.7799999999997</v>
      </c>
      <c r="AD404" s="4">
        <f>IF(AC404="Error", "Error", AC404 - T404)</f>
        <v>1288.0099999999998</v>
      </c>
      <c r="AE404" s="2">
        <f>IF(AC404="Error", "Error", IF(AC404=0, 0, AD404 / AC404))</f>
        <v>0.31447245701673426</v>
      </c>
      <c r="AF404" s="7">
        <f>C404-B404</f>
        <v>0</v>
      </c>
      <c r="AG404" s="2" t="str">
        <f>TEXT(B404, "mmmm")</f>
        <v>March</v>
      </c>
      <c r="AH404" s="4">
        <f>YEAR(B404)</f>
        <v>2024</v>
      </c>
      <c r="AI404" s="2" t="str">
        <f t="shared" si="20"/>
        <v>Warning: Missing Shipping Mode</v>
      </c>
      <c r="AJ404">
        <f>COUNTIFS($A$2:$A$1000,A404,$B$2:$B$1000,B404,$C$2:$C$1000,C404,$D$2:$D$1000,D404,$E$2:$E$1000,E404,$F$2:$F$1000,F404)</f>
        <v>1</v>
      </c>
      <c r="AK404">
        <f>COUNTIF($A$2:$A$1000, A404)</f>
        <v>1</v>
      </c>
    </row>
    <row r="405" spans="1:37">
      <c r="A405" t="s">
        <v>1311</v>
      </c>
      <c r="B405" s="5">
        <v>45565</v>
      </c>
      <c r="C405" s="5">
        <v>45569</v>
      </c>
      <c r="D405" s="6">
        <f>IF(AND(C405&lt;&gt;"",B405&lt;&gt;""), C405-B405, "Missing Date")</f>
        <v>4</v>
      </c>
      <c r="E405" s="6" t="str">
        <f>IF(OR(B405="",C405=""), "Missing Date",
    IF(C405&lt;B405, "Invalid: Ship before Order",
      "OK"))</f>
        <v>OK</v>
      </c>
      <c r="F405" t="s">
        <v>1312</v>
      </c>
      <c r="G405" t="s">
        <v>53</v>
      </c>
      <c r="H405" t="s">
        <v>37</v>
      </c>
      <c r="I405" t="s">
        <v>54</v>
      </c>
      <c r="J405" t="s">
        <v>185</v>
      </c>
      <c r="K405" t="s">
        <v>186</v>
      </c>
      <c r="L405" t="s">
        <v>28</v>
      </c>
      <c r="M405" t="s">
        <v>29</v>
      </c>
      <c r="N405" t="s">
        <v>1313</v>
      </c>
      <c r="O405" t="s">
        <v>44</v>
      </c>
      <c r="P405">
        <v>5</v>
      </c>
      <c r="Q405">
        <v>3512.25</v>
      </c>
      <c r="R405">
        <v>0.05</v>
      </c>
      <c r="S405">
        <v>16683.189999999999</v>
      </c>
      <c r="T405">
        <v>10301.16</v>
      </c>
      <c r="U405">
        <v>6382.03</v>
      </c>
      <c r="V405" t="s">
        <v>32</v>
      </c>
      <c r="W405" t="s">
        <v>103</v>
      </c>
      <c r="X405" t="str">
        <f>_xlfn.TEXTJOIN("|", TRUE, A405:W405)</f>
        <v>ORD-2024-10404|45565|45569|4|OK|CUST-2700|Arjun Bose|Small Business|South|Kerala|Kochi|Office Supplies|Paper|Classic Paper 237|Same Day|5|3512.25|0.05|16683.19|10301.16|6382.03|Paid|Returned</v>
      </c>
      <c r="Y405">
        <f>COUNTIF($X$2:$X$1000, X405)</f>
        <v>1</v>
      </c>
      <c r="Z405">
        <f>COUNTIF($A$2:$A$1000, A405)</f>
        <v>1</v>
      </c>
      <c r="AA405" t="str">
        <f>IF(Y405&gt;1, "Exact Duplicate",
  IF(Z405&gt;1, "Conflicting Duplicate - Review",
    "Unique"))</f>
        <v>Unique</v>
      </c>
      <c r="AB405" s="2">
        <f>IF(ISBLANK(R405), 0, IF(ISTEXT(R405), VALUE(SUBSTITUTE(R405, "%", ""))/100, IF(OR(R405&lt;0, R405&gt;1), "Invalid", R405)))</f>
        <v>0.05</v>
      </c>
      <c r="AC405" s="4">
        <f>IF(AB405="Invalid", "Error", P405 * Q405 * (1 - AB405))</f>
        <v>16683.1875</v>
      </c>
      <c r="AD405" s="4">
        <f>IF(AC405="Error", "Error", AC405 - T405)</f>
        <v>6382.0275000000001</v>
      </c>
      <c r="AE405" s="2">
        <f>IF(AC405="Error", "Error", IF(AC405=0, 0, AD405 / AC405))</f>
        <v>0.38254245479168775</v>
      </c>
      <c r="AF405" s="7">
        <f>C405-B405</f>
        <v>4</v>
      </c>
      <c r="AG405" s="2" t="str">
        <f>TEXT(B405, "mmmm")</f>
        <v>September</v>
      </c>
      <c r="AH405" s="4">
        <f>YEAR(B405)</f>
        <v>2024</v>
      </c>
      <c r="AI405" s="2" t="str">
        <f t="shared" si="20"/>
        <v>Clean</v>
      </c>
      <c r="AJ405">
        <f>COUNTIFS($A$2:$A$1000,A405,$B$2:$B$1000,B405,$C$2:$C$1000,C405,$D$2:$D$1000,D405,$E$2:$E$1000,E405,$F$2:$F$1000,F405)</f>
        <v>1</v>
      </c>
      <c r="AK405">
        <f>COUNTIF($A$2:$A$1000, A405)</f>
        <v>1</v>
      </c>
    </row>
    <row r="406" spans="1:37">
      <c r="A406" t="s">
        <v>1314</v>
      </c>
      <c r="B406" s="5">
        <v>45318</v>
      </c>
      <c r="C406" s="5">
        <v>45353</v>
      </c>
      <c r="D406" s="6">
        <f>IF(AND(C406&lt;&gt;"",B406&lt;&gt;""), C406-B406, "Missing Date")</f>
        <v>35</v>
      </c>
      <c r="E406" s="6" t="str">
        <f>IF(OR(B406="",C406=""), "Missing Date",
    IF(C406&lt;B406, "Invalid: Ship before Order",
      "OK"))</f>
        <v>OK</v>
      </c>
      <c r="F406" t="s">
        <v>1315</v>
      </c>
      <c r="G406" t="s">
        <v>89</v>
      </c>
      <c r="H406" t="s">
        <v>90</v>
      </c>
      <c r="I406" t="s">
        <v>63</v>
      </c>
      <c r="J406" t="s">
        <v>26</v>
      </c>
      <c r="K406" t="s">
        <v>109</v>
      </c>
      <c r="L406" t="s">
        <v>41</v>
      </c>
      <c r="M406" t="s">
        <v>66</v>
      </c>
      <c r="N406" t="s">
        <v>1316</v>
      </c>
      <c r="O406" t="s">
        <v>44</v>
      </c>
      <c r="P406">
        <v>3</v>
      </c>
      <c r="Q406">
        <v>359.61</v>
      </c>
      <c r="R406">
        <v>0</v>
      </c>
      <c r="S406">
        <v>1078.83</v>
      </c>
      <c r="T406">
        <v>926.35</v>
      </c>
      <c r="U406">
        <v>152.47999999999999</v>
      </c>
      <c r="V406" t="s">
        <v>32</v>
      </c>
      <c r="W406" t="s">
        <v>33</v>
      </c>
      <c r="X406" t="str">
        <f>_xlfn.TEXTJOIN("|", TRUE, A406:W406)</f>
        <v>ORD-2024-10405|45318|45353|35|OK|CUST-2904|Aditi Sen|Corporate|West|Rajasthan|Udaipur|Furniture|Chairs|Prime Chairs 891|Same Day|3|359.61|0|1078.83|926.35|152.48|Paid|Completed</v>
      </c>
      <c r="Y406">
        <f>COUNTIF($X$2:$X$1000, X406)</f>
        <v>1</v>
      </c>
      <c r="Z406">
        <f>COUNTIF($A$2:$A$1000, A406)</f>
        <v>1</v>
      </c>
      <c r="AA406" t="str">
        <f>IF(Y406&gt;1, "Exact Duplicate",
  IF(Z406&gt;1, "Conflicting Duplicate - Review",
    "Unique"))</f>
        <v>Unique</v>
      </c>
      <c r="AB406" s="2">
        <f>IF(ISBLANK(R406), 0, IF(ISTEXT(R406), VALUE(SUBSTITUTE(R406, "%", ""))/100, IF(OR(R406&lt;0, R406&gt;1), "Invalid", R406)))</f>
        <v>0</v>
      </c>
      <c r="AC406" s="4">
        <f>IF(AB406="Invalid", "Error", P406 * Q406 * (1 - AB406))</f>
        <v>1078.83</v>
      </c>
      <c r="AD406" s="4">
        <f>IF(AC406="Error", "Error", AC406 - T406)</f>
        <v>152.4799999999999</v>
      </c>
      <c r="AE406" s="2">
        <f>IF(AC406="Error", "Error", IF(AC406=0, 0, AD406 / AC406))</f>
        <v>0.14133830167867034</v>
      </c>
      <c r="AF406" s="7">
        <f>C406-B406</f>
        <v>35</v>
      </c>
      <c r="AG406" s="2" t="str">
        <f>TEXT(B406, "mmmm")</f>
        <v>January</v>
      </c>
      <c r="AH406" s="4">
        <f>YEAR(B406)</f>
        <v>2024</v>
      </c>
      <c r="AI406" s="2" t="str">
        <f t="shared" si="20"/>
        <v>Clean</v>
      </c>
      <c r="AJ406">
        <f>COUNTIFS($A$2:$A$1000,A406,$B$2:$B$1000,B406,$C$2:$C$1000,C406,$D$2:$D$1000,D406,$E$2:$E$1000,E406,$F$2:$F$1000,F406)</f>
        <v>1</v>
      </c>
      <c r="AK406">
        <f>COUNTIF($A$2:$A$1000, A406)</f>
        <v>1</v>
      </c>
    </row>
    <row r="407" spans="1:37">
      <c r="A407" t="s">
        <v>1317</v>
      </c>
      <c r="B407" s="5">
        <v>45558</v>
      </c>
      <c r="C407" s="5">
        <v>45559</v>
      </c>
      <c r="D407" s="6">
        <f>IF(AND(C407&lt;&gt;"",B407&lt;&gt;""), C407-B407, "Missing Date")</f>
        <v>1</v>
      </c>
      <c r="E407" s="6" t="str">
        <f>IF(OR(B407="",C407=""), "Missing Date",
    IF(C407&lt;B407, "Invalid: Ship before Order",
      "OK"))</f>
        <v>OK</v>
      </c>
      <c r="F407" t="s">
        <v>1318</v>
      </c>
      <c r="G407" t="s">
        <v>89</v>
      </c>
      <c r="H407" t="s">
        <v>95</v>
      </c>
      <c r="I407" t="s">
        <v>63</v>
      </c>
      <c r="J407" t="s">
        <v>180</v>
      </c>
      <c r="K407" t="s">
        <v>181</v>
      </c>
      <c r="L407" t="s">
        <v>41</v>
      </c>
      <c r="M407" t="s">
        <v>158</v>
      </c>
      <c r="N407" t="s">
        <v>1319</v>
      </c>
      <c r="O407" t="s">
        <v>2762</v>
      </c>
      <c r="P407">
        <v>7</v>
      </c>
      <c r="Q407">
        <v>3878.01</v>
      </c>
      <c r="R407">
        <v>0.1</v>
      </c>
      <c r="S407">
        <v>24431.46</v>
      </c>
      <c r="T407">
        <v>18202.36</v>
      </c>
      <c r="U407">
        <v>6229.1</v>
      </c>
      <c r="V407" t="s">
        <v>32</v>
      </c>
      <c r="W407" t="s">
        <v>33</v>
      </c>
      <c r="X407" t="str">
        <f>_xlfn.TEXTJOIN("|", TRUE, A407:W407)</f>
        <v>ORD-2024-10406|45558|45559|1|OK|CUST-9961|Aditi Sen|Home Office|West|Gujarat|Ahmedabad|Furniture|Bookcases|Max Bookcases 812|Unknown|7|3878.01|0.1|24431.46|18202.36|6229.1|Paid|Completed</v>
      </c>
      <c r="Y407">
        <f>COUNTIF($X$2:$X$1000, X407)</f>
        <v>1</v>
      </c>
      <c r="Z407">
        <f>COUNTIF($A$2:$A$1000, A407)</f>
        <v>1</v>
      </c>
      <c r="AA407" t="str">
        <f>IF(Y407&gt;1, "Exact Duplicate",
  IF(Z407&gt;1, "Conflicting Duplicate - Review",
    "Unique"))</f>
        <v>Unique</v>
      </c>
      <c r="AB407" s="2">
        <f>IF(ISBLANK(R407), 0, IF(ISTEXT(R407), VALUE(SUBSTITUTE(R407, "%", ""))/100, IF(OR(R407&lt;0, R407&gt;1), "Invalid", R407)))</f>
        <v>0.1</v>
      </c>
      <c r="AC407" s="4">
        <f>IF(AB407="Invalid", "Error", P407 * Q407 * (1 - AB407))</f>
        <v>24431.463</v>
      </c>
      <c r="AD407" s="4">
        <f>IF(AC407="Error", "Error", AC407 - T407)</f>
        <v>6229.1029999999992</v>
      </c>
      <c r="AE407" s="2">
        <f>IF(AC407="Error", "Error", IF(AC407=0, 0, AD407 / AC407))</f>
        <v>0.25496234097810677</v>
      </c>
      <c r="AF407" s="7">
        <f>C407-B407</f>
        <v>1</v>
      </c>
      <c r="AG407" s="2" t="str">
        <f>TEXT(B407, "mmmm")</f>
        <v>September</v>
      </c>
      <c r="AH407" s="4">
        <f>YEAR(B407)</f>
        <v>2024</v>
      </c>
      <c r="AI407" s="2" t="str">
        <f t="shared" si="20"/>
        <v>Warning: Missing Shipping Mode</v>
      </c>
      <c r="AJ407">
        <f>COUNTIFS($A$2:$A$1000,A407,$B$2:$B$1000,B407,$C$2:$C$1000,C407,$D$2:$D$1000,D407,$E$2:$E$1000,E407,$F$2:$F$1000,F407)</f>
        <v>1</v>
      </c>
      <c r="AK407">
        <f>COUNTIF($A$2:$A$1000, A407)</f>
        <v>1</v>
      </c>
    </row>
    <row r="408" spans="1:37">
      <c r="A408" t="s">
        <v>1320</v>
      </c>
      <c r="B408" s="5">
        <v>45713</v>
      </c>
      <c r="C408" s="5">
        <v>45713</v>
      </c>
      <c r="D408" s="6">
        <f>IF(AND(C408&lt;&gt;"",B408&lt;&gt;""), C408-B408, "Missing Date")</f>
        <v>0</v>
      </c>
      <c r="E408" s="6" t="str">
        <f>IF(OR(B408="",C408=""), "Missing Date",
    IF(C408&lt;B408, "Invalid: Ship before Order",
      "OK"))</f>
        <v>OK</v>
      </c>
      <c r="F408" t="s">
        <v>1321</v>
      </c>
      <c r="G408" t="s">
        <v>264</v>
      </c>
      <c r="H408" t="s">
        <v>37</v>
      </c>
      <c r="I408" t="s">
        <v>63</v>
      </c>
      <c r="J408" t="s">
        <v>190</v>
      </c>
      <c r="K408" t="s">
        <v>191</v>
      </c>
      <c r="L408" t="s">
        <v>41</v>
      </c>
      <c r="M408" t="s">
        <v>57</v>
      </c>
      <c r="N408" t="s">
        <v>1322</v>
      </c>
      <c r="O408" t="s">
        <v>59</v>
      </c>
      <c r="P408">
        <v>2</v>
      </c>
      <c r="Q408">
        <v>3924.2</v>
      </c>
      <c r="R408">
        <v>0.25</v>
      </c>
      <c r="S408">
        <v>5886.3</v>
      </c>
      <c r="T408">
        <v>3621.76</v>
      </c>
      <c r="U408">
        <v>2264.54</v>
      </c>
      <c r="V408" t="s">
        <v>111</v>
      </c>
      <c r="W408" t="s">
        <v>103</v>
      </c>
      <c r="X408" t="str">
        <f>_xlfn.TEXTJOIN("|", TRUE, A408:W408)</f>
        <v>ORD-2025-10407|45713|45713|0|OK|CUST-9909|Kabir Singh|Small Business|West|Goa|Panaji|Furniture|Furnishings|Basic Furnishings 164|Standard Class|2|3924.2|0.25|5886.3|3621.76|2264.54|Pending|Returned</v>
      </c>
      <c r="Y408">
        <f>COUNTIF($X$2:$X$1000, X408)</f>
        <v>1</v>
      </c>
      <c r="Z408">
        <f>COUNTIF($A$2:$A$1000, A408)</f>
        <v>1</v>
      </c>
      <c r="AA408" t="str">
        <f>IF(Y408&gt;1, "Exact Duplicate",
  IF(Z408&gt;1, "Conflicting Duplicate - Review",
    "Unique"))</f>
        <v>Unique</v>
      </c>
      <c r="AB408" s="2">
        <f>IF(ISBLANK(R408), 0, IF(ISTEXT(R408), VALUE(SUBSTITUTE(R408, "%", ""))/100, IF(OR(R408&lt;0, R408&gt;1), "Invalid", R408)))</f>
        <v>0.25</v>
      </c>
      <c r="AC408" s="4">
        <f>IF(AB408="Invalid", "Error", P408 * Q408 * (1 - AB408))</f>
        <v>5886.2999999999993</v>
      </c>
      <c r="AD408" s="4">
        <f>IF(AC408="Error", "Error", AC408 - T408)</f>
        <v>2264.5399999999991</v>
      </c>
      <c r="AE408" s="2">
        <f>IF(AC408="Error", "Error", IF(AC408=0, 0, AD408 / AC408))</f>
        <v>0.38471365713606159</v>
      </c>
      <c r="AF408" s="7">
        <f>C408-B408</f>
        <v>0</v>
      </c>
      <c r="AG408" s="2" t="str">
        <f>TEXT(B408, "mmmm")</f>
        <v>February</v>
      </c>
      <c r="AH408" s="4">
        <f>YEAR(B408)</f>
        <v>2025</v>
      </c>
      <c r="AI408" s="2" t="str">
        <f t="shared" si="20"/>
        <v>Clean</v>
      </c>
      <c r="AJ408">
        <f>COUNTIFS($A$2:$A$1000,A408,$B$2:$B$1000,B408,$C$2:$C$1000,C408,$D$2:$D$1000,D408,$E$2:$E$1000,E408,$F$2:$F$1000,F408)</f>
        <v>1</v>
      </c>
      <c r="AK408">
        <f>COUNTIF($A$2:$A$1000, A408)</f>
        <v>1</v>
      </c>
    </row>
    <row r="409" spans="1:37">
      <c r="A409" t="s">
        <v>1323</v>
      </c>
      <c r="B409" s="5">
        <v>45424</v>
      </c>
      <c r="C409" s="5">
        <v>45425</v>
      </c>
      <c r="D409" s="6">
        <f>IF(AND(C409&lt;&gt;"",B409&lt;&gt;""), C409-B409, "Missing Date")</f>
        <v>1</v>
      </c>
      <c r="E409" s="6" t="str">
        <f>IF(OR(B409="",C409=""), "Missing Date",
    IF(C409&lt;B409, "Invalid: Ship before Order",
      "OK"))</f>
        <v>OK</v>
      </c>
      <c r="F409" t="s">
        <v>1324</v>
      </c>
      <c r="G409" t="s">
        <v>118</v>
      </c>
      <c r="H409" t="s">
        <v>90</v>
      </c>
      <c r="I409" t="s">
        <v>63</v>
      </c>
      <c r="J409" t="s">
        <v>190</v>
      </c>
      <c r="K409" t="s">
        <v>191</v>
      </c>
      <c r="L409" t="s">
        <v>28</v>
      </c>
      <c r="M409" t="s">
        <v>91</v>
      </c>
      <c r="N409" t="s">
        <v>1325</v>
      </c>
      <c r="O409" t="s">
        <v>31</v>
      </c>
      <c r="P409">
        <v>3</v>
      </c>
      <c r="Q409">
        <v>2644.55</v>
      </c>
      <c r="R409">
        <v>0</v>
      </c>
      <c r="S409">
        <v>7933.65</v>
      </c>
      <c r="T409">
        <v>5698.42</v>
      </c>
      <c r="U409">
        <v>2235.23</v>
      </c>
      <c r="V409" t="s">
        <v>32</v>
      </c>
      <c r="W409" t="s">
        <v>33</v>
      </c>
      <c r="X409" t="str">
        <f>_xlfn.TEXTJOIN("|", TRUE, A409:W409)</f>
        <v>ORD-2024-10408|45424|45425|1|OK|CUST-8520|Rahul Verma|Corporate|West|Goa|Panaji|Office Supplies|Labels|Smart Labels 261|Second Class|3|2644.55|0|7933.65|5698.42|2235.23|Paid|Completed</v>
      </c>
      <c r="Y409">
        <f>COUNTIF($X$2:$X$1000, X409)</f>
        <v>1</v>
      </c>
      <c r="Z409">
        <f>COUNTIF($A$2:$A$1000, A409)</f>
        <v>1</v>
      </c>
      <c r="AA409" t="str">
        <f>IF(Y409&gt;1, "Exact Duplicate",
  IF(Z409&gt;1, "Conflicting Duplicate - Review",
    "Unique"))</f>
        <v>Unique</v>
      </c>
      <c r="AB409" s="2">
        <f>IF(ISBLANK(R409), 0, IF(ISTEXT(R409), VALUE(SUBSTITUTE(R409, "%", ""))/100, IF(OR(R409&lt;0, R409&gt;1), "Invalid", R409)))</f>
        <v>0</v>
      </c>
      <c r="AC409" s="4">
        <f>IF(AB409="Invalid", "Error", P409 * Q409 * (1 - AB409))</f>
        <v>7933.6500000000005</v>
      </c>
      <c r="AD409" s="4">
        <f>IF(AC409="Error", "Error", AC409 - T409)</f>
        <v>2235.2300000000005</v>
      </c>
      <c r="AE409" s="2">
        <f>IF(AC409="Error", "Error", IF(AC409=0, 0, AD409 / AC409))</f>
        <v>0.2817404347305465</v>
      </c>
      <c r="AF409" s="7">
        <f>C409-B409</f>
        <v>1</v>
      </c>
      <c r="AG409" s="2" t="str">
        <f>TEXT(B409, "mmmm")</f>
        <v>May</v>
      </c>
      <c r="AH409" s="4">
        <f>YEAR(B409)</f>
        <v>2024</v>
      </c>
      <c r="AI409" s="2" t="str">
        <f t="shared" si="20"/>
        <v>Clean</v>
      </c>
      <c r="AJ409">
        <f>COUNTIFS($A$2:$A$1000,A409,$B$2:$B$1000,B409,$C$2:$C$1000,C409,$D$2:$D$1000,D409,$E$2:$E$1000,E409,$F$2:$F$1000,F409)</f>
        <v>1</v>
      </c>
      <c r="AK409">
        <f>COUNTIF($A$2:$A$1000, A409)</f>
        <v>1</v>
      </c>
    </row>
    <row r="410" spans="1:37">
      <c r="A410" t="s">
        <v>1326</v>
      </c>
      <c r="B410" s="5">
        <v>45665</v>
      </c>
      <c r="C410" s="5">
        <v>45724</v>
      </c>
      <c r="D410" s="6">
        <f>IF(AND(C410&lt;&gt;"",B410&lt;&gt;""), C410-B410, "Missing Date")</f>
        <v>59</v>
      </c>
      <c r="E410" s="6" t="str">
        <f>IF(OR(B410="",C410=""), "Missing Date",
    IF(C410&lt;B410, "Invalid: Ship before Order",
      "OK"))</f>
        <v>OK</v>
      </c>
      <c r="F410" t="s">
        <v>1327</v>
      </c>
      <c r="G410" t="s">
        <v>132</v>
      </c>
      <c r="H410" t="s">
        <v>24</v>
      </c>
      <c r="I410" t="s">
        <v>63</v>
      </c>
      <c r="J410" t="s">
        <v>64</v>
      </c>
      <c r="K410" t="s">
        <v>65</v>
      </c>
      <c r="L410" t="s">
        <v>41</v>
      </c>
      <c r="M410" t="s">
        <v>66</v>
      </c>
      <c r="N410" t="s">
        <v>1328</v>
      </c>
      <c r="O410" t="s">
        <v>50</v>
      </c>
      <c r="P410">
        <v>4</v>
      </c>
      <c r="Q410">
        <v>1773.46</v>
      </c>
      <c r="R410">
        <v>0</v>
      </c>
      <c r="S410">
        <v>7093.84</v>
      </c>
      <c r="T410">
        <v>4587.49</v>
      </c>
      <c r="U410">
        <v>2506.35</v>
      </c>
      <c r="V410" t="s">
        <v>155</v>
      </c>
      <c r="W410" t="s">
        <v>103</v>
      </c>
      <c r="X410" t="str">
        <f>_xlfn.TEXTJOIN("|", TRUE, A410:W410)</f>
        <v>ORD-2025-10409|45665|45724|59|OK|CUST-5036|Sneha Kapoor|Consumer|West|Maharashtra|Mumbai|Furniture|Chairs|Max Chairs 765|First Class|4|1773.46|0|7093.84|4587.49|2506.35|Failed|Returned</v>
      </c>
      <c r="Y410">
        <f>COUNTIF($X$2:$X$1000, X410)</f>
        <v>1</v>
      </c>
      <c r="Z410">
        <f>COUNTIF($A$2:$A$1000, A410)</f>
        <v>1</v>
      </c>
      <c r="AA410" t="str">
        <f>IF(Y410&gt;1, "Exact Duplicate",
  IF(Z410&gt;1, "Conflicting Duplicate - Review",
    "Unique"))</f>
        <v>Unique</v>
      </c>
      <c r="AB410" s="2">
        <f>IF(ISBLANK(R410), 0, IF(ISTEXT(R410), VALUE(SUBSTITUTE(R410, "%", ""))/100, IF(OR(R410&lt;0, R410&gt;1), "Invalid", R410)))</f>
        <v>0</v>
      </c>
      <c r="AC410" s="4">
        <f>IF(AB410="Invalid", "Error", P410 * Q410 * (1 - AB410))</f>
        <v>7093.84</v>
      </c>
      <c r="AD410" s="4">
        <f>IF(AC410="Error", "Error", AC410 - T410)</f>
        <v>2506.3500000000004</v>
      </c>
      <c r="AE410" s="2">
        <f>IF(AC410="Error", "Error", IF(AC410=0, 0, AD410 / AC410))</f>
        <v>0.35331357910525191</v>
      </c>
      <c r="AF410" s="7">
        <f>C410-B410</f>
        <v>59</v>
      </c>
      <c r="AG410" s="2" t="str">
        <f>TEXT(B410, "mmmm")</f>
        <v>January</v>
      </c>
      <c r="AH410" s="4">
        <f>YEAR(B410)</f>
        <v>2025</v>
      </c>
      <c r="AI410" s="2" t="str">
        <f t="shared" si="20"/>
        <v>Excluded from Sales</v>
      </c>
      <c r="AJ410">
        <f>COUNTIFS($A$2:$A$1000,A410,$B$2:$B$1000,B410,$C$2:$C$1000,C410,$D$2:$D$1000,D410,$E$2:$E$1000,E410,$F$2:$F$1000,F410)</f>
        <v>1</v>
      </c>
      <c r="AK410">
        <f>COUNTIF($A$2:$A$1000, A410)</f>
        <v>1</v>
      </c>
    </row>
    <row r="411" spans="1:37">
      <c r="A411" t="s">
        <v>1329</v>
      </c>
      <c r="B411" s="5">
        <v>45701</v>
      </c>
      <c r="C411" s="5">
        <v>45703</v>
      </c>
      <c r="D411" s="6">
        <f>IF(AND(C411&lt;&gt;"",B411&lt;&gt;""), C411-B411, "Missing Date")</f>
        <v>2</v>
      </c>
      <c r="E411" s="6" t="str">
        <f>IF(OR(B411="",C411=""), "Missing Date",
    IF(C411&lt;B411, "Invalid: Ship before Order",
      "OK"))</f>
        <v>OK</v>
      </c>
      <c r="F411" t="s">
        <v>1330</v>
      </c>
      <c r="G411" t="s">
        <v>23</v>
      </c>
      <c r="H411" t="s">
        <v>24</v>
      </c>
      <c r="I411" t="s">
        <v>38</v>
      </c>
      <c r="J411" t="s">
        <v>166</v>
      </c>
      <c r="K411" t="s">
        <v>167</v>
      </c>
      <c r="L411" t="s">
        <v>74</v>
      </c>
      <c r="M411" t="s">
        <v>75</v>
      </c>
      <c r="N411" t="s">
        <v>1331</v>
      </c>
      <c r="O411" t="s">
        <v>44</v>
      </c>
      <c r="P411">
        <v>1</v>
      </c>
      <c r="Q411">
        <v>3025.46</v>
      </c>
      <c r="R411">
        <v>0.25</v>
      </c>
      <c r="S411">
        <v>2269.1</v>
      </c>
      <c r="T411">
        <v>1593.59</v>
      </c>
      <c r="U411">
        <v>675.51</v>
      </c>
      <c r="V411" t="s">
        <v>102</v>
      </c>
      <c r="W411" t="s">
        <v>103</v>
      </c>
      <c r="X411" t="str">
        <f>_xlfn.TEXTJOIN("|", TRUE, A411:W411)</f>
        <v>ORD-2025-10410|45701|45703|2|OK|CUST-7721|Karan Malhotra|Consumer|East|Assam|Guwahati|Technology|Accessories|Pro Accessories 686|Same Day|1|3025.46|0.25|2269.1|1593.59|675.51|Refunded|Returned</v>
      </c>
      <c r="Y411">
        <f>COUNTIF($X$2:$X$1000, X411)</f>
        <v>1</v>
      </c>
      <c r="Z411">
        <f>COUNTIF($A$2:$A$1000, A411)</f>
        <v>1</v>
      </c>
      <c r="AA411" t="str">
        <f>IF(Y411&gt;1, "Exact Duplicate",
  IF(Z411&gt;1, "Conflicting Duplicate - Review",
    "Unique"))</f>
        <v>Unique</v>
      </c>
      <c r="AB411" s="2">
        <f>IF(ISBLANK(R411), 0, IF(ISTEXT(R411), VALUE(SUBSTITUTE(R411, "%", ""))/100, IF(OR(R411&lt;0, R411&gt;1), "Invalid", R411)))</f>
        <v>0.25</v>
      </c>
      <c r="AC411" s="4">
        <f>IF(AB411="Invalid", "Error", P411 * Q411 * (1 - AB411))</f>
        <v>2269.0950000000003</v>
      </c>
      <c r="AD411" s="4">
        <f>IF(AC411="Error", "Error", AC411 - T411)</f>
        <v>675.50500000000034</v>
      </c>
      <c r="AE411" s="2">
        <f>IF(AC411="Error", "Error", IF(AC411=0, 0, AD411 / AC411))</f>
        <v>0.29769798091309541</v>
      </c>
      <c r="AF411" s="7">
        <f>C411-B411</f>
        <v>2</v>
      </c>
      <c r="AG411" s="2" t="str">
        <f>TEXT(B411, "mmmm")</f>
        <v>February</v>
      </c>
      <c r="AH411" s="4">
        <f>YEAR(B411)</f>
        <v>2025</v>
      </c>
      <c r="AI411" s="2" t="str">
        <f t="shared" si="20"/>
        <v>Clean</v>
      </c>
      <c r="AJ411">
        <f>COUNTIFS($A$2:$A$1000,A411,$B$2:$B$1000,B411,$C$2:$C$1000,C411,$D$2:$D$1000,D411,$E$2:$E$1000,E411,$F$2:$F$1000,F411)</f>
        <v>1</v>
      </c>
      <c r="AK411">
        <f>COUNTIF($A$2:$A$1000, A411)</f>
        <v>1</v>
      </c>
    </row>
    <row r="412" spans="1:37">
      <c r="A412" t="s">
        <v>1332</v>
      </c>
      <c r="B412" s="5">
        <v>45394</v>
      </c>
      <c r="C412" s="5">
        <v>45402</v>
      </c>
      <c r="D412" s="6">
        <f>IF(AND(C412&lt;&gt;"",B412&lt;&gt;""), C412-B412, "Missing Date")</f>
        <v>8</v>
      </c>
      <c r="E412" s="6" t="str">
        <f>IF(OR(B412="",C412=""), "Missing Date",
    IF(C412&lt;B412, "Invalid: Ship before Order",
      "OK"))</f>
        <v>OK</v>
      </c>
      <c r="F412" t="s">
        <v>1333</v>
      </c>
      <c r="G412" t="s">
        <v>162</v>
      </c>
      <c r="H412" t="s">
        <v>24</v>
      </c>
      <c r="I412" t="s">
        <v>63</v>
      </c>
      <c r="J412" t="s">
        <v>190</v>
      </c>
      <c r="K412" t="s">
        <v>191</v>
      </c>
      <c r="L412" t="s">
        <v>41</v>
      </c>
      <c r="M412" t="s">
        <v>42</v>
      </c>
      <c r="N412" t="s">
        <v>1334</v>
      </c>
      <c r="O412" t="s">
        <v>50</v>
      </c>
      <c r="P412">
        <v>9</v>
      </c>
      <c r="Q412">
        <v>1302.6099999999999</v>
      </c>
      <c r="R412">
        <v>0.2</v>
      </c>
      <c r="S412">
        <v>9378.7900000000009</v>
      </c>
      <c r="T412">
        <v>6774.48</v>
      </c>
      <c r="U412">
        <v>2604.31</v>
      </c>
      <c r="V412" t="s">
        <v>32</v>
      </c>
      <c r="W412" t="s">
        <v>33</v>
      </c>
      <c r="X412" t="str">
        <f>_xlfn.TEXTJOIN("|", TRUE, A412:W412)</f>
        <v>ORD-2024-10411|45394|45402|8|OK|CUST-9495|Diya Patel|Consumer|West|Goa|Panaji|Furniture|Tables|Smart Tables 100|First Class|9|1302.61|0.2|9378.79|6774.48|2604.31|Paid|Completed</v>
      </c>
      <c r="Y412">
        <f>COUNTIF($X$2:$X$1000, X412)</f>
        <v>1</v>
      </c>
      <c r="Z412">
        <f>COUNTIF($A$2:$A$1000, A412)</f>
        <v>1</v>
      </c>
      <c r="AA412" t="str">
        <f>IF(Y412&gt;1, "Exact Duplicate",
  IF(Z412&gt;1, "Conflicting Duplicate - Review",
    "Unique"))</f>
        <v>Unique</v>
      </c>
      <c r="AB412" s="2">
        <f>IF(ISBLANK(R412), 0, IF(ISTEXT(R412), VALUE(SUBSTITUTE(R412, "%", ""))/100, IF(OR(R412&lt;0, R412&gt;1), "Invalid", R412)))</f>
        <v>0.2</v>
      </c>
      <c r="AC412" s="4">
        <f>IF(AB412="Invalid", "Error", P412 * Q412 * (1 - AB412))</f>
        <v>9378.7919999999995</v>
      </c>
      <c r="AD412" s="4">
        <f>IF(AC412="Error", "Error", AC412 - T412)</f>
        <v>2604.3119999999999</v>
      </c>
      <c r="AE412" s="2">
        <f>IF(AC412="Error", "Error", IF(AC412=0, 0, AD412 / AC412))</f>
        <v>0.27768096360384154</v>
      </c>
      <c r="AF412" s="7">
        <f>C412-B412</f>
        <v>8</v>
      </c>
      <c r="AG412" s="2" t="str">
        <f>TEXT(B412, "mmmm")</f>
        <v>April</v>
      </c>
      <c r="AH412" s="4">
        <f>YEAR(B412)</f>
        <v>2024</v>
      </c>
      <c r="AI412" s="2" t="str">
        <f t="shared" si="20"/>
        <v>Clean</v>
      </c>
      <c r="AJ412">
        <f>COUNTIFS($A$2:$A$1000,A412,$B$2:$B$1000,B412,$C$2:$C$1000,C412,$D$2:$D$1000,D412,$E$2:$E$1000,E412,$F$2:$F$1000,F412)</f>
        <v>1</v>
      </c>
      <c r="AK412">
        <f>COUNTIF($A$2:$A$1000, A412)</f>
        <v>1</v>
      </c>
    </row>
    <row r="413" spans="1:37">
      <c r="A413" t="s">
        <v>1335</v>
      </c>
      <c r="B413" s="5">
        <v>45892</v>
      </c>
      <c r="C413" s="5">
        <v>45897</v>
      </c>
      <c r="D413" s="6">
        <f>IF(AND(C413&lt;&gt;"",B413&lt;&gt;""), C413-B413, "Missing Date")</f>
        <v>5</v>
      </c>
      <c r="E413" s="6" t="str">
        <f>IF(OR(B413="",C413=""), "Missing Date",
    IF(C413&lt;B413, "Invalid: Ship before Order",
      "OK"))</f>
        <v>OK</v>
      </c>
      <c r="F413" t="s">
        <v>1336</v>
      </c>
      <c r="G413" t="s">
        <v>53</v>
      </c>
      <c r="H413" t="s">
        <v>95</v>
      </c>
      <c r="I413" t="s">
        <v>63</v>
      </c>
      <c r="J413" t="s">
        <v>26</v>
      </c>
      <c r="K413" t="s">
        <v>109</v>
      </c>
      <c r="L413" t="s">
        <v>41</v>
      </c>
      <c r="M413" t="s">
        <v>42</v>
      </c>
      <c r="N413" t="s">
        <v>1337</v>
      </c>
      <c r="O413" t="s">
        <v>50</v>
      </c>
      <c r="P413">
        <v>1</v>
      </c>
      <c r="Q413">
        <v>4167.8100000000004</v>
      </c>
      <c r="R413">
        <v>0.2</v>
      </c>
      <c r="S413">
        <v>3334.25</v>
      </c>
      <c r="T413">
        <v>2768.77</v>
      </c>
      <c r="U413">
        <v>565.48</v>
      </c>
      <c r="V413" t="s">
        <v>155</v>
      </c>
      <c r="W413" t="s">
        <v>103</v>
      </c>
      <c r="X413" t="str">
        <f>_xlfn.TEXTJOIN("|", TRUE, A413:W413)</f>
        <v>ORD-2025-10412|45892|45897|5|OK|CUST-2855|Arjun Bose|Home Office|West|Rajasthan|Udaipur|Furniture|Tables|Basic Tables 615|First Class|1|4167.81|0.2|3334.25|2768.77|565.48|Failed|Returned</v>
      </c>
      <c r="Y413">
        <f>COUNTIF($X$2:$X$1000, X413)</f>
        <v>1</v>
      </c>
      <c r="Z413">
        <f>COUNTIF($A$2:$A$1000, A413)</f>
        <v>1</v>
      </c>
      <c r="AA413" t="str">
        <f>IF(Y413&gt;1, "Exact Duplicate",
  IF(Z413&gt;1, "Conflicting Duplicate - Review",
    "Unique"))</f>
        <v>Unique</v>
      </c>
      <c r="AB413" s="2">
        <f>IF(ISBLANK(R413), 0, IF(ISTEXT(R413), VALUE(SUBSTITUTE(R413, "%", ""))/100, IF(OR(R413&lt;0, R413&gt;1), "Invalid", R413)))</f>
        <v>0.2</v>
      </c>
      <c r="AC413" s="4">
        <f>IF(AB413="Invalid", "Error", P413 * Q413 * (1 - AB413))</f>
        <v>3334.2480000000005</v>
      </c>
      <c r="AD413" s="4">
        <f>IF(AC413="Error", "Error", AC413 - T413)</f>
        <v>565.47800000000052</v>
      </c>
      <c r="AE413" s="2">
        <f>IF(AC413="Error", "Error", IF(AC413=0, 0, AD413 / AC413))</f>
        <v>0.16959686262089696</v>
      </c>
      <c r="AF413" s="7">
        <f>C413-B413</f>
        <v>5</v>
      </c>
      <c r="AG413" s="2" t="str">
        <f>TEXT(B413, "mmmm")</f>
        <v>August</v>
      </c>
      <c r="AH413" s="4">
        <f>YEAR(B413)</f>
        <v>2025</v>
      </c>
      <c r="AI413" s="2" t="str">
        <f t="shared" si="20"/>
        <v>Excluded from Sales</v>
      </c>
      <c r="AJ413">
        <f>COUNTIFS($A$2:$A$1000,A413,$B$2:$B$1000,B413,$C$2:$C$1000,C413,$D$2:$D$1000,D413,$E$2:$E$1000,E413,$F$2:$F$1000,F413)</f>
        <v>1</v>
      </c>
      <c r="AK413">
        <f>COUNTIF($A$2:$A$1000, A413)</f>
        <v>1</v>
      </c>
    </row>
    <row r="414" spans="1:37">
      <c r="A414" t="s">
        <v>1338</v>
      </c>
      <c r="B414" s="5">
        <v>45313</v>
      </c>
      <c r="C414" s="5">
        <v>45321</v>
      </c>
      <c r="D414" s="6">
        <f>IF(AND(C414&lt;&gt;"",B414&lt;&gt;""), C414-B414, "Missing Date")</f>
        <v>8</v>
      </c>
      <c r="E414" s="6" t="str">
        <f>IF(OR(B414="",C414=""), "Missing Date",
    IF(C414&lt;B414, "Invalid: Ship before Order",
      "OK"))</f>
        <v>OK</v>
      </c>
      <c r="F414" t="s">
        <v>1339</v>
      </c>
      <c r="G414" t="s">
        <v>47</v>
      </c>
      <c r="H414" t="s">
        <v>90</v>
      </c>
      <c r="I414" t="s">
        <v>54</v>
      </c>
      <c r="J414" t="s">
        <v>175</v>
      </c>
      <c r="K414" t="s">
        <v>176</v>
      </c>
      <c r="L414" t="s">
        <v>41</v>
      </c>
      <c r="M414" t="s">
        <v>66</v>
      </c>
      <c r="N414" t="s">
        <v>1340</v>
      </c>
      <c r="O414" t="s">
        <v>44</v>
      </c>
      <c r="P414">
        <v>1</v>
      </c>
      <c r="Q414">
        <v>2111.39</v>
      </c>
      <c r="R414">
        <v>0.25</v>
      </c>
      <c r="S414">
        <v>1583.54</v>
      </c>
      <c r="T414">
        <v>1014.19</v>
      </c>
      <c r="U414">
        <v>569.35</v>
      </c>
      <c r="V414" t="s">
        <v>32</v>
      </c>
      <c r="W414" t="s">
        <v>33</v>
      </c>
      <c r="X414" t="str">
        <f>_xlfn.TEXTJOIN("|", TRUE, A414:W414)</f>
        <v>ORD-2024-10413|45313|45321|8|OK|CUST-4329|Isha Nair|Corporate|South|Karnataka|Bengaluru|Furniture|Chairs|Basic Chairs 790|Same Day|1|2111.39|0.25|1583.54|1014.19|569.35|Paid|Completed</v>
      </c>
      <c r="Y414">
        <f>COUNTIF($X$2:$X$1000, X414)</f>
        <v>1</v>
      </c>
      <c r="Z414">
        <f>COUNTIF($A$2:$A$1000, A414)</f>
        <v>1</v>
      </c>
      <c r="AA414" t="str">
        <f>IF(Y414&gt;1, "Exact Duplicate",
  IF(Z414&gt;1, "Conflicting Duplicate - Review",
    "Unique"))</f>
        <v>Unique</v>
      </c>
      <c r="AB414" s="2">
        <f>IF(ISBLANK(R414), 0, IF(ISTEXT(R414), VALUE(SUBSTITUTE(R414, "%", ""))/100, IF(OR(R414&lt;0, R414&gt;1), "Invalid", R414)))</f>
        <v>0.25</v>
      </c>
      <c r="AC414" s="4">
        <f>IF(AB414="Invalid", "Error", P414 * Q414 * (1 - AB414))</f>
        <v>1583.5425</v>
      </c>
      <c r="AD414" s="4">
        <f>IF(AC414="Error", "Error", AC414 - T414)</f>
        <v>569.35249999999996</v>
      </c>
      <c r="AE414" s="2">
        <f>IF(AC414="Error", "Error", IF(AC414=0, 0, AD414 / AC414))</f>
        <v>0.35954355503562424</v>
      </c>
      <c r="AF414" s="7">
        <f>C414-B414</f>
        <v>8</v>
      </c>
      <c r="AG414" s="2" t="str">
        <f>TEXT(B414, "mmmm")</f>
        <v>January</v>
      </c>
      <c r="AH414" s="4">
        <f>YEAR(B414)</f>
        <v>2024</v>
      </c>
      <c r="AI414" s="2" t="str">
        <f t="shared" si="20"/>
        <v>Clean</v>
      </c>
      <c r="AJ414">
        <f>COUNTIFS($A$2:$A$1000,A414,$B$2:$B$1000,B414,$C$2:$C$1000,C414,$D$2:$D$1000,D414,$E$2:$E$1000,E414,$F$2:$F$1000,F414)</f>
        <v>1</v>
      </c>
      <c r="AK414">
        <f>COUNTIF($A$2:$A$1000, A414)</f>
        <v>1</v>
      </c>
    </row>
    <row r="415" spans="1:37">
      <c r="A415" t="s">
        <v>1341</v>
      </c>
      <c r="B415" s="5">
        <v>45882</v>
      </c>
      <c r="C415" s="5">
        <v>45886</v>
      </c>
      <c r="D415" s="6">
        <f>IF(AND(C415&lt;&gt;"",B415&lt;&gt;""), C415-B415, "Missing Date")</f>
        <v>4</v>
      </c>
      <c r="E415" s="6" t="str">
        <f>IF(OR(B415="",C415=""), "Missing Date",
    IF(C415&lt;B415, "Invalid: Ship before Order",
      "OK"))</f>
        <v>OK</v>
      </c>
      <c r="F415" t="s">
        <v>1342</v>
      </c>
      <c r="G415" t="s">
        <v>79</v>
      </c>
      <c r="H415" t="s">
        <v>95</v>
      </c>
      <c r="I415" t="s">
        <v>63</v>
      </c>
      <c r="J415" t="s">
        <v>72</v>
      </c>
      <c r="K415" t="s">
        <v>73</v>
      </c>
      <c r="L415" t="s">
        <v>74</v>
      </c>
      <c r="M415" t="s">
        <v>75</v>
      </c>
      <c r="N415" t="s">
        <v>1343</v>
      </c>
      <c r="O415" t="s">
        <v>31</v>
      </c>
      <c r="P415">
        <v>8</v>
      </c>
      <c r="Q415">
        <v>1918.23</v>
      </c>
      <c r="R415">
        <v>0</v>
      </c>
      <c r="S415">
        <v>15345.84</v>
      </c>
      <c r="T415">
        <v>10735.33</v>
      </c>
      <c r="U415">
        <v>4610.51</v>
      </c>
      <c r="V415" t="s">
        <v>111</v>
      </c>
      <c r="W415" t="s">
        <v>68</v>
      </c>
      <c r="X415" t="str">
        <f>_xlfn.TEXTJOIN("|", TRUE, A415:W415)</f>
        <v>ORD-2025-10414|45882|45886|4|OK|CUST-5094|Neha Gupta|Home Office|West|Madhya Pradesh|Indore|Technology|Accessories|Smart Accessories 226|Second Class|8|1918.23|0|15345.84|10735.33|4610.51|Pending|Cancelled</v>
      </c>
      <c r="Y415">
        <f>COUNTIF($X$2:$X$1000, X415)</f>
        <v>1</v>
      </c>
      <c r="Z415">
        <f>COUNTIF($A$2:$A$1000, A415)</f>
        <v>1</v>
      </c>
      <c r="AA415" t="str">
        <f>IF(Y415&gt;1, "Exact Duplicate",
  IF(Z415&gt;1, "Conflicting Duplicate - Review",
    "Unique"))</f>
        <v>Unique</v>
      </c>
      <c r="AB415" s="2">
        <f>IF(ISBLANK(R415), 0, IF(ISTEXT(R415), VALUE(SUBSTITUTE(R415, "%", ""))/100, IF(OR(R415&lt;0, R415&gt;1), "Invalid", R415)))</f>
        <v>0</v>
      </c>
      <c r="AC415" s="4">
        <f>IF(AB415="Invalid", "Error", P415 * Q415 * (1 - AB415))</f>
        <v>15345.84</v>
      </c>
      <c r="AD415" s="4">
        <f>IF(AC415="Error", "Error", AC415 - T415)</f>
        <v>4610.51</v>
      </c>
      <c r="AE415" s="2">
        <f>IF(AC415="Error", "Error", IF(AC415=0, 0, AD415 / AC415))</f>
        <v>0.30044037993358463</v>
      </c>
      <c r="AF415" s="7">
        <f>C415-B415</f>
        <v>4</v>
      </c>
      <c r="AG415" s="2" t="str">
        <f>TEXT(B415, "mmmm")</f>
        <v>August</v>
      </c>
      <c r="AH415" s="4">
        <f>YEAR(B415)</f>
        <v>2025</v>
      </c>
      <c r="AI415" s="2" t="str">
        <f t="shared" si="20"/>
        <v>Excluded from Sales</v>
      </c>
      <c r="AJ415">
        <f>COUNTIFS($A$2:$A$1000,A415,$B$2:$B$1000,B415,$C$2:$C$1000,C415,$D$2:$D$1000,D415,$E$2:$E$1000,E415,$F$2:$F$1000,F415)</f>
        <v>1</v>
      </c>
      <c r="AK415">
        <f>COUNTIF($A$2:$A$1000, A415)</f>
        <v>1</v>
      </c>
    </row>
    <row r="416" spans="1:37">
      <c r="A416" t="s">
        <v>1344</v>
      </c>
      <c r="B416" s="5">
        <v>45533</v>
      </c>
      <c r="C416" s="5">
        <v>45534</v>
      </c>
      <c r="D416" s="6">
        <f>IF(AND(C416&lt;&gt;"",B416&lt;&gt;""), C416-B416, "Missing Date")</f>
        <v>1</v>
      </c>
      <c r="E416" s="6" t="str">
        <f>IF(OR(B416="",C416=""), "Missing Date",
    IF(C416&lt;B416, "Invalid: Ship before Order",
      "OK"))</f>
        <v>OK</v>
      </c>
      <c r="F416" t="s">
        <v>1345</v>
      </c>
      <c r="G416" t="s">
        <v>53</v>
      </c>
      <c r="H416" t="s">
        <v>95</v>
      </c>
      <c r="I416" t="s">
        <v>38</v>
      </c>
      <c r="J416" t="s">
        <v>166</v>
      </c>
      <c r="K416" t="s">
        <v>167</v>
      </c>
      <c r="L416" t="s">
        <v>28</v>
      </c>
      <c r="M416" t="s">
        <v>124</v>
      </c>
      <c r="N416" t="s">
        <v>1346</v>
      </c>
      <c r="O416" t="s">
        <v>50</v>
      </c>
      <c r="P416">
        <v>4</v>
      </c>
      <c r="Q416">
        <v>2484.08</v>
      </c>
      <c r="R416">
        <v>0.05</v>
      </c>
      <c r="S416">
        <v>9439.5</v>
      </c>
      <c r="T416">
        <v>5519.39</v>
      </c>
      <c r="U416">
        <v>3920.11</v>
      </c>
      <c r="V416" t="s">
        <v>32</v>
      </c>
      <c r="W416" t="s">
        <v>33</v>
      </c>
      <c r="X416" t="str">
        <f>_xlfn.TEXTJOIN("|", TRUE, A416:W416)</f>
        <v>ORD-2024-10415|45533|45534|1|OK|CUST-4194|Arjun Bose|Home Office|East|Assam|Guwahati|Office Supplies|Storage|Max Storage 692|First Class|4|2484.08|0.05|9439.5|5519.39|3920.11|Paid|Completed</v>
      </c>
      <c r="Y416">
        <f>COUNTIF($X$2:$X$1000, X416)</f>
        <v>1</v>
      </c>
      <c r="Z416">
        <f>COUNTIF($A$2:$A$1000, A416)</f>
        <v>1</v>
      </c>
      <c r="AA416" t="str">
        <f>IF(Y416&gt;1, "Exact Duplicate",
  IF(Z416&gt;1, "Conflicting Duplicate - Review",
    "Unique"))</f>
        <v>Unique</v>
      </c>
      <c r="AB416" s="2">
        <f>IF(ISBLANK(R416), 0, IF(ISTEXT(R416), VALUE(SUBSTITUTE(R416, "%", ""))/100, IF(OR(R416&lt;0, R416&gt;1), "Invalid", R416)))</f>
        <v>0.05</v>
      </c>
      <c r="AC416" s="4">
        <f>IF(AB416="Invalid", "Error", P416 * Q416 * (1 - AB416))</f>
        <v>9439.503999999999</v>
      </c>
      <c r="AD416" s="4">
        <f>IF(AC416="Error", "Error", AC416 - T416)</f>
        <v>3920.1139999999987</v>
      </c>
      <c r="AE416" s="2">
        <f>IF(AC416="Error", "Error", IF(AC416=0, 0, AD416 / AC416))</f>
        <v>0.41528813378330037</v>
      </c>
      <c r="AF416" s="7">
        <f>C416-B416</f>
        <v>1</v>
      </c>
      <c r="AG416" s="2" t="str">
        <f>TEXT(B416, "mmmm")</f>
        <v>August</v>
      </c>
      <c r="AH416" s="4">
        <f>YEAR(B416)</f>
        <v>2024</v>
      </c>
      <c r="AI416" s="2" t="str">
        <f t="shared" si="20"/>
        <v>Clean</v>
      </c>
      <c r="AJ416">
        <f>COUNTIFS($A$2:$A$1000,A416,$B$2:$B$1000,B416,$C$2:$C$1000,C416,$D$2:$D$1000,D416,$E$2:$E$1000,E416,$F$2:$F$1000,F416)</f>
        <v>1</v>
      </c>
      <c r="AK416">
        <f>COUNTIF($A$2:$A$1000, A416)</f>
        <v>1</v>
      </c>
    </row>
    <row r="417" spans="1:37">
      <c r="A417" t="s">
        <v>1347</v>
      </c>
      <c r="B417" s="5">
        <v>45316</v>
      </c>
      <c r="C417" s="5">
        <v>45318</v>
      </c>
      <c r="D417" s="6">
        <f>IF(AND(C417&lt;&gt;"",B417&lt;&gt;""), C417-B417, "Missing Date")</f>
        <v>2</v>
      </c>
      <c r="E417" s="6" t="str">
        <f>IF(OR(B417="",C417=""), "Missing Date",
    IF(C417&lt;B417, "Invalid: Ship before Order",
      "OK"))</f>
        <v>OK</v>
      </c>
      <c r="F417" t="s">
        <v>1348</v>
      </c>
      <c r="G417" t="s">
        <v>128</v>
      </c>
      <c r="H417" t="s">
        <v>90</v>
      </c>
      <c r="I417" t="s">
        <v>54</v>
      </c>
      <c r="J417" t="s">
        <v>175</v>
      </c>
      <c r="K417" t="s">
        <v>176</v>
      </c>
      <c r="L417" t="s">
        <v>28</v>
      </c>
      <c r="M417" t="s">
        <v>124</v>
      </c>
      <c r="N417" t="s">
        <v>1349</v>
      </c>
      <c r="O417" t="s">
        <v>44</v>
      </c>
      <c r="P417">
        <v>7</v>
      </c>
      <c r="Q417">
        <v>1727.26</v>
      </c>
      <c r="R417">
        <v>0.15</v>
      </c>
      <c r="S417">
        <v>10277.200000000001</v>
      </c>
      <c r="T417">
        <v>7906.5</v>
      </c>
      <c r="U417">
        <v>2370.6999999999998</v>
      </c>
      <c r="V417" t="s">
        <v>32</v>
      </c>
      <c r="W417" t="s">
        <v>103</v>
      </c>
      <c r="X417" t="str">
        <f>_xlfn.TEXTJOIN("|", TRUE, A417:W417)</f>
        <v>ORD-2024-10416|45316|45318|2|OK|CUST-7087|Aarav Sharma|Corporate|South|Karnataka|Bengaluru|Office Supplies|Storage|Basic Storage 684|Same Day|7|1727.26|0.15|10277.2|7906.5|2370.7|Paid|Returned</v>
      </c>
      <c r="Y417">
        <f>COUNTIF($X$2:$X$1000, X417)</f>
        <v>1</v>
      </c>
      <c r="Z417">
        <f>COUNTIF($A$2:$A$1000, A417)</f>
        <v>1</v>
      </c>
      <c r="AA417" t="str">
        <f>IF(Y417&gt;1, "Exact Duplicate",
  IF(Z417&gt;1, "Conflicting Duplicate - Review",
    "Unique"))</f>
        <v>Unique</v>
      </c>
      <c r="AB417" s="2">
        <f>IF(ISBLANK(R417), 0, IF(ISTEXT(R417), VALUE(SUBSTITUTE(R417, "%", ""))/100, IF(OR(R417&lt;0, R417&gt;1), "Invalid", R417)))</f>
        <v>0.15</v>
      </c>
      <c r="AC417" s="4">
        <f>IF(AB417="Invalid", "Error", P417 * Q417 * (1 - AB417))</f>
        <v>10277.197</v>
      </c>
      <c r="AD417" s="4">
        <f>IF(AC417="Error", "Error", AC417 - T417)</f>
        <v>2370.6970000000001</v>
      </c>
      <c r="AE417" s="2">
        <f>IF(AC417="Error", "Error", IF(AC417=0, 0, AD417 / AC417))</f>
        <v>0.23067544584384245</v>
      </c>
      <c r="AF417" s="7">
        <f>C417-B417</f>
        <v>2</v>
      </c>
      <c r="AG417" s="2" t="str">
        <f>TEXT(B417, "mmmm")</f>
        <v>January</v>
      </c>
      <c r="AH417" s="4">
        <f>YEAR(B417)</f>
        <v>2024</v>
      </c>
      <c r="AI417" s="2" t="str">
        <f t="shared" si="20"/>
        <v>Clean</v>
      </c>
      <c r="AJ417">
        <f>COUNTIFS($A$2:$A$1000,A417,$B$2:$B$1000,B417,$C$2:$C$1000,C417,$D$2:$D$1000,D417,$E$2:$E$1000,E417,$F$2:$F$1000,F417)</f>
        <v>1</v>
      </c>
      <c r="AK417">
        <f>COUNTIF($A$2:$A$1000, A417)</f>
        <v>1</v>
      </c>
    </row>
    <row r="418" spans="1:37">
      <c r="A418" t="s">
        <v>1350</v>
      </c>
      <c r="B418" s="5">
        <v>45665</v>
      </c>
      <c r="C418" s="5">
        <v>45673</v>
      </c>
      <c r="D418" s="6">
        <f>IF(AND(C418&lt;&gt;"",B418&lt;&gt;""), C418-B418, "Missing Date")</f>
        <v>8</v>
      </c>
      <c r="E418" s="6" t="str">
        <f>IF(OR(B418="",C418=""), "Missing Date",
    IF(C418&lt;B418, "Invalid: Ship before Order",
      "OK"))</f>
        <v>OK</v>
      </c>
      <c r="F418" t="s">
        <v>1351</v>
      </c>
      <c r="G418" t="s">
        <v>79</v>
      </c>
      <c r="H418" t="s">
        <v>24</v>
      </c>
      <c r="I418" t="s">
        <v>54</v>
      </c>
      <c r="J418" t="s">
        <v>55</v>
      </c>
      <c r="K418" t="s">
        <v>56</v>
      </c>
      <c r="L418" t="s">
        <v>41</v>
      </c>
      <c r="M418" t="s">
        <v>57</v>
      </c>
      <c r="N418" t="s">
        <v>1352</v>
      </c>
      <c r="O418" t="s">
        <v>50</v>
      </c>
      <c r="P418">
        <v>8</v>
      </c>
      <c r="Q418">
        <v>638.95000000000005</v>
      </c>
      <c r="R418">
        <v>0.25</v>
      </c>
      <c r="S418">
        <v>3833.7</v>
      </c>
      <c r="T418">
        <v>2886.35</v>
      </c>
      <c r="U418">
        <v>947.35</v>
      </c>
      <c r="V418" t="s">
        <v>32</v>
      </c>
      <c r="W418" t="s">
        <v>33</v>
      </c>
      <c r="X418" t="str">
        <f>_xlfn.TEXTJOIN("|", TRUE, A418:W418)</f>
        <v>ORD-2025-10417|45665|45673|8|OK|CUST-7608|Neha Gupta|Consumer|South|Telangana|Hyderabad|Furniture|Furnishings|Smart Furnishings 152|First Class|8|638.95|0.25|3833.7|2886.35|947.35|Paid|Completed</v>
      </c>
      <c r="Y418">
        <f>COUNTIF($X$2:$X$1000, X418)</f>
        <v>1</v>
      </c>
      <c r="Z418">
        <f>COUNTIF($A$2:$A$1000, A418)</f>
        <v>1</v>
      </c>
      <c r="AA418" t="str">
        <f>IF(Y418&gt;1, "Exact Duplicate",
  IF(Z418&gt;1, "Conflicting Duplicate - Review",
    "Unique"))</f>
        <v>Unique</v>
      </c>
      <c r="AB418" s="2">
        <f>IF(ISBLANK(R418), 0, IF(ISTEXT(R418), VALUE(SUBSTITUTE(R418, "%", ""))/100, IF(OR(R418&lt;0, R418&gt;1), "Invalid", R418)))</f>
        <v>0.25</v>
      </c>
      <c r="AC418" s="4">
        <f>IF(AB418="Invalid", "Error", P418 * Q418 * (1 - AB418))</f>
        <v>3833.7000000000003</v>
      </c>
      <c r="AD418" s="4">
        <f>IF(AC418="Error", "Error", AC418 - T418)</f>
        <v>947.35000000000036</v>
      </c>
      <c r="AE418" s="2">
        <f>IF(AC418="Error", "Error", IF(AC418=0, 0, AD418 / AC418))</f>
        <v>0.24711114589039318</v>
      </c>
      <c r="AF418" s="7">
        <f>C418-B418</f>
        <v>8</v>
      </c>
      <c r="AG418" s="2" t="str">
        <f>TEXT(B418, "mmmm")</f>
        <v>January</v>
      </c>
      <c r="AH418" s="4">
        <f>YEAR(B418)</f>
        <v>2025</v>
      </c>
      <c r="AI418" s="2" t="str">
        <f t="shared" si="20"/>
        <v>Clean</v>
      </c>
      <c r="AJ418">
        <f>COUNTIFS($A$2:$A$1000,A418,$B$2:$B$1000,B418,$C$2:$C$1000,C418,$D$2:$D$1000,D418,$E$2:$E$1000,E418,$F$2:$F$1000,F418)</f>
        <v>1</v>
      </c>
      <c r="AK418">
        <f>COUNTIF($A$2:$A$1000, A418)</f>
        <v>1</v>
      </c>
    </row>
    <row r="419" spans="1:37">
      <c r="A419" t="s">
        <v>1353</v>
      </c>
      <c r="B419" s="5">
        <v>45686</v>
      </c>
      <c r="C419" s="5">
        <v>45779</v>
      </c>
      <c r="D419" s="6">
        <f>IF(AND(C419&lt;&gt;"",B419&lt;&gt;""), C419-B419, "Missing Date")</f>
        <v>93</v>
      </c>
      <c r="E419" s="6" t="str">
        <f>IF(OR(B419="",C419=""), "Missing Date",
    IF(C419&lt;B419, "Invalid: Ship before Order",
      "OK"))</f>
        <v>OK</v>
      </c>
      <c r="F419" t="s">
        <v>1354</v>
      </c>
      <c r="G419" t="s">
        <v>36</v>
      </c>
      <c r="H419" t="s">
        <v>24</v>
      </c>
      <c r="I419" t="s">
        <v>63</v>
      </c>
      <c r="J419" t="s">
        <v>180</v>
      </c>
      <c r="K419" t="s">
        <v>181</v>
      </c>
      <c r="L419" t="s">
        <v>28</v>
      </c>
      <c r="M419" t="s">
        <v>48</v>
      </c>
      <c r="N419" t="s">
        <v>1355</v>
      </c>
      <c r="O419" t="s">
        <v>50</v>
      </c>
      <c r="P419">
        <v>6</v>
      </c>
      <c r="Q419">
        <v>3863</v>
      </c>
      <c r="R419">
        <v>0.2</v>
      </c>
      <c r="S419">
        <v>18542.400000000001</v>
      </c>
      <c r="T419">
        <v>11193.75</v>
      </c>
      <c r="U419">
        <v>7348.65</v>
      </c>
      <c r="V419" t="s">
        <v>32</v>
      </c>
      <c r="W419" t="s">
        <v>33</v>
      </c>
      <c r="X419" t="str">
        <f>_xlfn.TEXTJOIN("|", TRUE, A419:W419)</f>
        <v>ORD-2025-10418|45686|45779|93|OK|CUST-5269|Mira Das|Consumer|West|Gujarat|Ahmedabad|Office Supplies|Art|Max Art 736|First Class|6|3863|0.2|18542.4|11193.75|7348.65|Paid|Completed</v>
      </c>
      <c r="Y419">
        <f>COUNTIF($X$2:$X$1000, X419)</f>
        <v>1</v>
      </c>
      <c r="Z419">
        <f>COUNTIF($A$2:$A$1000, A419)</f>
        <v>1</v>
      </c>
      <c r="AA419" t="str">
        <f>IF(Y419&gt;1, "Exact Duplicate",
  IF(Z419&gt;1, "Conflicting Duplicate - Review",
    "Unique"))</f>
        <v>Unique</v>
      </c>
      <c r="AB419" s="2">
        <f>IF(ISBLANK(R419), 0, IF(ISTEXT(R419), VALUE(SUBSTITUTE(R419, "%", ""))/100, IF(OR(R419&lt;0, R419&gt;1), "Invalid", R419)))</f>
        <v>0.2</v>
      </c>
      <c r="AC419" s="4">
        <f>IF(AB419="Invalid", "Error", P419 * Q419 * (1 - AB419))</f>
        <v>18542.400000000001</v>
      </c>
      <c r="AD419" s="4">
        <f>IF(AC419="Error", "Error", AC419 - T419)</f>
        <v>7348.6500000000015</v>
      </c>
      <c r="AE419" s="2">
        <f>IF(AC419="Error", "Error", IF(AC419=0, 0, AD419 / AC419))</f>
        <v>0.39631601087237905</v>
      </c>
      <c r="AF419" s="7">
        <f>C419-B419</f>
        <v>93</v>
      </c>
      <c r="AG419" s="2" t="str">
        <f>TEXT(B419, "mmmm")</f>
        <v>January</v>
      </c>
      <c r="AH419" s="4">
        <f>YEAR(B419)</f>
        <v>2025</v>
      </c>
      <c r="AI419" s="2" t="str">
        <f t="shared" si="20"/>
        <v>Clean</v>
      </c>
      <c r="AJ419">
        <f>COUNTIFS($A$2:$A$1000,A419,$B$2:$B$1000,B419,$C$2:$C$1000,C419,$D$2:$D$1000,D419,$E$2:$E$1000,E419,$F$2:$F$1000,F419)</f>
        <v>1</v>
      </c>
      <c r="AK419">
        <f>COUNTIF($A$2:$A$1000, A419)</f>
        <v>1</v>
      </c>
    </row>
    <row r="420" spans="1:37">
      <c r="A420" t="s">
        <v>1356</v>
      </c>
      <c r="B420" s="5">
        <v>45546</v>
      </c>
      <c r="C420" s="5">
        <v>45613</v>
      </c>
      <c r="D420" s="6">
        <f>IF(AND(C420&lt;&gt;"",B420&lt;&gt;""), C420-B420, "Missing Date")</f>
        <v>67</v>
      </c>
      <c r="E420" s="6" t="str">
        <f>IF(OR(B420="",C420=""), "Missing Date",
    IF(C420&lt;B420, "Invalid: Ship before Order",
      "OK"))</f>
        <v>OK</v>
      </c>
      <c r="F420" t="s">
        <v>1357</v>
      </c>
      <c r="G420" t="s">
        <v>132</v>
      </c>
      <c r="H420" t="s">
        <v>90</v>
      </c>
      <c r="I420" t="s">
        <v>38</v>
      </c>
      <c r="J420" t="s">
        <v>39</v>
      </c>
      <c r="K420" t="s">
        <v>40</v>
      </c>
      <c r="L420" t="s">
        <v>74</v>
      </c>
      <c r="M420" t="s">
        <v>80</v>
      </c>
      <c r="N420" t="s">
        <v>1358</v>
      </c>
      <c r="O420" t="s">
        <v>59</v>
      </c>
      <c r="P420">
        <v>6</v>
      </c>
      <c r="Q420">
        <v>3660.4</v>
      </c>
      <c r="R420">
        <v>0</v>
      </c>
      <c r="S420">
        <v>21962.400000000001</v>
      </c>
      <c r="T420">
        <v>15331.99</v>
      </c>
      <c r="U420">
        <v>6630.41</v>
      </c>
      <c r="V420" t="s">
        <v>155</v>
      </c>
      <c r="W420" t="s">
        <v>68</v>
      </c>
      <c r="X420" t="str">
        <f>_xlfn.TEXTJOIN("|", TRUE, A420:W420)</f>
        <v>ORD-2024-10419|45546|45613|67|OK|CUST-7925|Sneha Kapoor|Corporate|East|Odisha|Bhubaneswar|Technology|Copiers|Elite Copiers 971|Standard Class|6|3660.4|0|21962.4|15331.99|6630.41|Failed|Cancelled</v>
      </c>
      <c r="Y420">
        <f>COUNTIF($X$2:$X$1000, X420)</f>
        <v>1</v>
      </c>
      <c r="Z420">
        <f>COUNTIF($A$2:$A$1000, A420)</f>
        <v>1</v>
      </c>
      <c r="AA420" t="str">
        <f>IF(Y420&gt;1, "Exact Duplicate",
  IF(Z420&gt;1, "Conflicting Duplicate - Review",
    "Unique"))</f>
        <v>Unique</v>
      </c>
      <c r="AB420" s="2">
        <f>IF(ISBLANK(R420), 0, IF(ISTEXT(R420), VALUE(SUBSTITUTE(R420, "%", ""))/100, IF(OR(R420&lt;0, R420&gt;1), "Invalid", R420)))</f>
        <v>0</v>
      </c>
      <c r="AC420" s="4">
        <f>IF(AB420="Invalid", "Error", P420 * Q420 * (1 - AB420))</f>
        <v>21962.400000000001</v>
      </c>
      <c r="AD420" s="4">
        <f>IF(AC420="Error", "Error", AC420 - T420)</f>
        <v>6630.4100000000017</v>
      </c>
      <c r="AE420" s="2">
        <f>IF(AC420="Error", "Error", IF(AC420=0, 0, AD420 / AC420))</f>
        <v>0.3018982442720286</v>
      </c>
      <c r="AF420" s="7">
        <f>C420-B420</f>
        <v>67</v>
      </c>
      <c r="AG420" s="2" t="str">
        <f>TEXT(B420, "mmmm")</f>
        <v>September</v>
      </c>
      <c r="AH420" s="4">
        <f>YEAR(B420)</f>
        <v>2024</v>
      </c>
      <c r="AI420" s="2" t="str">
        <f t="shared" si="20"/>
        <v>Excluded from Sales</v>
      </c>
      <c r="AJ420">
        <f>COUNTIFS($A$2:$A$1000,A420,$B$2:$B$1000,B420,$C$2:$C$1000,C420,$D$2:$D$1000,D420,$E$2:$E$1000,E420,$F$2:$F$1000,F420)</f>
        <v>1</v>
      </c>
      <c r="AK420">
        <f>COUNTIF($A$2:$A$1000, A420)</f>
        <v>1</v>
      </c>
    </row>
    <row r="421" spans="1:37">
      <c r="A421" t="s">
        <v>1359</v>
      </c>
      <c r="B421" s="5">
        <v>45926</v>
      </c>
      <c r="C421" s="5">
        <v>45930</v>
      </c>
      <c r="D421" s="6">
        <f>IF(AND(C421&lt;&gt;"",B421&lt;&gt;""), C421-B421, "Missing Date")</f>
        <v>4</v>
      </c>
      <c r="E421" s="6" t="str">
        <f>IF(OR(B421="",C421=""), "Missing Date",
    IF(C421&lt;B421, "Invalid: Ship before Order",
      "OK"))</f>
        <v>OK</v>
      </c>
      <c r="F421" t="s">
        <v>1360</v>
      </c>
      <c r="G421" t="s">
        <v>132</v>
      </c>
      <c r="H421" t="s">
        <v>95</v>
      </c>
      <c r="I421" t="s">
        <v>25</v>
      </c>
      <c r="J421" t="s">
        <v>236</v>
      </c>
      <c r="K421" t="s">
        <v>237</v>
      </c>
      <c r="L421" t="s">
        <v>74</v>
      </c>
      <c r="M421" t="s">
        <v>171</v>
      </c>
      <c r="N421" t="s">
        <v>1361</v>
      </c>
      <c r="O421" t="s">
        <v>44</v>
      </c>
      <c r="P421">
        <v>2</v>
      </c>
      <c r="Q421">
        <v>688.83</v>
      </c>
      <c r="R421">
        <v>0.05</v>
      </c>
      <c r="S421">
        <v>1308.78</v>
      </c>
      <c r="T421">
        <v>843</v>
      </c>
      <c r="U421">
        <v>465.78</v>
      </c>
      <c r="V421" t="s">
        <v>32</v>
      </c>
      <c r="W421" t="s">
        <v>33</v>
      </c>
      <c r="X421" t="str">
        <f>_xlfn.TEXTJOIN("|", TRUE, A421:W421)</f>
        <v>ORD-2025-10420|45926|45930|4|OK|CUST-6552|Sneha Kapoor|Home Office|North|Haryana|Gurugram|Technology|Phones|Classic Phones 940|Same Day|2|688.83|0.05|1308.78|843|465.78|Paid|Completed</v>
      </c>
      <c r="Y421">
        <f>COUNTIF($X$2:$X$1000, X421)</f>
        <v>1</v>
      </c>
      <c r="Z421">
        <f>COUNTIF($A$2:$A$1000, A421)</f>
        <v>1</v>
      </c>
      <c r="AA421" t="str">
        <f>IF(Y421&gt;1, "Exact Duplicate",
  IF(Z421&gt;1, "Conflicting Duplicate - Review",
    "Unique"))</f>
        <v>Unique</v>
      </c>
      <c r="AB421" s="2">
        <f>IF(ISBLANK(R421), 0, IF(ISTEXT(R421), VALUE(SUBSTITUTE(R421, "%", ""))/100, IF(OR(R421&lt;0, R421&gt;1), "Invalid", R421)))</f>
        <v>0.05</v>
      </c>
      <c r="AC421" s="4">
        <f>IF(AB421="Invalid", "Error", P421 * Q421 * (1 - AB421))</f>
        <v>1308.777</v>
      </c>
      <c r="AD421" s="4">
        <f>IF(AC421="Error", "Error", AC421 - T421)</f>
        <v>465.77700000000004</v>
      </c>
      <c r="AE421" s="2">
        <f>IF(AC421="Error", "Error", IF(AC421=0, 0, AD421 / AC421))</f>
        <v>0.35588721378813964</v>
      </c>
      <c r="AF421" s="7">
        <f>C421-B421</f>
        <v>4</v>
      </c>
      <c r="AG421" s="2" t="str">
        <f>TEXT(B421, "mmmm")</f>
        <v>September</v>
      </c>
      <c r="AH421" s="4">
        <f>YEAR(B421)</f>
        <v>2025</v>
      </c>
      <c r="AI421" s="2" t="str">
        <f t="shared" si="20"/>
        <v>Clean</v>
      </c>
      <c r="AJ421">
        <f>COUNTIFS($A$2:$A$1000,A421,$B$2:$B$1000,B421,$C$2:$C$1000,C421,$D$2:$D$1000,D421,$E$2:$E$1000,E421,$F$2:$F$1000,F421)</f>
        <v>1</v>
      </c>
      <c r="AK421">
        <f>COUNTIF($A$2:$A$1000, A421)</f>
        <v>1</v>
      </c>
    </row>
    <row r="422" spans="1:37">
      <c r="A422" t="s">
        <v>1362</v>
      </c>
      <c r="B422" s="5">
        <v>45734</v>
      </c>
      <c r="C422" s="5">
        <v>45735</v>
      </c>
      <c r="D422" s="6">
        <f>IF(AND(C422&lt;&gt;"",B422&lt;&gt;""), C422-B422, "Missing Date")</f>
        <v>1</v>
      </c>
      <c r="E422" s="6" t="str">
        <f>IF(OR(B422="",C422=""), "Missing Date",
    IF(C422&lt;B422, "Invalid: Ship before Order",
      "OK"))</f>
        <v>OK</v>
      </c>
      <c r="F422" t="s">
        <v>1363</v>
      </c>
      <c r="G422" t="s">
        <v>47</v>
      </c>
      <c r="H422" t="s">
        <v>90</v>
      </c>
      <c r="I422" t="s">
        <v>54</v>
      </c>
      <c r="J422" t="s">
        <v>247</v>
      </c>
      <c r="K422" t="s">
        <v>248</v>
      </c>
      <c r="L422" t="s">
        <v>74</v>
      </c>
      <c r="M422" t="s">
        <v>274</v>
      </c>
      <c r="N422" t="s">
        <v>1364</v>
      </c>
      <c r="O422" t="s">
        <v>59</v>
      </c>
      <c r="P422">
        <v>2</v>
      </c>
      <c r="Q422">
        <v>1209.99</v>
      </c>
      <c r="R422">
        <v>0.25</v>
      </c>
      <c r="S422">
        <v>1814.99</v>
      </c>
      <c r="T422">
        <v>1120.06</v>
      </c>
      <c r="U422">
        <v>694.93</v>
      </c>
      <c r="V422" t="s">
        <v>111</v>
      </c>
      <c r="W422" t="s">
        <v>68</v>
      </c>
      <c r="X422" t="str">
        <f>_xlfn.TEXTJOIN("|", TRUE, A422:W422)</f>
        <v>ORD-2025-10421|45734|45735|1|OK|CUST-7131|Isha Nair|Corporate|South|Tamil Nadu|Chennai|Technology|Machines|Pro Machines 579|Standard Class|2|1209.99|0.25|1814.99|1120.06|694.93|Pending|Cancelled</v>
      </c>
      <c r="Y422">
        <f>COUNTIF($X$2:$X$1000, X422)</f>
        <v>1</v>
      </c>
      <c r="Z422">
        <f>COUNTIF($A$2:$A$1000, A422)</f>
        <v>1</v>
      </c>
      <c r="AA422" t="str">
        <f>IF(Y422&gt;1, "Exact Duplicate",
  IF(Z422&gt;1, "Conflicting Duplicate - Review",
    "Unique"))</f>
        <v>Unique</v>
      </c>
      <c r="AB422" s="2">
        <f>IF(ISBLANK(R422), 0, IF(ISTEXT(R422), VALUE(SUBSTITUTE(R422, "%", ""))/100, IF(OR(R422&lt;0, R422&gt;1), "Invalid", R422)))</f>
        <v>0.25</v>
      </c>
      <c r="AC422" s="4">
        <f>IF(AB422="Invalid", "Error", P422 * Q422 * (1 - AB422))</f>
        <v>1814.9850000000001</v>
      </c>
      <c r="AD422" s="4">
        <f>IF(AC422="Error", "Error", AC422 - T422)</f>
        <v>694.92500000000018</v>
      </c>
      <c r="AE422" s="2">
        <f>IF(AC422="Error", "Error", IF(AC422=0, 0, AD422 / AC422))</f>
        <v>0.38288195219244242</v>
      </c>
      <c r="AF422" s="7">
        <f>C422-B422</f>
        <v>1</v>
      </c>
      <c r="AG422" s="2" t="str">
        <f>TEXT(B422, "mmmm")</f>
        <v>March</v>
      </c>
      <c r="AH422" s="4">
        <f>YEAR(B422)</f>
        <v>2025</v>
      </c>
      <c r="AI422" s="2" t="str">
        <f t="shared" si="20"/>
        <v>Excluded from Sales</v>
      </c>
      <c r="AJ422">
        <f>COUNTIFS($A$2:$A$1000,A422,$B$2:$B$1000,B422,$C$2:$C$1000,C422,$D$2:$D$1000,D422,$E$2:$E$1000,E422,$F$2:$F$1000,F422)</f>
        <v>1</v>
      </c>
      <c r="AK422">
        <f>COUNTIF($A$2:$A$1000, A422)</f>
        <v>1</v>
      </c>
    </row>
    <row r="423" spans="1:37">
      <c r="A423" t="s">
        <v>1365</v>
      </c>
      <c r="B423" s="5">
        <v>45822</v>
      </c>
      <c r="C423" s="5">
        <v>45827</v>
      </c>
      <c r="D423" s="6">
        <f>IF(AND(C423&lt;&gt;"",B423&lt;&gt;""), C423-B423, "Missing Date")</f>
        <v>5</v>
      </c>
      <c r="E423" s="6" t="str">
        <f>IF(OR(B423="",C423=""), "Missing Date",
    IF(C423&lt;B423, "Invalid: Ship before Order",
      "OK"))</f>
        <v>OK</v>
      </c>
      <c r="F423" t="s">
        <v>1366</v>
      </c>
      <c r="G423" t="s">
        <v>141</v>
      </c>
      <c r="H423" t="s">
        <v>37</v>
      </c>
      <c r="I423" t="s">
        <v>25</v>
      </c>
      <c r="J423" t="s">
        <v>350</v>
      </c>
      <c r="K423" t="s">
        <v>351</v>
      </c>
      <c r="L423" t="s">
        <v>28</v>
      </c>
      <c r="M423" t="s">
        <v>153</v>
      </c>
      <c r="N423" t="s">
        <v>1367</v>
      </c>
      <c r="O423" t="s">
        <v>44</v>
      </c>
      <c r="P423">
        <v>3</v>
      </c>
      <c r="Q423">
        <v>1037.45</v>
      </c>
      <c r="R423">
        <v>0.2</v>
      </c>
      <c r="S423">
        <v>2489.88</v>
      </c>
      <c r="T423">
        <v>1707.52</v>
      </c>
      <c r="U423">
        <v>782.36</v>
      </c>
      <c r="V423" t="s">
        <v>111</v>
      </c>
      <c r="W423" t="s">
        <v>103</v>
      </c>
      <c r="X423" t="str">
        <f>_xlfn.TEXTJOIN("|", TRUE, A423:W423)</f>
        <v>ORD-2025-10422|45822|45827|5|OK|CUST-2779|Rohan Mehta|Small Business|North|Delhi|New Delhi|Office Supplies|Binders|Elite Binders 943|Same Day|3|1037.45|0.2|2489.88|1707.52|782.36|Pending|Returned</v>
      </c>
      <c r="Y423">
        <f>COUNTIF($X$2:$X$1000, X423)</f>
        <v>1</v>
      </c>
      <c r="Z423">
        <f>COUNTIF($A$2:$A$1000, A423)</f>
        <v>1</v>
      </c>
      <c r="AA423" t="str">
        <f>IF(Y423&gt;1, "Exact Duplicate",
  IF(Z423&gt;1, "Conflicting Duplicate - Review",
    "Unique"))</f>
        <v>Unique</v>
      </c>
      <c r="AB423" s="2">
        <f>IF(ISBLANK(R423), 0, IF(ISTEXT(R423), VALUE(SUBSTITUTE(R423, "%", ""))/100, IF(OR(R423&lt;0, R423&gt;1), "Invalid", R423)))</f>
        <v>0.2</v>
      </c>
      <c r="AC423" s="4">
        <f>IF(AB423="Invalid", "Error", P423 * Q423 * (1 - AB423))</f>
        <v>2489.8800000000006</v>
      </c>
      <c r="AD423" s="4">
        <f>IF(AC423="Error", "Error", AC423 - T423)</f>
        <v>782.36000000000058</v>
      </c>
      <c r="AE423" s="2">
        <f>IF(AC423="Error", "Error", IF(AC423=0, 0, AD423 / AC423))</f>
        <v>0.31421594615001541</v>
      </c>
      <c r="AF423" s="7">
        <f>C423-B423</f>
        <v>5</v>
      </c>
      <c r="AG423" s="2" t="str">
        <f>TEXT(B423, "mmmm")</f>
        <v>June</v>
      </c>
      <c r="AH423" s="4">
        <f>YEAR(B423)</f>
        <v>2025</v>
      </c>
      <c r="AI423" s="2" t="str">
        <f t="shared" si="20"/>
        <v>Clean</v>
      </c>
      <c r="AJ423">
        <f>COUNTIFS($A$2:$A$1000,A423,$B$2:$B$1000,B423,$C$2:$C$1000,C423,$D$2:$D$1000,D423,$E$2:$E$1000,E423,$F$2:$F$1000,F423)</f>
        <v>1</v>
      </c>
      <c r="AK423">
        <f>COUNTIF($A$2:$A$1000, A423)</f>
        <v>1</v>
      </c>
    </row>
    <row r="424" spans="1:37">
      <c r="A424" t="s">
        <v>1368</v>
      </c>
      <c r="B424" s="5">
        <v>45725</v>
      </c>
      <c r="C424" s="5">
        <v>45906</v>
      </c>
      <c r="D424" s="6">
        <f>IF(AND(C424&lt;&gt;"",B424&lt;&gt;""), C424-B424, "Missing Date")</f>
        <v>181</v>
      </c>
      <c r="E424" s="6" t="str">
        <f>IF(OR(B424="",C424=""), "Missing Date",
    IF(C424&lt;B424, "Invalid: Ship before Order",
      "OK"))</f>
        <v>OK</v>
      </c>
      <c r="F424" t="s">
        <v>1369</v>
      </c>
      <c r="G424" t="s">
        <v>264</v>
      </c>
      <c r="H424" t="s">
        <v>24</v>
      </c>
      <c r="I424" t="s">
        <v>63</v>
      </c>
      <c r="J424" t="s">
        <v>72</v>
      </c>
      <c r="K424" t="s">
        <v>73</v>
      </c>
      <c r="L424" t="s">
        <v>74</v>
      </c>
      <c r="M424" t="s">
        <v>80</v>
      </c>
      <c r="N424" t="s">
        <v>1370</v>
      </c>
      <c r="O424" t="s">
        <v>44</v>
      </c>
      <c r="P424">
        <v>7</v>
      </c>
      <c r="Q424">
        <v>688.85</v>
      </c>
      <c r="R424">
        <v>0.15</v>
      </c>
      <c r="S424">
        <v>4098.66</v>
      </c>
      <c r="T424">
        <v>2678.06</v>
      </c>
      <c r="U424">
        <v>1420.6</v>
      </c>
      <c r="V424" t="s">
        <v>32</v>
      </c>
      <c r="W424" t="s">
        <v>33</v>
      </c>
      <c r="X424" t="str">
        <f>_xlfn.TEXTJOIN("|", TRUE, A424:W424)</f>
        <v>ORD-2025-10423|45725|45906|181|OK|CUST-6077|Kabir Singh|Consumer|West|Madhya Pradesh|Indore|Technology|Copiers|Elite Copiers 474|Same Day|7|688.85|0.15|4098.66|2678.06|1420.6|Paid|Completed</v>
      </c>
      <c r="Y424">
        <f>COUNTIF($X$2:$X$1000, X424)</f>
        <v>1</v>
      </c>
      <c r="Z424">
        <f>COUNTIF($A$2:$A$1000, A424)</f>
        <v>1</v>
      </c>
      <c r="AA424" t="str">
        <f>IF(Y424&gt;1, "Exact Duplicate",
  IF(Z424&gt;1, "Conflicting Duplicate - Review",
    "Unique"))</f>
        <v>Unique</v>
      </c>
      <c r="AB424" s="2">
        <f>IF(ISBLANK(R424), 0, IF(ISTEXT(R424), VALUE(SUBSTITUTE(R424, "%", ""))/100, IF(OR(R424&lt;0, R424&gt;1), "Invalid", R424)))</f>
        <v>0.15</v>
      </c>
      <c r="AC424" s="4">
        <f>IF(AB424="Invalid", "Error", P424 * Q424 * (1 - AB424))</f>
        <v>4098.6574999999993</v>
      </c>
      <c r="AD424" s="4">
        <f>IF(AC424="Error", "Error", AC424 - T424)</f>
        <v>1420.5974999999994</v>
      </c>
      <c r="AE424" s="2">
        <f>IF(AC424="Error", "Error", IF(AC424=0, 0, AD424 / AC424))</f>
        <v>0.34660068571233377</v>
      </c>
      <c r="AF424" s="7">
        <f>C424-B424</f>
        <v>181</v>
      </c>
      <c r="AG424" s="2" t="str">
        <f>TEXT(B424, "mmmm")</f>
        <v>March</v>
      </c>
      <c r="AH424" s="4">
        <f>YEAR(B424)</f>
        <v>2025</v>
      </c>
      <c r="AI424" s="2" t="str">
        <f t="shared" si="20"/>
        <v>Clean</v>
      </c>
      <c r="AJ424">
        <f>COUNTIFS($A$2:$A$1000,A424,$B$2:$B$1000,B424,$C$2:$C$1000,C424,$D$2:$D$1000,D424,$E$2:$E$1000,E424,$F$2:$F$1000,F424)</f>
        <v>1</v>
      </c>
      <c r="AK424">
        <f>COUNTIF($A$2:$A$1000, A424)</f>
        <v>1</v>
      </c>
    </row>
    <row r="425" spans="1:37">
      <c r="A425" t="s">
        <v>1371</v>
      </c>
      <c r="B425" s="5">
        <v>45342</v>
      </c>
      <c r="C425" s="5">
        <v>45349</v>
      </c>
      <c r="D425" s="6">
        <f>IF(AND(C425&lt;&gt;"",B425&lt;&gt;""), C425-B425, "Missing Date")</f>
        <v>7</v>
      </c>
      <c r="E425" s="6" t="str">
        <f>IF(OR(B425="",C425=""), "Missing Date",
    IF(C425&lt;B425, "Invalid: Ship before Order",
      "OK"))</f>
        <v>OK</v>
      </c>
      <c r="F425" t="s">
        <v>1372</v>
      </c>
      <c r="G425" t="s">
        <v>162</v>
      </c>
      <c r="H425" t="s">
        <v>24</v>
      </c>
      <c r="I425" t="s">
        <v>54</v>
      </c>
      <c r="J425" t="s">
        <v>185</v>
      </c>
      <c r="K425" t="s">
        <v>186</v>
      </c>
      <c r="L425" t="s">
        <v>74</v>
      </c>
      <c r="M425" t="s">
        <v>75</v>
      </c>
      <c r="N425" t="s">
        <v>1373</v>
      </c>
      <c r="O425" t="s">
        <v>50</v>
      </c>
      <c r="P425">
        <v>9</v>
      </c>
      <c r="Q425">
        <v>3779.31</v>
      </c>
      <c r="R425">
        <v>0.2</v>
      </c>
      <c r="S425">
        <v>27211.03</v>
      </c>
      <c r="T425">
        <v>17940.43</v>
      </c>
      <c r="U425">
        <v>9270.6</v>
      </c>
      <c r="V425" t="s">
        <v>32</v>
      </c>
      <c r="W425" t="s">
        <v>33</v>
      </c>
      <c r="X425" t="str">
        <f>_xlfn.TEXTJOIN("|", TRUE, A425:W425)</f>
        <v>ORD-2024-10424|45342|45349|7|OK|CUST-6169|Diya Patel|Consumer|South|Kerala|Kochi|Technology|Accessories|Prime Accessories 236|First Class|9|3779.31|0.2|27211.03|17940.43|9270.6|Paid|Completed</v>
      </c>
      <c r="Y425">
        <f>COUNTIF($X$2:$X$1000, X425)</f>
        <v>1</v>
      </c>
      <c r="Z425">
        <f>COUNTIF($A$2:$A$1000, A425)</f>
        <v>2</v>
      </c>
      <c r="AA425" t="str">
        <f>IF(Y425&gt;1, "Exact Duplicate",
  IF(Z425&gt;1, "Conflicting Duplicate - Review",
    "Unique"))</f>
        <v>Conflicting Duplicate - Review</v>
      </c>
      <c r="AB425" s="2">
        <f>IF(ISBLANK(R425), 0, IF(ISTEXT(R425), VALUE(SUBSTITUTE(R425, "%", ""))/100, IF(OR(R425&lt;0, R425&gt;1), "Invalid", R425)))</f>
        <v>0.2</v>
      </c>
      <c r="AC425" s="4">
        <f>IF(AB425="Invalid", "Error", P425 * Q425 * (1 - AB425))</f>
        <v>27211.032000000003</v>
      </c>
      <c r="AD425" s="4">
        <f>IF(AC425="Error", "Error", AC425 - T425)</f>
        <v>9270.6020000000026</v>
      </c>
      <c r="AE425" s="2">
        <f>IF(AC425="Error", "Error", IF(AC425=0, 0, AD425 / AC425))</f>
        <v>0.34069277490100347</v>
      </c>
      <c r="AF425" s="7">
        <f>C425-B425</f>
        <v>7</v>
      </c>
      <c r="AG425" s="2" t="str">
        <f>TEXT(B425, "mmmm")</f>
        <v>February</v>
      </c>
      <c r="AH425" s="4">
        <f>YEAR(B425)</f>
        <v>2024</v>
      </c>
      <c r="AI425" s="2" t="str">
        <f t="shared" si="20"/>
        <v>Clean</v>
      </c>
      <c r="AJ425">
        <f>COUNTIFS($A$2:$A$1000,A425,$B$2:$B$1000,B425,$C$2:$C$1000,C425,$D$2:$D$1000,D425,$E$2:$E$1000,E425,$F$2:$F$1000,F425)</f>
        <v>2</v>
      </c>
      <c r="AK425">
        <f>COUNTIF($A$2:$A$1000, A425)</f>
        <v>2</v>
      </c>
    </row>
    <row r="426" spans="1:37">
      <c r="A426" t="s">
        <v>1374</v>
      </c>
      <c r="B426" s="5">
        <v>45469</v>
      </c>
      <c r="C426" s="5">
        <v>45472</v>
      </c>
      <c r="D426" s="6">
        <f>IF(AND(C426&lt;&gt;"",B426&lt;&gt;""), C426-B426, "Missing Date")</f>
        <v>3</v>
      </c>
      <c r="E426" s="6" t="str">
        <f>IF(OR(B426="",C426=""), "Missing Date",
    IF(C426&lt;B426, "Invalid: Ship before Order",
      "OK"))</f>
        <v>OK</v>
      </c>
      <c r="F426" t="s">
        <v>1375</v>
      </c>
      <c r="G426" t="s">
        <v>79</v>
      </c>
      <c r="H426" t="s">
        <v>90</v>
      </c>
      <c r="I426" t="s">
        <v>25</v>
      </c>
      <c r="J426" t="s">
        <v>122</v>
      </c>
      <c r="K426" t="s">
        <v>123</v>
      </c>
      <c r="L426" t="s">
        <v>74</v>
      </c>
      <c r="M426" t="s">
        <v>171</v>
      </c>
      <c r="N426" t="s">
        <v>1376</v>
      </c>
      <c r="O426" t="s">
        <v>59</v>
      </c>
      <c r="P426">
        <v>8</v>
      </c>
      <c r="Q426">
        <v>804.52</v>
      </c>
      <c r="R426">
        <v>0</v>
      </c>
      <c r="S426">
        <v>6436.16</v>
      </c>
      <c r="T426">
        <v>4263.83</v>
      </c>
      <c r="U426">
        <v>2172.33</v>
      </c>
      <c r="V426" t="s">
        <v>32</v>
      </c>
      <c r="W426" t="s">
        <v>33</v>
      </c>
      <c r="X426" t="str">
        <f>_xlfn.TEXTJOIN("|", TRUE, A426:W426)</f>
        <v>ORD-2024-10425|45469|45472|3|OK|CUST-8904|Neha Gupta|Corporate|North|Punjab|Ludhiana|Technology|Phones|Prime Phones 881|Standard Class|8|804.52|0|6436.16|4263.83|2172.33|Paid|Completed</v>
      </c>
      <c r="Y426">
        <f>COUNTIF($X$2:$X$1000, X426)</f>
        <v>1</v>
      </c>
      <c r="Z426">
        <f>COUNTIF($A$2:$A$1000, A426)</f>
        <v>1</v>
      </c>
      <c r="AA426" t="str">
        <f>IF(Y426&gt;1, "Exact Duplicate",
  IF(Z426&gt;1, "Conflicting Duplicate - Review",
    "Unique"))</f>
        <v>Unique</v>
      </c>
      <c r="AB426" s="2">
        <f>IF(ISBLANK(R426), 0, IF(ISTEXT(R426), VALUE(SUBSTITUTE(R426, "%", ""))/100, IF(OR(R426&lt;0, R426&gt;1), "Invalid", R426)))</f>
        <v>0</v>
      </c>
      <c r="AC426" s="4">
        <f>IF(AB426="Invalid", "Error", P426 * Q426 * (1 - AB426))</f>
        <v>6436.16</v>
      </c>
      <c r="AD426" s="4">
        <f>IF(AC426="Error", "Error", AC426 - T426)</f>
        <v>2172.33</v>
      </c>
      <c r="AE426" s="2">
        <f>IF(AC426="Error", "Error", IF(AC426=0, 0, AD426 / AC426))</f>
        <v>0.33751957689056827</v>
      </c>
      <c r="AF426" s="7">
        <f>C426-B426</f>
        <v>3</v>
      </c>
      <c r="AG426" s="2" t="str">
        <f>TEXT(B426, "mmmm")</f>
        <v>June</v>
      </c>
      <c r="AH426" s="4">
        <f>YEAR(B426)</f>
        <v>2024</v>
      </c>
      <c r="AI426" s="2" t="str">
        <f t="shared" si="20"/>
        <v>Clean</v>
      </c>
      <c r="AJ426">
        <f>COUNTIFS($A$2:$A$1000,A426,$B$2:$B$1000,B426,$C$2:$C$1000,C426,$D$2:$D$1000,D426,$E$2:$E$1000,E426,$F$2:$F$1000,F426)</f>
        <v>1</v>
      </c>
      <c r="AK426">
        <f>COUNTIF($A$2:$A$1000, A426)</f>
        <v>1</v>
      </c>
    </row>
    <row r="427" spans="1:37">
      <c r="A427" t="s">
        <v>1377</v>
      </c>
      <c r="B427" s="5">
        <v>45561</v>
      </c>
      <c r="C427" s="5">
        <v>45562</v>
      </c>
      <c r="D427" s="6">
        <f>IF(AND(C427&lt;&gt;"",B427&lt;&gt;""), C427-B427, "Missing Date")</f>
        <v>1</v>
      </c>
      <c r="E427" s="6" t="str">
        <f>IF(OR(B427="",C427=""), "Missing Date",
    IF(C427&lt;B427, "Invalid: Ship before Order",
      "OK"))</f>
        <v>OK</v>
      </c>
      <c r="F427" t="s">
        <v>1378</v>
      </c>
      <c r="G427" t="s">
        <v>47</v>
      </c>
      <c r="H427" t="s">
        <v>95</v>
      </c>
      <c r="I427" t="s">
        <v>25</v>
      </c>
      <c r="J427" t="s">
        <v>350</v>
      </c>
      <c r="K427" t="s">
        <v>351</v>
      </c>
      <c r="L427" t="s">
        <v>28</v>
      </c>
      <c r="M427" t="s">
        <v>91</v>
      </c>
      <c r="N427" t="s">
        <v>1379</v>
      </c>
      <c r="O427" t="s">
        <v>50</v>
      </c>
      <c r="P427">
        <v>2</v>
      </c>
      <c r="Q427">
        <v>1065.69</v>
      </c>
      <c r="R427">
        <v>0.1</v>
      </c>
      <c r="S427">
        <v>1918.24</v>
      </c>
      <c r="T427">
        <v>1373.52</v>
      </c>
      <c r="U427">
        <v>544.72</v>
      </c>
      <c r="V427" t="s">
        <v>102</v>
      </c>
      <c r="W427" t="s">
        <v>68</v>
      </c>
      <c r="X427" t="str">
        <f>_xlfn.TEXTJOIN("|", TRUE, A427:W427)</f>
        <v>ORD-2024-10426|45561|45562|1|OK|CUST-9586|Isha Nair|Home Office|North|Delhi|New Delhi|Office Supplies|Labels|Pro Labels 903|First Class|2|1065.69|0.1|1918.24|1373.52|544.72|Refunded|Cancelled</v>
      </c>
      <c r="Y427">
        <f>COUNTIF($X$2:$X$1000, X427)</f>
        <v>1</v>
      </c>
      <c r="Z427">
        <f>COUNTIF($A$2:$A$1000, A427)</f>
        <v>1</v>
      </c>
      <c r="AA427" t="str">
        <f>IF(Y427&gt;1, "Exact Duplicate",
  IF(Z427&gt;1, "Conflicting Duplicate - Review",
    "Unique"))</f>
        <v>Unique</v>
      </c>
      <c r="AB427" s="2">
        <f>IF(ISBLANK(R427), 0, IF(ISTEXT(R427), VALUE(SUBSTITUTE(R427, "%", ""))/100, IF(OR(R427&lt;0, R427&gt;1), "Invalid", R427)))</f>
        <v>0.1</v>
      </c>
      <c r="AC427" s="4">
        <f>IF(AB427="Invalid", "Error", P427 * Q427 * (1 - AB427))</f>
        <v>1918.2420000000002</v>
      </c>
      <c r="AD427" s="4">
        <f>IF(AC427="Error", "Error", AC427 - T427)</f>
        <v>544.72200000000021</v>
      </c>
      <c r="AE427" s="2">
        <f>IF(AC427="Error", "Error", IF(AC427=0, 0, AD427 / AC427))</f>
        <v>0.2839693844676533</v>
      </c>
      <c r="AF427" s="7">
        <f>C427-B427</f>
        <v>1</v>
      </c>
      <c r="AG427" s="2" t="str">
        <f>TEXT(B427, "mmmm")</f>
        <v>September</v>
      </c>
      <c r="AH427" s="4">
        <f>YEAR(B427)</f>
        <v>2024</v>
      </c>
      <c r="AI427" s="2" t="str">
        <f t="shared" si="20"/>
        <v>Excluded from Sales</v>
      </c>
      <c r="AJ427">
        <f>COUNTIFS($A$2:$A$1000,A427,$B$2:$B$1000,B427,$C$2:$C$1000,C427,$D$2:$D$1000,D427,$E$2:$E$1000,E427,$F$2:$F$1000,F427)</f>
        <v>1</v>
      </c>
      <c r="AK427">
        <f>COUNTIF($A$2:$A$1000, A427)</f>
        <v>1</v>
      </c>
    </row>
    <row r="428" spans="1:37">
      <c r="A428" t="s">
        <v>1380</v>
      </c>
      <c r="B428" s="5">
        <v>45473</v>
      </c>
      <c r="C428" s="5">
        <v>45474</v>
      </c>
      <c r="D428" s="6">
        <f>IF(AND(C428&lt;&gt;"",B428&lt;&gt;""), C428-B428, "Missing Date")</f>
        <v>1</v>
      </c>
      <c r="E428" s="6" t="str">
        <f>IF(OR(B428="",C428=""), "Missing Date",
    IF(C428&lt;B428, "Invalid: Ship before Order",
      "OK"))</f>
        <v>OK</v>
      </c>
      <c r="F428" t="s">
        <v>1381</v>
      </c>
      <c r="G428" t="s">
        <v>89</v>
      </c>
      <c r="H428" t="s">
        <v>24</v>
      </c>
      <c r="I428" t="s">
        <v>25</v>
      </c>
      <c r="J428" t="s">
        <v>236</v>
      </c>
      <c r="K428" t="s">
        <v>237</v>
      </c>
      <c r="L428" t="s">
        <v>74</v>
      </c>
      <c r="M428" t="s">
        <v>80</v>
      </c>
      <c r="N428" t="s">
        <v>1382</v>
      </c>
      <c r="O428" t="s">
        <v>44</v>
      </c>
      <c r="P428">
        <v>8</v>
      </c>
      <c r="Q428">
        <v>3756.66</v>
      </c>
      <c r="R428">
        <v>0.1</v>
      </c>
      <c r="S428">
        <v>27047.95</v>
      </c>
      <c r="T428">
        <v>18431.330000000002</v>
      </c>
      <c r="U428">
        <v>8616.6200000000008</v>
      </c>
      <c r="V428" t="s">
        <v>32</v>
      </c>
      <c r="W428" t="s">
        <v>33</v>
      </c>
      <c r="X428" t="str">
        <f>_xlfn.TEXTJOIN("|", TRUE, A428:W428)</f>
        <v>ORD-2024-10427|45473|45474|1|OK|CUST-5431|Aditi Sen|Consumer|North|Haryana|Gurugram|Technology|Copiers|Max Copiers 402|Same Day|8|3756.66|0.1|27047.95|18431.33|8616.62|Paid|Completed</v>
      </c>
      <c r="Y428">
        <f>COUNTIF($X$2:$X$1000, X428)</f>
        <v>1</v>
      </c>
      <c r="Z428">
        <f>COUNTIF($A$2:$A$1000, A428)</f>
        <v>1</v>
      </c>
      <c r="AA428" t="str">
        <f>IF(Y428&gt;1, "Exact Duplicate",
  IF(Z428&gt;1, "Conflicting Duplicate - Review",
    "Unique"))</f>
        <v>Unique</v>
      </c>
      <c r="AB428" s="2">
        <f>IF(ISBLANK(R428), 0, IF(ISTEXT(R428), VALUE(SUBSTITUTE(R428, "%", ""))/100, IF(OR(R428&lt;0, R428&gt;1), "Invalid", R428)))</f>
        <v>0.1</v>
      </c>
      <c r="AC428" s="4">
        <f>IF(AB428="Invalid", "Error", P428 * Q428 * (1 - AB428))</f>
        <v>27047.952000000001</v>
      </c>
      <c r="AD428" s="4">
        <f>IF(AC428="Error", "Error", AC428 - T428)</f>
        <v>8616.6219999999994</v>
      </c>
      <c r="AE428" s="2">
        <f>IF(AC428="Error", "Error", IF(AC428=0, 0, AD428 / AC428))</f>
        <v>0.31856837072174626</v>
      </c>
      <c r="AF428" s="7">
        <f>C428-B428</f>
        <v>1</v>
      </c>
      <c r="AG428" s="2" t="str">
        <f>TEXT(B428, "mmmm")</f>
        <v>June</v>
      </c>
      <c r="AH428" s="4">
        <f>YEAR(B428)</f>
        <v>2024</v>
      </c>
      <c r="AI428" s="2" t="str">
        <f t="shared" si="20"/>
        <v>Clean</v>
      </c>
      <c r="AJ428">
        <f>COUNTIFS($A$2:$A$1000,A428,$B$2:$B$1000,B428,$C$2:$C$1000,C428,$D$2:$D$1000,D428,$E$2:$E$1000,E428,$F$2:$F$1000,F428)</f>
        <v>1</v>
      </c>
      <c r="AK428">
        <f>COUNTIF($A$2:$A$1000, A428)</f>
        <v>1</v>
      </c>
    </row>
    <row r="429" spans="1:37">
      <c r="A429" t="s">
        <v>1383</v>
      </c>
      <c r="B429" s="5">
        <v>45769</v>
      </c>
      <c r="C429" s="5">
        <v>45771</v>
      </c>
      <c r="D429" s="6">
        <f>IF(AND(C429&lt;&gt;"",B429&lt;&gt;""), C429-B429, "Missing Date")</f>
        <v>2</v>
      </c>
      <c r="E429" s="6" t="str">
        <f>IF(OR(B429="",C429=""), "Missing Date",
    IF(C429&lt;B429, "Invalid: Ship before Order",
      "OK"))</f>
        <v>OK</v>
      </c>
      <c r="F429" t="s">
        <v>1384</v>
      </c>
      <c r="G429" t="s">
        <v>47</v>
      </c>
      <c r="H429" t="s">
        <v>90</v>
      </c>
      <c r="I429" t="s">
        <v>2762</v>
      </c>
      <c r="J429" t="s">
        <v>228</v>
      </c>
      <c r="K429" t="s">
        <v>229</v>
      </c>
      <c r="L429" t="s">
        <v>74</v>
      </c>
      <c r="M429" t="s">
        <v>75</v>
      </c>
      <c r="N429" t="s">
        <v>1385</v>
      </c>
      <c r="O429" t="s">
        <v>59</v>
      </c>
      <c r="P429">
        <v>9</v>
      </c>
      <c r="Q429">
        <v>2939.44</v>
      </c>
      <c r="R429">
        <v>0</v>
      </c>
      <c r="S429">
        <v>26454.959999999999</v>
      </c>
      <c r="T429">
        <v>17630.25</v>
      </c>
      <c r="U429">
        <v>8824.7099999999991</v>
      </c>
      <c r="V429" t="s">
        <v>32</v>
      </c>
      <c r="W429" t="s">
        <v>33</v>
      </c>
      <c r="X429" t="str">
        <f>_xlfn.TEXTJOIN("|", TRUE, A429:W429)</f>
        <v>ORD-2025-10428|45769|45771|2|OK|CUST-8843|Isha Nair|Corporate|Unknown|Jharkhand|Ranchi|Technology|Accessories|Prime Accessories 419|Standard Class|9|2939.44|0|26454.96|17630.25|8824.71|Paid|Completed</v>
      </c>
      <c r="Y429">
        <f>COUNTIF($X$2:$X$1000, X429)</f>
        <v>1</v>
      </c>
      <c r="Z429">
        <f>COUNTIF($A$2:$A$1000, A429)</f>
        <v>1</v>
      </c>
      <c r="AA429" t="str">
        <f>IF(Y429&gt;1, "Exact Duplicate",
  IF(Z429&gt;1, "Conflicting Duplicate - Review",
    "Unique"))</f>
        <v>Unique</v>
      </c>
      <c r="AB429" s="2">
        <f>IF(ISBLANK(R429), 0, IF(ISTEXT(R429), VALUE(SUBSTITUTE(R429, "%", ""))/100, IF(OR(R429&lt;0, R429&gt;1), "Invalid", R429)))</f>
        <v>0</v>
      </c>
      <c r="AC429" s="4">
        <f>IF(AB429="Invalid", "Error", P429 * Q429 * (1 - AB429))</f>
        <v>26454.959999999999</v>
      </c>
      <c r="AD429" s="4">
        <f>IF(AC429="Error", "Error", AC429 - T429)</f>
        <v>8824.7099999999991</v>
      </c>
      <c r="AE429" s="2">
        <f>IF(AC429="Error", "Error", IF(AC429=0, 0, AD429 / AC429))</f>
        <v>0.33357487594008833</v>
      </c>
      <c r="AF429" s="7">
        <f>C429-B429</f>
        <v>2</v>
      </c>
      <c r="AG429" s="2" t="str">
        <f>TEXT(B429, "mmmm")</f>
        <v>April</v>
      </c>
      <c r="AH429" s="4">
        <f>YEAR(B429)</f>
        <v>2025</v>
      </c>
      <c r="AI429" s="2" t="str">
        <f t="shared" si="20"/>
        <v>Warning: Missing Region</v>
      </c>
      <c r="AJ429">
        <f>COUNTIFS($A$2:$A$1000,A429,$B$2:$B$1000,B429,$C$2:$C$1000,C429,$D$2:$D$1000,D429,$E$2:$E$1000,E429,$F$2:$F$1000,F429)</f>
        <v>1</v>
      </c>
      <c r="AK429">
        <f>COUNTIF($A$2:$A$1000, A429)</f>
        <v>1</v>
      </c>
    </row>
    <row r="430" spans="1:37">
      <c r="A430" t="s">
        <v>1386</v>
      </c>
      <c r="B430" s="5">
        <v>45731</v>
      </c>
      <c r="C430" s="5">
        <v>45738</v>
      </c>
      <c r="D430" s="6">
        <f>IF(AND(C430&lt;&gt;"",B430&lt;&gt;""), C430-B430, "Missing Date")</f>
        <v>7</v>
      </c>
      <c r="E430" s="6" t="str">
        <f>IF(OR(B430="",C430=""), "Missing Date",
    IF(C430&lt;B430, "Invalid: Ship before Order",
      "OK"))</f>
        <v>OK</v>
      </c>
      <c r="F430" t="s">
        <v>1387</v>
      </c>
      <c r="G430" t="s">
        <v>23</v>
      </c>
      <c r="H430" t="s">
        <v>37</v>
      </c>
      <c r="I430" t="s">
        <v>38</v>
      </c>
      <c r="J430" t="s">
        <v>99</v>
      </c>
      <c r="K430" t="s">
        <v>100</v>
      </c>
      <c r="L430" t="s">
        <v>74</v>
      </c>
      <c r="M430" t="s">
        <v>171</v>
      </c>
      <c r="N430" t="s">
        <v>1388</v>
      </c>
      <c r="O430" t="s">
        <v>44</v>
      </c>
      <c r="P430">
        <v>2</v>
      </c>
      <c r="Q430">
        <v>1235.93</v>
      </c>
      <c r="R430">
        <v>0.25</v>
      </c>
      <c r="S430">
        <v>1853.89</v>
      </c>
      <c r="T430">
        <v>1101.23</v>
      </c>
      <c r="U430">
        <v>752.66</v>
      </c>
      <c r="V430" t="s">
        <v>111</v>
      </c>
      <c r="W430" t="s">
        <v>68</v>
      </c>
      <c r="X430" t="str">
        <f>_xlfn.TEXTJOIN("|", TRUE, A430:W430)</f>
        <v>ORD-2025-10429|45731|45738|7|OK|CUST-7626|Karan Malhotra|Small Business|East|West Bengal|Kolkata|Technology|Phones|Elite Phones 488|Same Day|2|1235.93|0.25|1853.89|1101.23|752.66|Pending|Cancelled</v>
      </c>
      <c r="Y430">
        <f>COUNTIF($X$2:$X$1000, X430)</f>
        <v>1</v>
      </c>
      <c r="Z430">
        <f>COUNTIF($A$2:$A$1000, A430)</f>
        <v>1</v>
      </c>
      <c r="AA430" t="str">
        <f>IF(Y430&gt;1, "Exact Duplicate",
  IF(Z430&gt;1, "Conflicting Duplicate - Review",
    "Unique"))</f>
        <v>Unique</v>
      </c>
      <c r="AB430" s="2">
        <f>IF(ISBLANK(R430), 0, IF(ISTEXT(R430), VALUE(SUBSTITUTE(R430, "%", ""))/100, IF(OR(R430&lt;0, R430&gt;1), "Invalid", R430)))</f>
        <v>0.25</v>
      </c>
      <c r="AC430" s="4">
        <f>IF(AB430="Invalid", "Error", P430 * Q430 * (1 - AB430))</f>
        <v>1853.895</v>
      </c>
      <c r="AD430" s="4">
        <f>IF(AC430="Error", "Error", AC430 - T430)</f>
        <v>752.66499999999996</v>
      </c>
      <c r="AE430" s="2">
        <f>IF(AC430="Error", "Error", IF(AC430=0, 0, AD430 / AC430))</f>
        <v>0.40599116994220275</v>
      </c>
      <c r="AF430" s="7">
        <f>C430-B430</f>
        <v>7</v>
      </c>
      <c r="AG430" s="2" t="str">
        <f>TEXT(B430, "mmmm")</f>
        <v>March</v>
      </c>
      <c r="AH430" s="4">
        <f>YEAR(B430)</f>
        <v>2025</v>
      </c>
      <c r="AI430" s="2" t="str">
        <f t="shared" si="20"/>
        <v>Excluded from Sales</v>
      </c>
      <c r="AJ430">
        <f>COUNTIFS($A$2:$A$1000,A430,$B$2:$B$1000,B430,$C$2:$C$1000,C430,$D$2:$D$1000,D430,$E$2:$E$1000,E430,$F$2:$F$1000,F430)</f>
        <v>1</v>
      </c>
      <c r="AK430">
        <f>COUNTIF($A$2:$A$1000, A430)</f>
        <v>1</v>
      </c>
    </row>
    <row r="431" spans="1:37">
      <c r="A431" t="s">
        <v>1389</v>
      </c>
      <c r="B431" s="5">
        <v>45717</v>
      </c>
      <c r="C431" s="5">
        <v>45724</v>
      </c>
      <c r="D431" s="6">
        <f>IF(AND(C431&lt;&gt;"",B431&lt;&gt;""), C431-B431, "Missing Date")</f>
        <v>7</v>
      </c>
      <c r="E431" s="6" t="str">
        <f>IF(OR(B431="",C431=""), "Missing Date",
    IF(C431&lt;B431, "Invalid: Ship before Order",
      "OK"))</f>
        <v>OK</v>
      </c>
      <c r="F431" t="s">
        <v>1390</v>
      </c>
      <c r="G431" t="s">
        <v>79</v>
      </c>
      <c r="H431" t="s">
        <v>95</v>
      </c>
      <c r="I431" t="s">
        <v>25</v>
      </c>
      <c r="J431" t="s">
        <v>26</v>
      </c>
      <c r="K431" t="s">
        <v>27</v>
      </c>
      <c r="L431" t="s">
        <v>74</v>
      </c>
      <c r="M431" t="s">
        <v>80</v>
      </c>
      <c r="N431" t="s">
        <v>1391</v>
      </c>
      <c r="O431" t="s">
        <v>44</v>
      </c>
      <c r="P431">
        <v>8</v>
      </c>
      <c r="Q431">
        <v>2943.1</v>
      </c>
      <c r="R431">
        <v>0.25</v>
      </c>
      <c r="S431">
        <v>17658.599999999999</v>
      </c>
      <c r="T431">
        <v>13842.48</v>
      </c>
      <c r="U431">
        <v>3816.12</v>
      </c>
      <c r="V431" t="s">
        <v>32</v>
      </c>
      <c r="W431" t="s">
        <v>33</v>
      </c>
      <c r="X431" t="str">
        <f>_xlfn.TEXTJOIN("|", TRUE, A431:W431)</f>
        <v>ORD-2025-10430|45717|45724|7|OK|CUST-8562|Neha Gupta|Home Office|North|Rajasthan|Jaipur|Technology|Copiers|Prime Copiers 109|Same Day|8|2943.1|0.25|17658.6|13842.48|3816.12|Paid|Completed</v>
      </c>
      <c r="Y431">
        <f>COUNTIF($X$2:$X$1000, X431)</f>
        <v>1</v>
      </c>
      <c r="Z431">
        <f>COUNTIF($A$2:$A$1000, A431)</f>
        <v>1</v>
      </c>
      <c r="AA431" t="str">
        <f>IF(Y431&gt;1, "Exact Duplicate",
  IF(Z431&gt;1, "Conflicting Duplicate - Review",
    "Unique"))</f>
        <v>Unique</v>
      </c>
      <c r="AB431" s="2">
        <f>IF(ISBLANK(R431), 0, IF(ISTEXT(R431), VALUE(SUBSTITUTE(R431, "%", ""))/100, IF(OR(R431&lt;0, R431&gt;1), "Invalid", R431)))</f>
        <v>0.25</v>
      </c>
      <c r="AC431" s="4">
        <f>IF(AB431="Invalid", "Error", P431 * Q431 * (1 - AB431))</f>
        <v>17658.599999999999</v>
      </c>
      <c r="AD431" s="4">
        <f>IF(AC431="Error", "Error", AC431 - T431)</f>
        <v>3816.119999999999</v>
      </c>
      <c r="AE431" s="2">
        <f>IF(AC431="Error", "Error", IF(AC431=0, 0, AD431 / AC431))</f>
        <v>0.2161054670245659</v>
      </c>
      <c r="AF431" s="7">
        <f>C431-B431</f>
        <v>7</v>
      </c>
      <c r="AG431" s="2" t="str">
        <f>TEXT(B431, "mmmm")</f>
        <v>March</v>
      </c>
      <c r="AH431" s="4">
        <f>YEAR(B431)</f>
        <v>2025</v>
      </c>
      <c r="AI431" s="2" t="str">
        <f t="shared" si="20"/>
        <v>Clean</v>
      </c>
      <c r="AJ431">
        <f>COUNTIFS($A$2:$A$1000,A431,$B$2:$B$1000,B431,$C$2:$C$1000,C431,$D$2:$D$1000,D431,$E$2:$E$1000,E431,$F$2:$F$1000,F431)</f>
        <v>1</v>
      </c>
      <c r="AK431">
        <f>COUNTIF($A$2:$A$1000, A431)</f>
        <v>1</v>
      </c>
    </row>
    <row r="432" spans="1:37">
      <c r="A432" t="s">
        <v>1392</v>
      </c>
      <c r="B432" s="5">
        <v>45534</v>
      </c>
      <c r="C432" s="5">
        <v>45537</v>
      </c>
      <c r="D432" s="6">
        <f>IF(AND(C432&lt;&gt;"",B432&lt;&gt;""), C432-B432, "Missing Date")</f>
        <v>3</v>
      </c>
      <c r="E432" s="6" t="str">
        <f>IF(OR(B432="",C432=""), "Missing Date",
    IF(C432&lt;B432, "Invalid: Ship before Order",
      "OK"))</f>
        <v>OK</v>
      </c>
      <c r="F432" t="s">
        <v>1393</v>
      </c>
      <c r="G432" t="s">
        <v>79</v>
      </c>
      <c r="H432" t="s">
        <v>37</v>
      </c>
      <c r="I432" t="s">
        <v>25</v>
      </c>
      <c r="J432" t="s">
        <v>236</v>
      </c>
      <c r="K432" t="s">
        <v>237</v>
      </c>
      <c r="L432" t="s">
        <v>28</v>
      </c>
      <c r="M432" t="s">
        <v>29</v>
      </c>
      <c r="N432" t="s">
        <v>1394</v>
      </c>
      <c r="O432" t="s">
        <v>31</v>
      </c>
      <c r="P432">
        <v>1</v>
      </c>
      <c r="Q432">
        <v>4320.84</v>
      </c>
      <c r="R432">
        <v>0.15</v>
      </c>
      <c r="S432">
        <v>3672.71</v>
      </c>
      <c r="T432">
        <v>2714.23</v>
      </c>
      <c r="U432">
        <v>763.38</v>
      </c>
      <c r="V432" t="s">
        <v>32</v>
      </c>
      <c r="W432" t="s">
        <v>33</v>
      </c>
      <c r="X432" t="str">
        <f>_xlfn.TEXTJOIN("|", TRUE, A432:W432)</f>
        <v>ORD-2024-10431|45534|45537|3|OK|CUST-2732|Neha Gupta|Small Business|North|Haryana|Gurugram|Office Supplies|Paper|Max Paper 576|Second Class|1|4320.84|0.15|3672.71|2714.23|763.38|Paid|Completed</v>
      </c>
      <c r="Y432">
        <f>COUNTIF($X$2:$X$1000, X432)</f>
        <v>1</v>
      </c>
      <c r="Z432">
        <f>COUNTIF($A$2:$A$1000, A432)</f>
        <v>1</v>
      </c>
      <c r="AA432" t="str">
        <f>IF(Y432&gt;1, "Exact Duplicate",
  IF(Z432&gt;1, "Conflicting Duplicate - Review",
    "Unique"))</f>
        <v>Unique</v>
      </c>
      <c r="AB432" s="2">
        <f>IF(ISBLANK(R432), 0, IF(ISTEXT(R432), VALUE(SUBSTITUTE(R432, "%", ""))/100, IF(OR(R432&lt;0, R432&gt;1), "Invalid", R432)))</f>
        <v>0.15</v>
      </c>
      <c r="AC432" s="4">
        <f>IF(AB432="Invalid", "Error", P432 * Q432 * (1 - AB432))</f>
        <v>3672.7139999999999</v>
      </c>
      <c r="AD432" s="4">
        <f>IF(AC432="Error", "Error", AC432 - T432)</f>
        <v>958.48399999999992</v>
      </c>
      <c r="AE432" s="2">
        <f>IF(AC432="Error", "Error", IF(AC432=0, 0, AD432 / AC432))</f>
        <v>0.26097430946161337</v>
      </c>
      <c r="AF432" s="7">
        <f>C432-B432</f>
        <v>3</v>
      </c>
      <c r="AG432" s="2" t="str">
        <f>TEXT(B432, "mmmm")</f>
        <v>August</v>
      </c>
      <c r="AH432" s="4">
        <f>YEAR(B432)</f>
        <v>2024</v>
      </c>
      <c r="AI432" s="2" t="str">
        <f t="shared" si="20"/>
        <v>Clean</v>
      </c>
      <c r="AJ432">
        <f>COUNTIFS($A$2:$A$1000,A432,$B$2:$B$1000,B432,$C$2:$C$1000,C432,$D$2:$D$1000,D432,$E$2:$E$1000,E432,$F$2:$F$1000,F432)</f>
        <v>1</v>
      </c>
      <c r="AK432">
        <f>COUNTIF($A$2:$A$1000, A432)</f>
        <v>1</v>
      </c>
    </row>
    <row r="433" spans="1:37">
      <c r="A433" t="s">
        <v>1395</v>
      </c>
      <c r="B433" s="5">
        <v>45332</v>
      </c>
      <c r="C433" s="5">
        <v>45335</v>
      </c>
      <c r="D433" s="6">
        <f>IF(AND(C433&lt;&gt;"",B433&lt;&gt;""), C433-B433, "Missing Date")</f>
        <v>3</v>
      </c>
      <c r="E433" s="6" t="str">
        <f>IF(OR(B433="",C433=""), "Missing Date",
    IF(C433&lt;B433, "Invalid: Ship before Order",
      "OK"))</f>
        <v>OK</v>
      </c>
      <c r="F433" t="s">
        <v>1396</v>
      </c>
      <c r="G433" t="s">
        <v>23</v>
      </c>
      <c r="H433" t="s">
        <v>95</v>
      </c>
      <c r="I433" t="s">
        <v>63</v>
      </c>
      <c r="J433" t="s">
        <v>190</v>
      </c>
      <c r="K433" t="s">
        <v>191</v>
      </c>
      <c r="L433" t="s">
        <v>74</v>
      </c>
      <c r="M433" t="s">
        <v>274</v>
      </c>
      <c r="N433" t="s">
        <v>1397</v>
      </c>
      <c r="O433" t="s">
        <v>44</v>
      </c>
      <c r="P433">
        <v>2</v>
      </c>
      <c r="Q433">
        <v>4118.45</v>
      </c>
      <c r="R433">
        <v>0.25</v>
      </c>
      <c r="S433">
        <v>6177.67</v>
      </c>
      <c r="T433">
        <v>4520.75</v>
      </c>
      <c r="U433">
        <v>1656.92</v>
      </c>
      <c r="V433" t="s">
        <v>32</v>
      </c>
      <c r="W433" t="s">
        <v>33</v>
      </c>
      <c r="X433" t="str">
        <f>_xlfn.TEXTJOIN("|", TRUE, A433:W433)</f>
        <v>ORD-2024-10432|45332|45335|3|OK|CUST-3989|Karan Malhotra|Home Office|West|Goa|Panaji|Technology|Machines|Max Machines 412|Same Day|2|4118.45|0.25|6177.67|4520.75|1656.92|Paid|Completed</v>
      </c>
      <c r="Y433">
        <f>COUNTIF($X$2:$X$1000, X433)</f>
        <v>1</v>
      </c>
      <c r="Z433">
        <f>COUNTIF($A$2:$A$1000, A433)</f>
        <v>1</v>
      </c>
      <c r="AA433" t="str">
        <f>IF(Y433&gt;1, "Exact Duplicate",
  IF(Z433&gt;1, "Conflicting Duplicate - Review",
    "Unique"))</f>
        <v>Unique</v>
      </c>
      <c r="AB433" s="2">
        <f>IF(ISBLANK(R433), 0, IF(ISTEXT(R433), VALUE(SUBSTITUTE(R433, "%", ""))/100, IF(OR(R433&lt;0, R433&gt;1), "Invalid", R433)))</f>
        <v>0.25</v>
      </c>
      <c r="AC433" s="4">
        <f>IF(AB433="Invalid", "Error", P433 * Q433 * (1 - AB433))</f>
        <v>6177.6749999999993</v>
      </c>
      <c r="AD433" s="4">
        <f>IF(AC433="Error", "Error", AC433 - T433)</f>
        <v>1656.9249999999993</v>
      </c>
      <c r="AE433" s="2">
        <f>IF(AC433="Error", "Error", IF(AC433=0, 0, AD433 / AC433))</f>
        <v>0.26821174632851347</v>
      </c>
      <c r="AF433" s="7">
        <f>C433-B433</f>
        <v>3</v>
      </c>
      <c r="AG433" s="2" t="str">
        <f>TEXT(B433, "mmmm")</f>
        <v>February</v>
      </c>
      <c r="AH433" s="4">
        <f>YEAR(B433)</f>
        <v>2024</v>
      </c>
      <c r="AI433" s="2" t="str">
        <f t="shared" si="20"/>
        <v>Clean</v>
      </c>
      <c r="AJ433">
        <f>COUNTIFS($A$2:$A$1000,A433,$B$2:$B$1000,B433,$C$2:$C$1000,C433,$D$2:$D$1000,D433,$E$2:$E$1000,E433,$F$2:$F$1000,F433)</f>
        <v>1</v>
      </c>
      <c r="AK433">
        <f>COUNTIF($A$2:$A$1000, A433)</f>
        <v>1</v>
      </c>
    </row>
    <row r="434" spans="1:37">
      <c r="A434" t="s">
        <v>1398</v>
      </c>
      <c r="B434" s="5">
        <v>45533</v>
      </c>
      <c r="C434" s="5">
        <v>45537</v>
      </c>
      <c r="D434" s="6">
        <f>IF(AND(C434&lt;&gt;"",B434&lt;&gt;""), C434-B434, "Missing Date")</f>
        <v>4</v>
      </c>
      <c r="E434" s="6" t="str">
        <f>IF(OR(B434="",C434=""), "Missing Date",
    IF(C434&lt;B434, "Invalid: Ship before Order",
      "OK"))</f>
        <v>OK</v>
      </c>
      <c r="F434" t="s">
        <v>1399</v>
      </c>
      <c r="G434" t="s">
        <v>114</v>
      </c>
      <c r="H434" t="s">
        <v>37</v>
      </c>
      <c r="I434" t="s">
        <v>63</v>
      </c>
      <c r="J434" t="s">
        <v>64</v>
      </c>
      <c r="K434" t="s">
        <v>65</v>
      </c>
      <c r="L434" t="s">
        <v>41</v>
      </c>
      <c r="M434" t="s">
        <v>158</v>
      </c>
      <c r="N434" t="s">
        <v>1400</v>
      </c>
      <c r="O434" t="s">
        <v>59</v>
      </c>
      <c r="P434">
        <v>6</v>
      </c>
      <c r="Q434">
        <v>172.82</v>
      </c>
      <c r="R434">
        <v>0.05</v>
      </c>
      <c r="S434">
        <v>985.07</v>
      </c>
      <c r="T434">
        <v>844.48</v>
      </c>
      <c r="U434">
        <v>140.59</v>
      </c>
      <c r="V434" t="s">
        <v>32</v>
      </c>
      <c r="W434" t="s">
        <v>33</v>
      </c>
      <c r="X434" t="str">
        <f>_xlfn.TEXTJOIN("|", TRUE, A434:W434)</f>
        <v>ORD-2024-10433|45533|45537|4|OK|CUST-3522|Priya Menon|Small Business|West|Maharashtra|Mumbai|Furniture|Bookcases|Classic Bookcases 291|Standard Class|6|172.82|0.05|985.07|844.48|140.59|Paid|Completed</v>
      </c>
      <c r="Y434">
        <f>COUNTIF($X$2:$X$1000, X434)</f>
        <v>1</v>
      </c>
      <c r="Z434">
        <f>COUNTIF($A$2:$A$1000, A434)</f>
        <v>1</v>
      </c>
      <c r="AA434" t="str">
        <f>IF(Y434&gt;1, "Exact Duplicate",
  IF(Z434&gt;1, "Conflicting Duplicate - Review",
    "Unique"))</f>
        <v>Unique</v>
      </c>
      <c r="AB434" s="2">
        <f>IF(ISBLANK(R434), 0, IF(ISTEXT(R434), VALUE(SUBSTITUTE(R434, "%", ""))/100, IF(OR(R434&lt;0, R434&gt;1), "Invalid", R434)))</f>
        <v>0.05</v>
      </c>
      <c r="AC434" s="4">
        <f>IF(AB434="Invalid", "Error", P434 * Q434 * (1 - AB434))</f>
        <v>985.07400000000007</v>
      </c>
      <c r="AD434" s="4">
        <f>IF(AC434="Error", "Error", AC434 - T434)</f>
        <v>140.59400000000005</v>
      </c>
      <c r="AE434" s="2">
        <f>IF(AC434="Error", "Error", IF(AC434=0, 0, AD434 / AC434))</f>
        <v>0.14272430294576857</v>
      </c>
      <c r="AF434" s="7">
        <f>C434-B434</f>
        <v>4</v>
      </c>
      <c r="AG434" s="2" t="str">
        <f>TEXT(B434, "mmmm")</f>
        <v>August</v>
      </c>
      <c r="AH434" s="4">
        <f>YEAR(B434)</f>
        <v>2024</v>
      </c>
      <c r="AI434" s="2" t="str">
        <f t="shared" si="20"/>
        <v>Clean</v>
      </c>
      <c r="AJ434">
        <f>COUNTIFS($A$2:$A$1000,A434,$B$2:$B$1000,B434,$C$2:$C$1000,C434,$D$2:$D$1000,D434,$E$2:$E$1000,E434,$F$2:$F$1000,F434)</f>
        <v>1</v>
      </c>
      <c r="AK434">
        <f>COUNTIF($A$2:$A$1000, A434)</f>
        <v>1</v>
      </c>
    </row>
    <row r="435" spans="1:37">
      <c r="A435" t="s">
        <v>1401</v>
      </c>
      <c r="B435" s="5">
        <v>45401</v>
      </c>
      <c r="C435" s="5">
        <v>45402</v>
      </c>
      <c r="D435" s="6">
        <f>IF(AND(C435&lt;&gt;"",B435&lt;&gt;""), C435-B435, "Missing Date")</f>
        <v>1</v>
      </c>
      <c r="E435" s="6" t="str">
        <f>IF(OR(B435="",C435=""), "Missing Date",
    IF(C435&lt;B435, "Invalid: Ship before Order",
      "OK"))</f>
        <v>OK</v>
      </c>
      <c r="F435" t="s">
        <v>1402</v>
      </c>
      <c r="G435" t="s">
        <v>114</v>
      </c>
      <c r="H435" t="s">
        <v>90</v>
      </c>
      <c r="I435" t="s">
        <v>54</v>
      </c>
      <c r="J435" t="s">
        <v>185</v>
      </c>
      <c r="K435" t="s">
        <v>186</v>
      </c>
      <c r="L435" t="s">
        <v>28</v>
      </c>
      <c r="M435" t="s">
        <v>48</v>
      </c>
      <c r="N435" t="s">
        <v>1403</v>
      </c>
      <c r="O435" t="s">
        <v>31</v>
      </c>
      <c r="P435">
        <v>4</v>
      </c>
      <c r="Q435">
        <v>1540.22</v>
      </c>
      <c r="R435">
        <v>0</v>
      </c>
      <c r="S435">
        <v>6160.88</v>
      </c>
      <c r="T435">
        <v>4938.7</v>
      </c>
      <c r="U435">
        <v>1222.18</v>
      </c>
      <c r="V435" t="s">
        <v>102</v>
      </c>
      <c r="W435" t="s">
        <v>103</v>
      </c>
      <c r="X435" t="str">
        <f>_xlfn.TEXTJOIN("|", TRUE, A435:W435)</f>
        <v>ORD-2024-10434|45401|45402|1|OK|CUST-7066|Priya Menon|Corporate|South|Kerala|Kochi|Office Supplies|Art|Elite Art 946|Second Class|4|1540.22|0|6160.88|4938.7|1222.18|Refunded|Returned</v>
      </c>
      <c r="Y435">
        <f>COUNTIF($X$2:$X$1000, X435)</f>
        <v>1</v>
      </c>
      <c r="Z435">
        <f>COUNTIF($A$2:$A$1000, A435)</f>
        <v>1</v>
      </c>
      <c r="AA435" t="str">
        <f>IF(Y435&gt;1, "Exact Duplicate",
  IF(Z435&gt;1, "Conflicting Duplicate - Review",
    "Unique"))</f>
        <v>Unique</v>
      </c>
      <c r="AB435" s="2">
        <f>IF(ISBLANK(R435), 0, IF(ISTEXT(R435), VALUE(SUBSTITUTE(R435, "%", ""))/100, IF(OR(R435&lt;0, R435&gt;1), "Invalid", R435)))</f>
        <v>0</v>
      </c>
      <c r="AC435" s="4">
        <f>IF(AB435="Invalid", "Error", P435 * Q435 * (1 - AB435))</f>
        <v>6160.88</v>
      </c>
      <c r="AD435" s="4">
        <f>IF(AC435="Error", "Error", AC435 - T435)</f>
        <v>1222.1800000000003</v>
      </c>
      <c r="AE435" s="2">
        <f>IF(AC435="Error", "Error", IF(AC435=0, 0, AD435 / AC435))</f>
        <v>0.19837750451234243</v>
      </c>
      <c r="AF435" s="7">
        <f>C435-B435</f>
        <v>1</v>
      </c>
      <c r="AG435" s="2" t="str">
        <f>TEXT(B435, "mmmm")</f>
        <v>April</v>
      </c>
      <c r="AH435" s="4">
        <f>YEAR(B435)</f>
        <v>2024</v>
      </c>
      <c r="AI435" s="2" t="str">
        <f t="shared" si="20"/>
        <v>Clean</v>
      </c>
      <c r="AJ435">
        <f>COUNTIFS($A$2:$A$1000,A435,$B$2:$B$1000,B435,$C$2:$C$1000,C435,$D$2:$D$1000,D435,$E$2:$E$1000,E435,$F$2:$F$1000,F435)</f>
        <v>1</v>
      </c>
      <c r="AK435">
        <f>COUNTIF($A$2:$A$1000, A435)</f>
        <v>1</v>
      </c>
    </row>
    <row r="436" spans="1:37">
      <c r="A436" t="s">
        <v>1404</v>
      </c>
      <c r="B436" s="5">
        <v>45965</v>
      </c>
      <c r="C436" s="5">
        <v>45762</v>
      </c>
      <c r="D436" s="6">
        <f>IF(AND(C436&lt;&gt;"",B436&lt;&gt;""), C436-B436, "Missing Date")</f>
        <v>-203</v>
      </c>
      <c r="E436" s="6" t="str">
        <f>IF(OR(B436="",C436=""), "Missing Date",
    IF(C436&lt;B436, "Invalid: Ship before Order",
      "OK"))</f>
        <v>Invalid: Ship before Order</v>
      </c>
      <c r="F436" t="s">
        <v>1405</v>
      </c>
      <c r="G436" t="s">
        <v>36</v>
      </c>
      <c r="H436" t="s">
        <v>95</v>
      </c>
      <c r="I436" t="s">
        <v>25</v>
      </c>
      <c r="J436" t="s">
        <v>136</v>
      </c>
      <c r="K436" t="s">
        <v>137</v>
      </c>
      <c r="L436" t="s">
        <v>74</v>
      </c>
      <c r="M436" t="s">
        <v>75</v>
      </c>
      <c r="N436" t="s">
        <v>1406</v>
      </c>
      <c r="O436" t="s">
        <v>31</v>
      </c>
      <c r="P436">
        <v>5</v>
      </c>
      <c r="Q436">
        <v>652.78</v>
      </c>
      <c r="R436">
        <v>0</v>
      </c>
      <c r="S436">
        <v>3263.9</v>
      </c>
      <c r="T436">
        <v>2068.44</v>
      </c>
      <c r="U436">
        <v>1195.46</v>
      </c>
      <c r="V436" t="s">
        <v>32</v>
      </c>
      <c r="W436" t="s">
        <v>33</v>
      </c>
      <c r="X436" t="str">
        <f>_xlfn.TEXTJOIN("|", TRUE, A436:W436)</f>
        <v>ORD-2025-10435|45965|45762|-203|Invalid: Ship before Order|CUST-2351|Mira Das|Home Office|North|Uttar Pradesh|Noida|Technology|Accessories|Eco Accessories 705|Second Class|5|652.78|0|3263.9|2068.44|1195.46|Paid|Completed</v>
      </c>
      <c r="Y436">
        <f>COUNTIF($X$2:$X$1000, X436)</f>
        <v>1</v>
      </c>
      <c r="Z436">
        <f>COUNTIF($A$2:$A$1000, A436)</f>
        <v>1</v>
      </c>
      <c r="AA436" t="str">
        <f>IF(Y436&gt;1, "Exact Duplicate",
  IF(Z436&gt;1, "Conflicting Duplicate - Review",
    "Unique"))</f>
        <v>Unique</v>
      </c>
      <c r="AB436" s="2">
        <f>IF(ISBLANK(R436), 0, IF(ISTEXT(R436), VALUE(SUBSTITUTE(R436, "%", ""))/100, IF(OR(R436&lt;0, R436&gt;1), "Invalid", R436)))</f>
        <v>0</v>
      </c>
      <c r="AC436" s="4">
        <f>IF(AB436="Invalid", "Error", P436 * Q436 * (1 - AB436))</f>
        <v>3263.8999999999996</v>
      </c>
      <c r="AD436" s="4">
        <f>IF(AC436="Error", "Error", AC436 - T436)</f>
        <v>1195.4599999999996</v>
      </c>
      <c r="AE436" s="2">
        <f>IF(AC436="Error", "Error", IF(AC436=0, 0, AD436 / AC436))</f>
        <v>0.3662673488771101</v>
      </c>
      <c r="AF436" s="7">
        <f>C436-B436</f>
        <v>-203</v>
      </c>
      <c r="AG436" s="2" t="str">
        <f>TEXT(B436, "mmmm")</f>
        <v>November</v>
      </c>
      <c r="AH436" s="4">
        <f>YEAR(B436)</f>
        <v>2025</v>
      </c>
      <c r="AI436" s="2" t="str">
        <f t="shared" si="20"/>
        <v>Invalid Shipping Record</v>
      </c>
      <c r="AJ436">
        <f>COUNTIFS($A$2:$A$1000,A436,$B$2:$B$1000,B436,$C$2:$C$1000,C436,$D$2:$D$1000,D436,$E$2:$E$1000,E436,$F$2:$F$1000,F436)</f>
        <v>1</v>
      </c>
      <c r="AK436">
        <f>COUNTIF($A$2:$A$1000, A436)</f>
        <v>1</v>
      </c>
    </row>
    <row r="437" spans="1:37">
      <c r="A437" t="s">
        <v>1407</v>
      </c>
      <c r="B437" s="5">
        <v>45759</v>
      </c>
      <c r="C437" s="5">
        <v>45767</v>
      </c>
      <c r="D437" s="6">
        <f>IF(AND(C437&lt;&gt;"",B437&lt;&gt;""), C437-B437, "Missing Date")</f>
        <v>8</v>
      </c>
      <c r="E437" s="6" t="str">
        <f>IF(OR(B437="",C437=""), "Missing Date",
    IF(C437&lt;B437, "Invalid: Ship before Order",
      "OK"))</f>
        <v>OK</v>
      </c>
      <c r="F437" t="s">
        <v>1408</v>
      </c>
      <c r="G437" t="s">
        <v>264</v>
      </c>
      <c r="H437" t="s">
        <v>95</v>
      </c>
      <c r="I437" t="s">
        <v>25</v>
      </c>
      <c r="J437" t="s">
        <v>350</v>
      </c>
      <c r="K437" t="s">
        <v>351</v>
      </c>
      <c r="L437" t="s">
        <v>74</v>
      </c>
      <c r="M437" t="s">
        <v>274</v>
      </c>
      <c r="N437" t="s">
        <v>1409</v>
      </c>
      <c r="O437" t="s">
        <v>59</v>
      </c>
      <c r="P437">
        <v>1</v>
      </c>
      <c r="Q437">
        <v>2737.71</v>
      </c>
      <c r="R437">
        <v>0.15</v>
      </c>
      <c r="S437">
        <v>2327.0500000000002</v>
      </c>
      <c r="T437">
        <v>1919.42</v>
      </c>
      <c r="U437">
        <v>407.63</v>
      </c>
      <c r="V437" t="s">
        <v>32</v>
      </c>
      <c r="W437" t="s">
        <v>68</v>
      </c>
      <c r="X437" t="str">
        <f>_xlfn.TEXTJOIN("|", TRUE, A437:W437)</f>
        <v>ORD-2025-10436|45759|45767|8|OK|CUST-7291|Kabir Singh|Home Office|North|Delhi|New Delhi|Technology|Machines|Max Machines 151|Standard Class|1|2737.71|0.15|2327.05|1919.42|407.63|Paid|Cancelled</v>
      </c>
      <c r="Y437">
        <f>COUNTIF($X$2:$X$1000, X437)</f>
        <v>1</v>
      </c>
      <c r="Z437">
        <f>COUNTIF($A$2:$A$1000, A437)</f>
        <v>1</v>
      </c>
      <c r="AA437" t="str">
        <f>IF(Y437&gt;1, "Exact Duplicate",
  IF(Z437&gt;1, "Conflicting Duplicate - Review",
    "Unique"))</f>
        <v>Unique</v>
      </c>
      <c r="AB437" s="2">
        <f>IF(ISBLANK(R437), 0, IF(ISTEXT(R437), VALUE(SUBSTITUTE(R437, "%", ""))/100, IF(OR(R437&lt;0, R437&gt;1), "Invalid", R437)))</f>
        <v>0.15</v>
      </c>
      <c r="AC437" s="4">
        <f>IF(AB437="Invalid", "Error", P437 * Q437 * (1 - AB437))</f>
        <v>2327.0535</v>
      </c>
      <c r="AD437" s="4">
        <f>IF(AC437="Error", "Error", AC437 - T437)</f>
        <v>407.63349999999991</v>
      </c>
      <c r="AE437" s="2">
        <f>IF(AC437="Error", "Error", IF(AC437=0, 0, AD437 / AC437))</f>
        <v>0.17517152055163318</v>
      </c>
      <c r="AF437" s="7">
        <f>C437-B437</f>
        <v>8</v>
      </c>
      <c r="AG437" s="2" t="str">
        <f>TEXT(B437, "mmmm")</f>
        <v>April</v>
      </c>
      <c r="AH437" s="4">
        <f>YEAR(B437)</f>
        <v>2025</v>
      </c>
      <c r="AI437" s="2" t="str">
        <f t="shared" si="20"/>
        <v>Excluded from Sales</v>
      </c>
      <c r="AJ437">
        <f>COUNTIFS($A$2:$A$1000,A437,$B$2:$B$1000,B437,$C$2:$C$1000,C437,$D$2:$D$1000,D437,$E$2:$E$1000,E437,$F$2:$F$1000,F437)</f>
        <v>1</v>
      </c>
      <c r="AK437">
        <f>COUNTIF($A$2:$A$1000, A437)</f>
        <v>1</v>
      </c>
    </row>
    <row r="438" spans="1:37">
      <c r="A438" t="s">
        <v>1410</v>
      </c>
      <c r="B438" s="5">
        <v>45459</v>
      </c>
      <c r="C438" s="5">
        <v>45464</v>
      </c>
      <c r="D438" s="6">
        <f>IF(AND(C438&lt;&gt;"",B438&lt;&gt;""), C438-B438, "Missing Date")</f>
        <v>5</v>
      </c>
      <c r="E438" s="6" t="str">
        <f>IF(OR(B438="",C438=""), "Missing Date",
    IF(C438&lt;B438, "Invalid: Ship before Order",
      "OK"))</f>
        <v>OK</v>
      </c>
      <c r="F438" t="s">
        <v>1411</v>
      </c>
      <c r="G438" t="s">
        <v>79</v>
      </c>
      <c r="H438" t="s">
        <v>24</v>
      </c>
      <c r="I438" t="s">
        <v>54</v>
      </c>
      <c r="J438" t="s">
        <v>185</v>
      </c>
      <c r="K438" t="s">
        <v>186</v>
      </c>
      <c r="L438" t="s">
        <v>41</v>
      </c>
      <c r="M438" t="s">
        <v>57</v>
      </c>
      <c r="N438" t="s">
        <v>1412</v>
      </c>
      <c r="O438" t="s">
        <v>44</v>
      </c>
      <c r="P438">
        <v>6</v>
      </c>
      <c r="Q438">
        <v>1156.78</v>
      </c>
      <c r="R438">
        <v>0.05</v>
      </c>
      <c r="S438">
        <v>6593.65</v>
      </c>
      <c r="T438">
        <v>4359.3900000000003</v>
      </c>
      <c r="U438">
        <v>2234.2600000000002</v>
      </c>
      <c r="V438" t="s">
        <v>32</v>
      </c>
      <c r="W438" t="s">
        <v>103</v>
      </c>
      <c r="X438" t="str">
        <f>_xlfn.TEXTJOIN("|", TRUE, A438:W438)</f>
        <v>ORD-2024-10437|45459|45464|5|OK|CUST-4492|Neha Gupta|Consumer|South|Kerala|Kochi|Furniture|Furnishings|Max Furnishings 803|Same Day|6|1156.78|0.05|6593.65|4359.39|2234.26|Paid|Returned</v>
      </c>
      <c r="Y438">
        <f>COUNTIF($X$2:$X$1000, X438)</f>
        <v>1</v>
      </c>
      <c r="Z438">
        <f>COUNTIF($A$2:$A$1000, A438)</f>
        <v>1</v>
      </c>
      <c r="AA438" t="str">
        <f>IF(Y438&gt;1, "Exact Duplicate",
  IF(Z438&gt;1, "Conflicting Duplicate - Review",
    "Unique"))</f>
        <v>Unique</v>
      </c>
      <c r="AB438" s="2">
        <f>IF(ISBLANK(R438), 0, IF(ISTEXT(R438), VALUE(SUBSTITUTE(R438, "%", ""))/100, IF(OR(R438&lt;0, R438&gt;1), "Invalid", R438)))</f>
        <v>0.05</v>
      </c>
      <c r="AC438" s="4">
        <f>IF(AB438="Invalid", "Error", P438 * Q438 * (1 - AB438))</f>
        <v>6593.6459999999997</v>
      </c>
      <c r="AD438" s="4">
        <f>IF(AC438="Error", "Error", AC438 - T438)</f>
        <v>2234.2559999999994</v>
      </c>
      <c r="AE438" s="2">
        <f>IF(AC438="Error", "Error", IF(AC438=0, 0, AD438 / AC438))</f>
        <v>0.33884985636171544</v>
      </c>
      <c r="AF438" s="7">
        <f>C438-B438</f>
        <v>5</v>
      </c>
      <c r="AG438" s="2" t="str">
        <f>TEXT(B438, "mmmm")</f>
        <v>June</v>
      </c>
      <c r="AH438" s="4">
        <f>YEAR(B438)</f>
        <v>2024</v>
      </c>
      <c r="AI438" s="2" t="str">
        <f t="shared" si="20"/>
        <v>Clean</v>
      </c>
      <c r="AJ438">
        <f>COUNTIFS($A$2:$A$1000,A438,$B$2:$B$1000,B438,$C$2:$C$1000,C438,$D$2:$D$1000,D438,$E$2:$E$1000,E438,$F$2:$F$1000,F438)</f>
        <v>1</v>
      </c>
      <c r="AK438">
        <f>COUNTIF($A$2:$A$1000, A438)</f>
        <v>1</v>
      </c>
    </row>
    <row r="439" spans="1:37">
      <c r="A439" t="s">
        <v>1413</v>
      </c>
      <c r="B439" s="5">
        <v>45337</v>
      </c>
      <c r="C439" s="5">
        <v>45340</v>
      </c>
      <c r="D439" s="6">
        <f>IF(AND(C439&lt;&gt;"",B439&lt;&gt;""), C439-B439, "Missing Date")</f>
        <v>3</v>
      </c>
      <c r="E439" s="6" t="str">
        <f>IF(OR(B439="",C439=""), "Missing Date",
    IF(C439&lt;B439, "Invalid: Ship before Order",
      "OK"))</f>
        <v>OK</v>
      </c>
      <c r="F439" t="s">
        <v>1414</v>
      </c>
      <c r="G439" t="s">
        <v>89</v>
      </c>
      <c r="H439" t="s">
        <v>37</v>
      </c>
      <c r="I439" t="s">
        <v>54</v>
      </c>
      <c r="J439" t="s">
        <v>185</v>
      </c>
      <c r="K439" t="s">
        <v>186</v>
      </c>
      <c r="L439" t="s">
        <v>74</v>
      </c>
      <c r="M439" t="s">
        <v>75</v>
      </c>
      <c r="N439" t="s">
        <v>1415</v>
      </c>
      <c r="O439" t="s">
        <v>44</v>
      </c>
      <c r="P439">
        <v>8</v>
      </c>
      <c r="Q439">
        <v>379.82</v>
      </c>
      <c r="R439">
        <v>0.05</v>
      </c>
      <c r="S439">
        <v>2886.63</v>
      </c>
      <c r="T439">
        <v>1588.23</v>
      </c>
      <c r="U439">
        <v>1298.4000000000001</v>
      </c>
      <c r="V439" t="s">
        <v>155</v>
      </c>
      <c r="W439" t="s">
        <v>103</v>
      </c>
      <c r="X439" t="str">
        <f>_xlfn.TEXTJOIN("|", TRUE, A439:W439)</f>
        <v>ORD-2024-10438|45337|45340|3|OK|CUST-5029|Aditi Sen|Small Business|South|Kerala|Kochi|Technology|Accessories|Max Accessories 423|Same Day|8|379.82|0.05|2886.63|1588.23|1298.4|Failed|Returned</v>
      </c>
      <c r="Y439">
        <f>COUNTIF($X$2:$X$1000, X439)</f>
        <v>1</v>
      </c>
      <c r="Z439">
        <f>COUNTIF($A$2:$A$1000, A439)</f>
        <v>1</v>
      </c>
      <c r="AA439" t="str">
        <f>IF(Y439&gt;1, "Exact Duplicate",
  IF(Z439&gt;1, "Conflicting Duplicate - Review",
    "Unique"))</f>
        <v>Unique</v>
      </c>
      <c r="AB439" s="2">
        <f>IF(ISBLANK(R439), 0, IF(ISTEXT(R439), VALUE(SUBSTITUTE(R439, "%", ""))/100, IF(OR(R439&lt;0, R439&gt;1), "Invalid", R439)))</f>
        <v>0.05</v>
      </c>
      <c r="AC439" s="4">
        <f>IF(AB439="Invalid", "Error", P439 * Q439 * (1 - AB439))</f>
        <v>2886.6319999999996</v>
      </c>
      <c r="AD439" s="4">
        <f>IF(AC439="Error", "Error", AC439 - T439)</f>
        <v>1298.4019999999996</v>
      </c>
      <c r="AE439" s="2">
        <f>IF(AC439="Error", "Error", IF(AC439=0, 0, AD439 / AC439))</f>
        <v>0.44979824238073984</v>
      </c>
      <c r="AF439" s="7">
        <f>C439-B439</f>
        <v>3</v>
      </c>
      <c r="AG439" s="2" t="str">
        <f>TEXT(B439, "mmmm")</f>
        <v>February</v>
      </c>
      <c r="AH439" s="4">
        <f>YEAR(B439)</f>
        <v>2024</v>
      </c>
      <c r="AI439" s="2" t="str">
        <f t="shared" si="20"/>
        <v>Excluded from Sales</v>
      </c>
      <c r="AJ439">
        <f>COUNTIFS($A$2:$A$1000,A439,$B$2:$B$1000,B439,$C$2:$C$1000,C439,$D$2:$D$1000,D439,$E$2:$E$1000,E439,$F$2:$F$1000,F439)</f>
        <v>1</v>
      </c>
      <c r="AK439">
        <f>COUNTIF($A$2:$A$1000, A439)</f>
        <v>1</v>
      </c>
    </row>
    <row r="440" spans="1:37">
      <c r="A440" t="s">
        <v>1416</v>
      </c>
      <c r="B440" s="5">
        <v>45784</v>
      </c>
      <c r="C440" s="5">
        <v>45782</v>
      </c>
      <c r="D440" s="6">
        <f>IF(AND(C440&lt;&gt;"",B440&lt;&gt;""), C440-B440, "Missing Date")</f>
        <v>-2</v>
      </c>
      <c r="E440" s="6" t="str">
        <f>IF(OR(B440="",C440=""), "Missing Date",
    IF(C440&lt;B440, "Invalid: Ship before Order",
      "OK"))</f>
        <v>Invalid: Ship before Order</v>
      </c>
      <c r="F440" t="s">
        <v>1417</v>
      </c>
      <c r="G440" t="s">
        <v>79</v>
      </c>
      <c r="H440" t="s">
        <v>90</v>
      </c>
      <c r="I440" t="s">
        <v>38</v>
      </c>
      <c r="J440" t="s">
        <v>228</v>
      </c>
      <c r="K440" t="s">
        <v>229</v>
      </c>
      <c r="L440" t="s">
        <v>74</v>
      </c>
      <c r="M440" t="s">
        <v>171</v>
      </c>
      <c r="N440" t="s">
        <v>1418</v>
      </c>
      <c r="O440" t="s">
        <v>59</v>
      </c>
      <c r="P440">
        <v>1</v>
      </c>
      <c r="Q440">
        <v>2266.4699999999998</v>
      </c>
      <c r="R440">
        <v>0.2</v>
      </c>
      <c r="S440">
        <v>1813.18</v>
      </c>
      <c r="T440">
        <v>1363.64</v>
      </c>
      <c r="U440">
        <v>449.54</v>
      </c>
      <c r="V440" t="s">
        <v>32</v>
      </c>
      <c r="W440" t="s">
        <v>33</v>
      </c>
      <c r="X440" t="str">
        <f>_xlfn.TEXTJOIN("|", TRUE, A440:W440)</f>
        <v>ORD-2025-10439|45784|45782|-2|Invalid: Ship before Order|CUST-7252|Neha Gupta|Corporate|East|Jharkhand|Ranchi|Technology|Phones|Elite Phones 276|Standard Class|1|2266.47|0.2|1813.18|1363.64|449.54|Paid|Completed</v>
      </c>
      <c r="Y440">
        <f>COUNTIF($X$2:$X$1000, X440)</f>
        <v>1</v>
      </c>
      <c r="Z440">
        <f>COUNTIF($A$2:$A$1000, A440)</f>
        <v>1</v>
      </c>
      <c r="AA440" t="str">
        <f>IF(Y440&gt;1, "Exact Duplicate",
  IF(Z440&gt;1, "Conflicting Duplicate - Review",
    "Unique"))</f>
        <v>Unique</v>
      </c>
      <c r="AB440" s="2">
        <f>IF(ISBLANK(R440), 0, IF(ISTEXT(R440), VALUE(SUBSTITUTE(R440, "%", ""))/100, IF(OR(R440&lt;0, R440&gt;1), "Invalid", R440)))</f>
        <v>0.2</v>
      </c>
      <c r="AC440" s="4">
        <f>IF(AB440="Invalid", "Error", P440 * Q440 * (1 - AB440))</f>
        <v>1813.1759999999999</v>
      </c>
      <c r="AD440" s="4">
        <f>IF(AC440="Error", "Error", AC440 - T440)</f>
        <v>449.53599999999983</v>
      </c>
      <c r="AE440" s="2">
        <f>IF(AC440="Error", "Error", IF(AC440=0, 0, AD440 / AC440))</f>
        <v>0.24792739370033567</v>
      </c>
      <c r="AF440" s="7">
        <f>C440-B440</f>
        <v>-2</v>
      </c>
      <c r="AG440" s="2" t="str">
        <f>TEXT(B440, "mmmm")</f>
        <v>May</v>
      </c>
      <c r="AH440" s="4">
        <f>YEAR(B440)</f>
        <v>2025</v>
      </c>
      <c r="AI440" s="2" t="str">
        <f t="shared" si="20"/>
        <v>Invalid Shipping Record</v>
      </c>
      <c r="AJ440">
        <f>COUNTIFS($A$2:$A$1000,A440,$B$2:$B$1000,B440,$C$2:$C$1000,C440,$D$2:$D$1000,D440,$E$2:$E$1000,E440,$F$2:$F$1000,F440)</f>
        <v>1</v>
      </c>
      <c r="AK440">
        <f>COUNTIF($A$2:$A$1000, A440)</f>
        <v>1</v>
      </c>
    </row>
    <row r="441" spans="1:37">
      <c r="A441" t="s">
        <v>1419</v>
      </c>
      <c r="B441" s="5">
        <v>45838</v>
      </c>
      <c r="C441" s="5">
        <v>45841</v>
      </c>
      <c r="D441" s="6">
        <f>IF(AND(C441&lt;&gt;"",B441&lt;&gt;""), C441-B441, "Missing Date")</f>
        <v>3</v>
      </c>
      <c r="E441" s="6" t="str">
        <f>IF(OR(B441="",C441=""), "Missing Date",
    IF(C441&lt;B441, "Invalid: Ship before Order",
      "OK"))</f>
        <v>OK</v>
      </c>
      <c r="F441" t="s">
        <v>1420</v>
      </c>
      <c r="G441" t="s">
        <v>128</v>
      </c>
      <c r="H441" t="s">
        <v>95</v>
      </c>
      <c r="I441" t="s">
        <v>63</v>
      </c>
      <c r="J441" t="s">
        <v>190</v>
      </c>
      <c r="K441" t="s">
        <v>191</v>
      </c>
      <c r="L441" t="s">
        <v>28</v>
      </c>
      <c r="M441" t="s">
        <v>124</v>
      </c>
      <c r="N441" t="s">
        <v>1421</v>
      </c>
      <c r="O441" t="s">
        <v>44</v>
      </c>
      <c r="P441">
        <v>5</v>
      </c>
      <c r="Q441">
        <v>665.25</v>
      </c>
      <c r="R441">
        <v>0</v>
      </c>
      <c r="S441">
        <v>3326.25</v>
      </c>
      <c r="T441">
        <v>2689.36</v>
      </c>
      <c r="U441">
        <v>636.89</v>
      </c>
      <c r="V441" t="s">
        <v>102</v>
      </c>
      <c r="W441" t="s">
        <v>103</v>
      </c>
      <c r="X441" t="str">
        <f>_xlfn.TEXTJOIN("|", TRUE, A441:W441)</f>
        <v>ORD-2025-10440|45838|45841|3|OK|CUST-7346|Aarav Sharma|Home Office|West|Goa|Panaji|Office Supplies|Storage|Smart Storage 287|Same Day|5|665.25|0|3326.25|2689.36|636.89|Refunded|Returned</v>
      </c>
      <c r="Y441">
        <f>COUNTIF($X$2:$X$1000, X441)</f>
        <v>1</v>
      </c>
      <c r="Z441">
        <f>COUNTIF($A$2:$A$1000, A441)</f>
        <v>1</v>
      </c>
      <c r="AA441" t="str">
        <f>IF(Y441&gt;1, "Exact Duplicate",
  IF(Z441&gt;1, "Conflicting Duplicate - Review",
    "Unique"))</f>
        <v>Unique</v>
      </c>
      <c r="AB441" s="2">
        <f>IF(ISBLANK(R441), 0, IF(ISTEXT(R441), VALUE(SUBSTITUTE(R441, "%", ""))/100, IF(OR(R441&lt;0, R441&gt;1), "Invalid", R441)))</f>
        <v>0</v>
      </c>
      <c r="AC441" s="4">
        <f>IF(AB441="Invalid", "Error", P441 * Q441 * (1 - AB441))</f>
        <v>3326.25</v>
      </c>
      <c r="AD441" s="4">
        <f>IF(AC441="Error", "Error", AC441 - T441)</f>
        <v>636.88999999999987</v>
      </c>
      <c r="AE441" s="2">
        <f>IF(AC441="Error", "Error", IF(AC441=0, 0, AD441 / AC441))</f>
        <v>0.19147388199924836</v>
      </c>
      <c r="AF441" s="7">
        <f>C441-B441</f>
        <v>3</v>
      </c>
      <c r="AG441" s="2" t="str">
        <f>TEXT(B441, "mmmm")</f>
        <v>June</v>
      </c>
      <c r="AH441" s="4">
        <f>YEAR(B441)</f>
        <v>2025</v>
      </c>
      <c r="AI441" s="2" t="str">
        <f t="shared" si="20"/>
        <v>Clean</v>
      </c>
      <c r="AJ441">
        <f>COUNTIFS($A$2:$A$1000,A441,$B$2:$B$1000,B441,$C$2:$C$1000,C441,$D$2:$D$1000,D441,$E$2:$E$1000,E441,$F$2:$F$1000,F441)</f>
        <v>1</v>
      </c>
      <c r="AK441">
        <f>COUNTIF($A$2:$A$1000, A441)</f>
        <v>1</v>
      </c>
    </row>
    <row r="442" spans="1:37">
      <c r="A442" t="s">
        <v>1422</v>
      </c>
      <c r="B442" s="5">
        <v>45326</v>
      </c>
      <c r="C442" s="5">
        <v>45508</v>
      </c>
      <c r="D442" s="6">
        <f>IF(AND(C442&lt;&gt;"",B442&lt;&gt;""), C442-B442, "Missing Date")</f>
        <v>182</v>
      </c>
      <c r="E442" s="6" t="str">
        <f>IF(OR(B442="",C442=""), "Missing Date",
    IF(C442&lt;B442, "Invalid: Ship before Order",
      "OK"))</f>
        <v>OK</v>
      </c>
      <c r="F442" t="s">
        <v>270</v>
      </c>
      <c r="G442" t="s">
        <v>71</v>
      </c>
      <c r="H442" t="s">
        <v>90</v>
      </c>
      <c r="I442" t="s">
        <v>38</v>
      </c>
      <c r="J442" t="s">
        <v>39</v>
      </c>
      <c r="K442" t="s">
        <v>40</v>
      </c>
      <c r="L442" t="s">
        <v>74</v>
      </c>
      <c r="M442" t="s">
        <v>274</v>
      </c>
      <c r="N442" t="s">
        <v>1423</v>
      </c>
      <c r="O442" t="s">
        <v>31</v>
      </c>
      <c r="P442">
        <v>6</v>
      </c>
      <c r="Q442">
        <v>3722.84</v>
      </c>
      <c r="R442">
        <v>0.2</v>
      </c>
      <c r="S442">
        <v>17869.63</v>
      </c>
      <c r="T442">
        <v>12163.8</v>
      </c>
      <c r="U442">
        <v>5705.83</v>
      </c>
      <c r="V442" t="s">
        <v>32</v>
      </c>
      <c r="W442" t="s">
        <v>33</v>
      </c>
      <c r="X442" t="str">
        <f>_xlfn.TEXTJOIN("|", TRUE, A442:W442)</f>
        <v>ORD-2024-10441|45326|45508|182|OK|CUST-9039|Vikram Iyer|Corporate|East|Odisha|Bhubaneswar|Technology|Machines|Basic Machines 610|Second Class|6|3722.84|0.2|17869.63|12163.8|5705.83|Paid|Completed</v>
      </c>
      <c r="Y442">
        <f>COUNTIF($X$2:$X$1000, X442)</f>
        <v>1</v>
      </c>
      <c r="Z442">
        <f>COUNTIF($A$2:$A$1000, A442)</f>
        <v>1</v>
      </c>
      <c r="AA442" t="str">
        <f>IF(Y442&gt;1, "Exact Duplicate",
  IF(Z442&gt;1, "Conflicting Duplicate - Review",
    "Unique"))</f>
        <v>Unique</v>
      </c>
      <c r="AB442" s="2">
        <f>IF(ISBLANK(R442), 0, IF(ISTEXT(R442), VALUE(SUBSTITUTE(R442, "%", ""))/100, IF(OR(R442&lt;0, R442&gt;1), "Invalid", R442)))</f>
        <v>0.2</v>
      </c>
      <c r="AC442" s="4">
        <f>IF(AB442="Invalid", "Error", P442 * Q442 * (1 - AB442))</f>
        <v>17869.632000000001</v>
      </c>
      <c r="AD442" s="4">
        <f>IF(AC442="Error", "Error", AC442 - T442)</f>
        <v>5705.8320000000022</v>
      </c>
      <c r="AE442" s="2">
        <f>IF(AC442="Error", "Error", IF(AC442=0, 0, AD442 / AC442))</f>
        <v>0.31930327384469931</v>
      </c>
      <c r="AF442" s="7">
        <f>C442-B442</f>
        <v>182</v>
      </c>
      <c r="AG442" s="2" t="str">
        <f>TEXT(B442, "mmmm")</f>
        <v>February</v>
      </c>
      <c r="AH442" s="4">
        <f>YEAR(B442)</f>
        <v>2024</v>
      </c>
      <c r="AI442" s="2" t="str">
        <f t="shared" si="20"/>
        <v>Clean</v>
      </c>
      <c r="AJ442">
        <f>COUNTIFS($A$2:$A$1000,A442,$B$2:$B$1000,B442,$C$2:$C$1000,C442,$D$2:$D$1000,D442,$E$2:$E$1000,E442,$F$2:$F$1000,F442)</f>
        <v>1</v>
      </c>
      <c r="AK442">
        <f>COUNTIF($A$2:$A$1000, A442)</f>
        <v>1</v>
      </c>
    </row>
    <row r="443" spans="1:37">
      <c r="A443" t="s">
        <v>1424</v>
      </c>
      <c r="B443" s="5">
        <v>45568</v>
      </c>
      <c r="C443" s="5">
        <v>45568</v>
      </c>
      <c r="D443" s="6">
        <f>IF(AND(C443&lt;&gt;"",B443&lt;&gt;""), C443-B443, "Missing Date")</f>
        <v>0</v>
      </c>
      <c r="E443" s="6" t="str">
        <f>IF(OR(B443="",C443=""), "Missing Date",
    IF(C443&lt;B443, "Invalid: Ship before Order",
      "OK"))</f>
        <v>OK</v>
      </c>
      <c r="F443" t="s">
        <v>1425</v>
      </c>
      <c r="G443" t="s">
        <v>23</v>
      </c>
      <c r="H443" t="s">
        <v>24</v>
      </c>
      <c r="I443" t="s">
        <v>38</v>
      </c>
      <c r="J443" t="s">
        <v>145</v>
      </c>
      <c r="K443" t="s">
        <v>146</v>
      </c>
      <c r="L443" t="s">
        <v>41</v>
      </c>
      <c r="M443" t="s">
        <v>158</v>
      </c>
      <c r="N443" t="s">
        <v>1426</v>
      </c>
      <c r="O443" t="s">
        <v>59</v>
      </c>
      <c r="P443">
        <v>6</v>
      </c>
      <c r="Q443">
        <v>4217.49</v>
      </c>
      <c r="R443">
        <v>0</v>
      </c>
      <c r="S443">
        <v>25304.94</v>
      </c>
      <c r="T443">
        <v>20771.95</v>
      </c>
      <c r="U443">
        <v>4532.99</v>
      </c>
      <c r="V443" t="s">
        <v>32</v>
      </c>
      <c r="W443" t="s">
        <v>68</v>
      </c>
      <c r="X443" t="str">
        <f>_xlfn.TEXTJOIN("|", TRUE, A443:W443)</f>
        <v>ORD-2024-10442|45568|45568|0|OK|CUST-3975|Karan Malhotra|Consumer|East|Bihar|Patna|Furniture|Bookcases|Elite Bookcases 393|Standard Class|6|4217.49|0|25304.94|20771.95|4532.99|Paid|Cancelled</v>
      </c>
      <c r="Y443">
        <f>COUNTIF($X$2:$X$1000, X443)</f>
        <v>1</v>
      </c>
      <c r="Z443">
        <f>COUNTIF($A$2:$A$1000, A443)</f>
        <v>1</v>
      </c>
      <c r="AA443" t="str">
        <f>IF(Y443&gt;1, "Exact Duplicate",
  IF(Z443&gt;1, "Conflicting Duplicate - Review",
    "Unique"))</f>
        <v>Unique</v>
      </c>
      <c r="AB443" s="2">
        <f>IF(ISBLANK(R443), 0, IF(ISTEXT(R443), VALUE(SUBSTITUTE(R443, "%", ""))/100, IF(OR(R443&lt;0, R443&gt;1), "Invalid", R443)))</f>
        <v>0</v>
      </c>
      <c r="AC443" s="4">
        <f>IF(AB443="Invalid", "Error", P443 * Q443 * (1 - AB443))</f>
        <v>25304.94</v>
      </c>
      <c r="AD443" s="4">
        <f>IF(AC443="Error", "Error", AC443 - T443)</f>
        <v>4532.989999999998</v>
      </c>
      <c r="AE443" s="2">
        <f>IF(AC443="Error", "Error", IF(AC443=0, 0, AD443 / AC443))</f>
        <v>0.17913458795002077</v>
      </c>
      <c r="AF443" s="7">
        <f>C443-B443</f>
        <v>0</v>
      </c>
      <c r="AG443" s="2" t="str">
        <f>TEXT(B443, "mmmm")</f>
        <v>October</v>
      </c>
      <c r="AH443" s="4">
        <f>YEAR(B443)</f>
        <v>2024</v>
      </c>
      <c r="AI443" s="2" t="str">
        <f t="shared" si="20"/>
        <v>Excluded from Sales</v>
      </c>
      <c r="AJ443">
        <f>COUNTIFS($A$2:$A$1000,A443,$B$2:$B$1000,B443,$C$2:$C$1000,C443,$D$2:$D$1000,D443,$E$2:$E$1000,E443,$F$2:$F$1000,F443)</f>
        <v>1</v>
      </c>
      <c r="AK443">
        <f>COUNTIF($A$2:$A$1000, A443)</f>
        <v>1</v>
      </c>
    </row>
    <row r="444" spans="1:37">
      <c r="A444" t="s">
        <v>1427</v>
      </c>
      <c r="B444" s="5">
        <v>45669</v>
      </c>
      <c r="C444" s="5">
        <v>45676</v>
      </c>
      <c r="D444" s="6">
        <f>IF(AND(C444&lt;&gt;"",B444&lt;&gt;""), C444-B444, "Missing Date")</f>
        <v>7</v>
      </c>
      <c r="E444" s="6" t="str">
        <f>IF(OR(B444="",C444=""), "Missing Date",
    IF(C444&lt;B444, "Invalid: Ship before Order",
      "OK"))</f>
        <v>OK</v>
      </c>
      <c r="F444" t="s">
        <v>1428</v>
      </c>
      <c r="G444" t="s">
        <v>128</v>
      </c>
      <c r="H444" t="s">
        <v>24</v>
      </c>
      <c r="I444" t="s">
        <v>38</v>
      </c>
      <c r="J444" t="s">
        <v>228</v>
      </c>
      <c r="K444" t="s">
        <v>229</v>
      </c>
      <c r="L444" t="s">
        <v>41</v>
      </c>
      <c r="M444" t="s">
        <v>42</v>
      </c>
      <c r="N444" t="s">
        <v>1429</v>
      </c>
      <c r="O444" t="s">
        <v>50</v>
      </c>
      <c r="P444">
        <v>1</v>
      </c>
      <c r="Q444">
        <v>1842.31</v>
      </c>
      <c r="R444">
        <v>0</v>
      </c>
      <c r="S444">
        <v>1842.31</v>
      </c>
      <c r="T444">
        <v>1019.17</v>
      </c>
      <c r="U444">
        <v>823.14</v>
      </c>
      <c r="V444" t="s">
        <v>32</v>
      </c>
      <c r="W444" t="s">
        <v>33</v>
      </c>
      <c r="X444" t="str">
        <f>_xlfn.TEXTJOIN("|", TRUE, A444:W444)</f>
        <v>ORD-2025-10443|45669|45676|7|OK|CUST-6588|Aarav Sharma|Consumer|East|Jharkhand|Ranchi|Furniture|Tables|Prime Tables 242|First Class|1|1842.31|0|1842.31|1019.17|823.14|Paid|Completed</v>
      </c>
      <c r="Y444">
        <f>COUNTIF($X$2:$X$1000, X444)</f>
        <v>1</v>
      </c>
      <c r="Z444">
        <f>COUNTIF($A$2:$A$1000, A444)</f>
        <v>1</v>
      </c>
      <c r="AA444" t="str">
        <f>IF(Y444&gt;1, "Exact Duplicate",
  IF(Z444&gt;1, "Conflicting Duplicate - Review",
    "Unique"))</f>
        <v>Unique</v>
      </c>
      <c r="AB444" s="2">
        <f>IF(ISBLANK(R444), 0, IF(ISTEXT(R444), VALUE(SUBSTITUTE(R444, "%", ""))/100, IF(OR(R444&lt;0, R444&gt;1), "Invalid", R444)))</f>
        <v>0</v>
      </c>
      <c r="AC444" s="4">
        <f>IF(AB444="Invalid", "Error", P444 * Q444 * (1 - AB444))</f>
        <v>1842.31</v>
      </c>
      <c r="AD444" s="4">
        <f>IF(AC444="Error", "Error", AC444 - T444)</f>
        <v>823.14</v>
      </c>
      <c r="AE444" s="2">
        <f>IF(AC444="Error", "Error", IF(AC444=0, 0, AD444 / AC444))</f>
        <v>0.44679777019068451</v>
      </c>
      <c r="AF444" s="7">
        <f>C444-B444</f>
        <v>7</v>
      </c>
      <c r="AG444" s="2" t="str">
        <f>TEXT(B444, "mmmm")</f>
        <v>January</v>
      </c>
      <c r="AH444" s="4">
        <f>YEAR(B444)</f>
        <v>2025</v>
      </c>
      <c r="AI444" s="2" t="str">
        <f t="shared" si="20"/>
        <v>Clean</v>
      </c>
      <c r="AJ444">
        <f>COUNTIFS($A$2:$A$1000,A444,$B$2:$B$1000,B444,$C$2:$C$1000,C444,$D$2:$D$1000,D444,$E$2:$E$1000,E444,$F$2:$F$1000,F444)</f>
        <v>1</v>
      </c>
      <c r="AK444">
        <f>COUNTIF($A$2:$A$1000, A444)</f>
        <v>1</v>
      </c>
    </row>
    <row r="445" spans="1:37">
      <c r="A445" t="s">
        <v>1430</v>
      </c>
      <c r="B445" s="5">
        <v>45386</v>
      </c>
      <c r="C445" s="5">
        <v>45389</v>
      </c>
      <c r="D445" s="6">
        <f>IF(AND(C445&lt;&gt;"",B445&lt;&gt;""), C445-B445, "Missing Date")</f>
        <v>3</v>
      </c>
      <c r="E445" s="6" t="str">
        <f>IF(OR(B445="",C445=""), "Missing Date",
    IF(C445&lt;B445, "Invalid: Ship before Order",
      "OK"))</f>
        <v>OK</v>
      </c>
      <c r="F445" t="s">
        <v>1431</v>
      </c>
      <c r="G445" t="s">
        <v>141</v>
      </c>
      <c r="H445" t="s">
        <v>95</v>
      </c>
      <c r="I445" t="s">
        <v>38</v>
      </c>
      <c r="J445" t="s">
        <v>39</v>
      </c>
      <c r="K445" t="s">
        <v>40</v>
      </c>
      <c r="L445" t="s">
        <v>41</v>
      </c>
      <c r="M445" t="s">
        <v>57</v>
      </c>
      <c r="N445" t="s">
        <v>1432</v>
      </c>
      <c r="O445" t="s">
        <v>50</v>
      </c>
      <c r="P445">
        <v>1</v>
      </c>
      <c r="Q445">
        <v>3683.75</v>
      </c>
      <c r="R445">
        <v>0.1</v>
      </c>
      <c r="S445">
        <v>3315.38</v>
      </c>
      <c r="T445">
        <v>2347.6799999999998</v>
      </c>
      <c r="U445">
        <v>967.7</v>
      </c>
      <c r="V445" t="s">
        <v>32</v>
      </c>
      <c r="W445" t="s">
        <v>33</v>
      </c>
      <c r="X445" t="str">
        <f>_xlfn.TEXTJOIN("|", TRUE, A445:W445)</f>
        <v>ORD-2024-10444|45386|45389|3|OK|CUST-2207|Rohan Mehta|Home Office|East|Odisha|Bhubaneswar|Furniture|Furnishings|Basic Furnishings 563|First Class|1|3683.75|0.1|3315.38|2347.68|967.7|Paid|Completed</v>
      </c>
      <c r="Y445">
        <f>COUNTIF($X$2:$X$1000, X445)</f>
        <v>1</v>
      </c>
      <c r="Z445">
        <f>COUNTIF($A$2:$A$1000, A445)</f>
        <v>1</v>
      </c>
      <c r="AA445" t="str">
        <f>IF(Y445&gt;1, "Exact Duplicate",
  IF(Z445&gt;1, "Conflicting Duplicate - Review",
    "Unique"))</f>
        <v>Unique</v>
      </c>
      <c r="AB445" s="2">
        <f>IF(ISBLANK(R445), 0, IF(ISTEXT(R445), VALUE(SUBSTITUTE(R445, "%", ""))/100, IF(OR(R445&lt;0, R445&gt;1), "Invalid", R445)))</f>
        <v>0.1</v>
      </c>
      <c r="AC445" s="4">
        <f>IF(AB445="Invalid", "Error", P445 * Q445 * (1 - AB445))</f>
        <v>3315.375</v>
      </c>
      <c r="AD445" s="4">
        <f>IF(AC445="Error", "Error", AC445 - T445)</f>
        <v>967.69500000000016</v>
      </c>
      <c r="AE445" s="2">
        <f>IF(AC445="Error", "Error", IF(AC445=0, 0, AD445 / AC445))</f>
        <v>0.29188100893564084</v>
      </c>
      <c r="AF445" s="7">
        <f>C445-B445</f>
        <v>3</v>
      </c>
      <c r="AG445" s="2" t="str">
        <f>TEXT(B445, "mmmm")</f>
        <v>April</v>
      </c>
      <c r="AH445" s="4">
        <f>YEAR(B445)</f>
        <v>2024</v>
      </c>
      <c r="AI445" s="2" t="str">
        <f t="shared" si="20"/>
        <v>Clean</v>
      </c>
      <c r="AJ445">
        <f>COUNTIFS($A$2:$A$1000,A445,$B$2:$B$1000,B445,$C$2:$C$1000,C445,$D$2:$D$1000,D445,$E$2:$E$1000,E445,$F$2:$F$1000,F445)</f>
        <v>1</v>
      </c>
      <c r="AK445">
        <f>COUNTIF($A$2:$A$1000, A445)</f>
        <v>1</v>
      </c>
    </row>
    <row r="446" spans="1:37">
      <c r="A446" t="s">
        <v>1433</v>
      </c>
      <c r="B446" s="5">
        <v>45881</v>
      </c>
      <c r="C446" s="5">
        <v>45885</v>
      </c>
      <c r="D446" s="6">
        <f>IF(AND(C446&lt;&gt;"",B446&lt;&gt;""), C446-B446, "Missing Date")</f>
        <v>4</v>
      </c>
      <c r="E446" s="6" t="str">
        <f>IF(OR(B446="",C446=""), "Missing Date",
    IF(C446&lt;B446, "Invalid: Ship before Order",
      "OK"))</f>
        <v>OK</v>
      </c>
      <c r="F446" t="s">
        <v>1434</v>
      </c>
      <c r="G446" t="s">
        <v>62</v>
      </c>
      <c r="H446" t="s">
        <v>24</v>
      </c>
      <c r="I446" t="s">
        <v>38</v>
      </c>
      <c r="J446" t="s">
        <v>166</v>
      </c>
      <c r="K446" t="s">
        <v>167</v>
      </c>
      <c r="L446" t="s">
        <v>74</v>
      </c>
      <c r="M446" t="s">
        <v>75</v>
      </c>
      <c r="N446" t="s">
        <v>1435</v>
      </c>
      <c r="O446" t="s">
        <v>44</v>
      </c>
      <c r="P446">
        <v>9</v>
      </c>
      <c r="Q446">
        <v>2379.2399999999998</v>
      </c>
      <c r="R446">
        <v>0.05</v>
      </c>
      <c r="S446">
        <v>20342.5</v>
      </c>
      <c r="T446">
        <v>12407.51</v>
      </c>
      <c r="U446">
        <v>7934.99</v>
      </c>
      <c r="V446" t="s">
        <v>32</v>
      </c>
      <c r="W446" t="s">
        <v>33</v>
      </c>
      <c r="X446" t="str">
        <f>_xlfn.TEXTJOIN("|", TRUE, A446:W446)</f>
        <v>ORD-2025-10445|45881|45885|4|OK|CUST-4475|Ananya Rao|Consumer|East|Assam|Guwahati|Technology|Accessories|Prime Accessories 482|Same Day|9|2379.24|0.05|20342.5|12407.51|7934.99|Paid|Completed</v>
      </c>
      <c r="Y446">
        <f>COUNTIF($X$2:$X$1000, X446)</f>
        <v>1</v>
      </c>
      <c r="Z446">
        <f>COUNTIF($A$2:$A$1000, A446)</f>
        <v>1</v>
      </c>
      <c r="AA446" t="str">
        <f>IF(Y446&gt;1, "Exact Duplicate",
  IF(Z446&gt;1, "Conflicting Duplicate - Review",
    "Unique"))</f>
        <v>Unique</v>
      </c>
      <c r="AB446" s="2">
        <f>IF(ISBLANK(R446), 0, IF(ISTEXT(R446), VALUE(SUBSTITUTE(R446, "%", ""))/100, IF(OR(R446&lt;0, R446&gt;1), "Invalid", R446)))</f>
        <v>0.05</v>
      </c>
      <c r="AC446" s="4">
        <f>IF(AB446="Invalid", "Error", P446 * Q446 * (1 - AB446))</f>
        <v>20342.501999999997</v>
      </c>
      <c r="AD446" s="4">
        <f>IF(AC446="Error", "Error", AC446 - T446)</f>
        <v>7934.9919999999966</v>
      </c>
      <c r="AE446" s="2">
        <f>IF(AC446="Error", "Error", IF(AC446=0, 0, AD446 / AC446))</f>
        <v>0.39006961877157481</v>
      </c>
      <c r="AF446" s="7">
        <f>C446-B446</f>
        <v>4</v>
      </c>
      <c r="AG446" s="2" t="str">
        <f>TEXT(B446, "mmmm")</f>
        <v>August</v>
      </c>
      <c r="AH446" s="4">
        <f>YEAR(B446)</f>
        <v>2025</v>
      </c>
      <c r="AI446" s="2" t="str">
        <f t="shared" si="20"/>
        <v>Clean</v>
      </c>
      <c r="AJ446">
        <f>COUNTIFS($A$2:$A$1000,A446,$B$2:$B$1000,B446,$C$2:$C$1000,C446,$D$2:$D$1000,D446,$E$2:$E$1000,E446,$F$2:$F$1000,F446)</f>
        <v>1</v>
      </c>
      <c r="AK446">
        <f>COUNTIF($A$2:$A$1000, A446)</f>
        <v>1</v>
      </c>
    </row>
    <row r="447" spans="1:37">
      <c r="A447" t="s">
        <v>1436</v>
      </c>
      <c r="B447" s="5">
        <v>45540</v>
      </c>
      <c r="C447" s="5">
        <v>45417</v>
      </c>
      <c r="D447" s="6">
        <f>IF(AND(C447&lt;&gt;"",B447&lt;&gt;""), C447-B447, "Missing Date")</f>
        <v>-123</v>
      </c>
      <c r="E447" s="6" t="str">
        <f>IF(OR(B447="",C447=""), "Missing Date",
    IF(C447&lt;B447, "Invalid: Ship before Order",
      "OK"))</f>
        <v>Invalid: Ship before Order</v>
      </c>
      <c r="F447" t="s">
        <v>1437</v>
      </c>
      <c r="G447" t="s">
        <v>53</v>
      </c>
      <c r="H447" t="s">
        <v>24</v>
      </c>
      <c r="I447" t="s">
        <v>38</v>
      </c>
      <c r="J447" t="s">
        <v>166</v>
      </c>
      <c r="K447" t="s">
        <v>167</v>
      </c>
      <c r="L447" t="s">
        <v>41</v>
      </c>
      <c r="M447" t="s">
        <v>158</v>
      </c>
      <c r="N447" t="s">
        <v>1438</v>
      </c>
      <c r="O447" t="s">
        <v>44</v>
      </c>
      <c r="P447">
        <v>2</v>
      </c>
      <c r="Q447">
        <v>2111.23</v>
      </c>
      <c r="R447">
        <v>0.2</v>
      </c>
      <c r="S447">
        <v>3377.97</v>
      </c>
      <c r="T447">
        <v>2496.29</v>
      </c>
      <c r="U447">
        <v>881.68</v>
      </c>
      <c r="V447" t="s">
        <v>32</v>
      </c>
      <c r="W447" t="s">
        <v>33</v>
      </c>
      <c r="X447" t="str">
        <f>_xlfn.TEXTJOIN("|", TRUE, A447:W447)</f>
        <v>ORD-2024-10446|45540|45417|-123|Invalid: Ship before Order|CUST-1351|Arjun Bose|Consumer|East|Assam|Guwahati|Furniture|Bookcases|Eco Bookcases 215|Same Day|2|2111.23|0.2|3377.97|2496.29|881.68|Paid|Completed</v>
      </c>
      <c r="Y447">
        <f>COUNTIF($X$2:$X$1000, X447)</f>
        <v>1</v>
      </c>
      <c r="Z447">
        <f>COUNTIF($A$2:$A$1000, A447)</f>
        <v>1</v>
      </c>
      <c r="AA447" t="str">
        <f>IF(Y447&gt;1, "Exact Duplicate",
  IF(Z447&gt;1, "Conflicting Duplicate - Review",
    "Unique"))</f>
        <v>Unique</v>
      </c>
      <c r="AB447" s="2">
        <f>IF(ISBLANK(R447), 0, IF(ISTEXT(R447), VALUE(SUBSTITUTE(R447, "%", ""))/100, IF(OR(R447&lt;0, R447&gt;1), "Invalid", R447)))</f>
        <v>0.2</v>
      </c>
      <c r="AC447" s="4">
        <f>IF(AB447="Invalid", "Error", P447 * Q447 * (1 - AB447))</f>
        <v>3377.9680000000003</v>
      </c>
      <c r="AD447" s="4">
        <f>IF(AC447="Error", "Error", AC447 - T447)</f>
        <v>881.67800000000034</v>
      </c>
      <c r="AE447" s="2">
        <f>IF(AC447="Error", "Error", IF(AC447=0, 0, AD447 / AC447))</f>
        <v>0.26100839321154029</v>
      </c>
      <c r="AF447" s="7">
        <f>C447-B447</f>
        <v>-123</v>
      </c>
      <c r="AG447" s="2" t="str">
        <f>TEXT(B447, "mmmm")</f>
        <v>September</v>
      </c>
      <c r="AH447" s="4">
        <f>YEAR(B447)</f>
        <v>2024</v>
      </c>
      <c r="AI447" s="2" t="str">
        <f t="shared" si="20"/>
        <v>Invalid Shipping Record</v>
      </c>
      <c r="AJ447">
        <f>COUNTIFS($A$2:$A$1000,A447,$B$2:$B$1000,B447,$C$2:$C$1000,C447,$D$2:$D$1000,D447,$E$2:$E$1000,E447,$F$2:$F$1000,F447)</f>
        <v>1</v>
      </c>
      <c r="AK447">
        <f>COUNTIF($A$2:$A$1000, A447)</f>
        <v>1</v>
      </c>
    </row>
    <row r="448" spans="1:37">
      <c r="A448" t="s">
        <v>1439</v>
      </c>
      <c r="B448" s="5">
        <v>45918</v>
      </c>
      <c r="C448" s="5">
        <v>45919</v>
      </c>
      <c r="D448" s="6">
        <f>IF(AND(C448&lt;&gt;"",B448&lt;&gt;""), C448-B448, "Missing Date")</f>
        <v>1</v>
      </c>
      <c r="E448" s="6" t="str">
        <f>IF(OR(B448="",C448=""), "Missing Date",
    IF(C448&lt;B448, "Invalid: Ship before Order",
      "OK"))</f>
        <v>OK</v>
      </c>
      <c r="F448" t="s">
        <v>1440</v>
      </c>
      <c r="G448" t="s">
        <v>132</v>
      </c>
      <c r="H448" t="s">
        <v>95</v>
      </c>
      <c r="I448" t="s">
        <v>54</v>
      </c>
      <c r="J448" t="s">
        <v>84</v>
      </c>
      <c r="K448" t="s">
        <v>85</v>
      </c>
      <c r="L448" t="s">
        <v>28</v>
      </c>
      <c r="M448" t="s">
        <v>124</v>
      </c>
      <c r="N448" t="s">
        <v>1441</v>
      </c>
      <c r="O448" t="s">
        <v>44</v>
      </c>
      <c r="P448">
        <v>8</v>
      </c>
      <c r="Q448">
        <v>4242.51</v>
      </c>
      <c r="R448">
        <v>0</v>
      </c>
      <c r="S448">
        <v>33940.080000000002</v>
      </c>
      <c r="T448">
        <v>23754.19</v>
      </c>
      <c r="U448">
        <v>10185.89</v>
      </c>
      <c r="V448" t="s">
        <v>32</v>
      </c>
      <c r="W448" t="s">
        <v>33</v>
      </c>
      <c r="X448" t="str">
        <f>_xlfn.TEXTJOIN("|", TRUE, A448:W448)</f>
        <v>ORD-2025-10447|45918|45919|1|OK|CUST-9295|Sneha Kapoor|Home Office|South|Andhra Pradesh|Vijayawada|Office Supplies|Storage|Eco Storage 793|Same Day|8|4242.51|0|33940.08|23754.19|10185.89|Paid|Completed</v>
      </c>
      <c r="Y448">
        <f>COUNTIF($X$2:$X$1000, X448)</f>
        <v>1</v>
      </c>
      <c r="Z448">
        <f>COUNTIF($A$2:$A$1000, A448)</f>
        <v>1</v>
      </c>
      <c r="AA448" t="str">
        <f>IF(Y448&gt;1, "Exact Duplicate",
  IF(Z448&gt;1, "Conflicting Duplicate - Review",
    "Unique"))</f>
        <v>Unique</v>
      </c>
      <c r="AB448" s="2">
        <f>IF(ISBLANK(R448), 0, IF(ISTEXT(R448), VALUE(SUBSTITUTE(R448, "%", ""))/100, IF(OR(R448&lt;0, R448&gt;1), "Invalid", R448)))</f>
        <v>0</v>
      </c>
      <c r="AC448" s="4">
        <f>IF(AB448="Invalid", "Error", P448 * Q448 * (1 - AB448))</f>
        <v>33940.080000000002</v>
      </c>
      <c r="AD448" s="4">
        <f>IF(AC448="Error", "Error", AC448 - T448)</f>
        <v>10185.890000000003</v>
      </c>
      <c r="AE448" s="2">
        <f>IF(AC448="Error", "Error", IF(AC448=0, 0, AD448 / AC448))</f>
        <v>0.30011390662603044</v>
      </c>
      <c r="AF448" s="7">
        <f>C448-B448</f>
        <v>1</v>
      </c>
      <c r="AG448" s="2" t="str">
        <f>TEXT(B448, "mmmm")</f>
        <v>September</v>
      </c>
      <c r="AH448" s="4">
        <f>YEAR(B448)</f>
        <v>2025</v>
      </c>
      <c r="AI448" s="2" t="str">
        <f t="shared" si="20"/>
        <v>Clean</v>
      </c>
      <c r="AJ448">
        <f>COUNTIFS($A$2:$A$1000,A448,$B$2:$B$1000,B448,$C$2:$C$1000,C448,$D$2:$D$1000,D448,$E$2:$E$1000,E448,$F$2:$F$1000,F448)</f>
        <v>1</v>
      </c>
      <c r="AK448">
        <f>COUNTIF($A$2:$A$1000, A448)</f>
        <v>1</v>
      </c>
    </row>
    <row r="449" spans="1:37">
      <c r="A449" t="s">
        <v>1442</v>
      </c>
      <c r="B449" s="5">
        <v>45879</v>
      </c>
      <c r="C449" s="5">
        <v>45879</v>
      </c>
      <c r="D449" s="6">
        <f>IF(AND(C449&lt;&gt;"",B449&lt;&gt;""), C449-B449, "Missing Date")</f>
        <v>0</v>
      </c>
      <c r="E449" s="6" t="str">
        <f>IF(OR(B449="",C449=""), "Missing Date",
    IF(C449&lt;B449, "Invalid: Ship before Order",
      "OK"))</f>
        <v>OK</v>
      </c>
      <c r="F449" t="s">
        <v>1443</v>
      </c>
      <c r="G449" t="s">
        <v>141</v>
      </c>
      <c r="H449" t="s">
        <v>95</v>
      </c>
      <c r="I449" t="s">
        <v>54</v>
      </c>
      <c r="J449" t="s">
        <v>55</v>
      </c>
      <c r="K449" t="s">
        <v>56</v>
      </c>
      <c r="L449" t="s">
        <v>41</v>
      </c>
      <c r="M449" t="s">
        <v>158</v>
      </c>
      <c r="N449" t="s">
        <v>1444</v>
      </c>
      <c r="O449" t="s">
        <v>59</v>
      </c>
      <c r="P449">
        <v>6</v>
      </c>
      <c r="Q449">
        <v>4288.7</v>
      </c>
      <c r="R449">
        <v>0.15</v>
      </c>
      <c r="S449">
        <v>21872.37</v>
      </c>
      <c r="T449">
        <v>13829.5</v>
      </c>
      <c r="U449">
        <v>8042.87</v>
      </c>
      <c r="V449" t="s">
        <v>111</v>
      </c>
      <c r="W449" t="s">
        <v>103</v>
      </c>
      <c r="X449" t="str">
        <f>_xlfn.TEXTJOIN("|", TRUE, A449:W449)</f>
        <v>ORD-2025-10448|45879|45879|0|OK|CUST-3614|Rohan Mehta|Home Office|South|Telangana|Hyderabad|Furniture|Bookcases|Basic Bookcases 182|Standard Class|6|4288.7|0.15|21872.37|13829.5|8042.87|Pending|Returned</v>
      </c>
      <c r="Y449">
        <f>COUNTIF($X$2:$X$1000, X449)</f>
        <v>1</v>
      </c>
      <c r="Z449">
        <f>COUNTIF($A$2:$A$1000, A449)</f>
        <v>1</v>
      </c>
      <c r="AA449" t="str">
        <f>IF(Y449&gt;1, "Exact Duplicate",
  IF(Z449&gt;1, "Conflicting Duplicate - Review",
    "Unique"))</f>
        <v>Unique</v>
      </c>
      <c r="AB449" s="2">
        <f>IF(ISBLANK(R449), 0, IF(ISTEXT(R449), VALUE(SUBSTITUTE(R449, "%", ""))/100, IF(OR(R449&lt;0, R449&gt;1), "Invalid", R449)))</f>
        <v>0.15</v>
      </c>
      <c r="AC449" s="4">
        <f>IF(AB449="Invalid", "Error", P449 * Q449 * (1 - AB449))</f>
        <v>21872.369999999995</v>
      </c>
      <c r="AD449" s="4">
        <f>IF(AC449="Error", "Error", AC449 - T449)</f>
        <v>8042.8699999999953</v>
      </c>
      <c r="AE449" s="2">
        <f>IF(AC449="Error", "Error", IF(AC449=0, 0, AD449 / AC449))</f>
        <v>0.36771826738483288</v>
      </c>
      <c r="AF449" s="7">
        <f>C449-B449</f>
        <v>0</v>
      </c>
      <c r="AG449" s="2" t="str">
        <f>TEXT(B449, "mmmm")</f>
        <v>August</v>
      </c>
      <c r="AH449" s="4">
        <f>YEAR(B449)</f>
        <v>2025</v>
      </c>
      <c r="AI449" s="2" t="str">
        <f t="shared" si="20"/>
        <v>Clean</v>
      </c>
      <c r="AJ449">
        <f>COUNTIFS($A$2:$A$1000,A449,$B$2:$B$1000,B449,$C$2:$C$1000,C449,$D$2:$D$1000,D449,$E$2:$E$1000,E449,$F$2:$F$1000,F449)</f>
        <v>1</v>
      </c>
      <c r="AK449">
        <f>COUNTIF($A$2:$A$1000, A449)</f>
        <v>1</v>
      </c>
    </row>
    <row r="450" spans="1:37">
      <c r="A450" t="s">
        <v>1445</v>
      </c>
      <c r="B450" s="5">
        <v>45306</v>
      </c>
      <c r="C450" s="5">
        <v>45309</v>
      </c>
      <c r="D450" s="6">
        <f>IF(AND(C450&lt;&gt;"",B450&lt;&gt;""), C450-B450, "Missing Date")</f>
        <v>3</v>
      </c>
      <c r="E450" s="6" t="str">
        <f>IF(OR(B450="",C450=""), "Missing Date",
    IF(C450&lt;B450, "Invalid: Ship before Order",
      "OK"))</f>
        <v>OK</v>
      </c>
      <c r="F450" t="s">
        <v>1446</v>
      </c>
      <c r="G450" t="s">
        <v>36</v>
      </c>
      <c r="H450" t="s">
        <v>37</v>
      </c>
      <c r="I450" t="s">
        <v>54</v>
      </c>
      <c r="J450" t="s">
        <v>84</v>
      </c>
      <c r="K450" t="s">
        <v>85</v>
      </c>
      <c r="L450" t="s">
        <v>41</v>
      </c>
      <c r="M450" t="s">
        <v>66</v>
      </c>
      <c r="N450" t="s">
        <v>1447</v>
      </c>
      <c r="O450" t="s">
        <v>50</v>
      </c>
      <c r="P450">
        <v>2</v>
      </c>
      <c r="Q450">
        <v>201.21</v>
      </c>
      <c r="R450">
        <v>0.15</v>
      </c>
      <c r="S450">
        <v>342.06</v>
      </c>
      <c r="T450">
        <v>244.57</v>
      </c>
      <c r="U450">
        <v>97.49</v>
      </c>
      <c r="V450" t="s">
        <v>32</v>
      </c>
      <c r="W450" t="s">
        <v>33</v>
      </c>
      <c r="X450" t="str">
        <f>_xlfn.TEXTJOIN("|", TRUE, A450:W450)</f>
        <v>ORD-2024-10449|45306|45309|3|OK|CUST-1932|Mira Das|Small Business|South|Andhra Pradesh|Vijayawada|Furniture|Chairs|Prime Chairs 631|First Class|2|201.21|0.15|342.06|244.57|97.49|Paid|Completed</v>
      </c>
      <c r="Y450">
        <f>COUNTIF($X$2:$X$1000, X450)</f>
        <v>1</v>
      </c>
      <c r="Z450">
        <f>COUNTIF($A$2:$A$1000, A450)</f>
        <v>1</v>
      </c>
      <c r="AA450" t="str">
        <f>IF(Y450&gt;1, "Exact Duplicate",
  IF(Z450&gt;1, "Conflicting Duplicate - Review",
    "Unique"))</f>
        <v>Unique</v>
      </c>
      <c r="AB450" s="2">
        <f>IF(ISBLANK(R450), 0, IF(ISTEXT(R450), VALUE(SUBSTITUTE(R450, "%", ""))/100, IF(OR(R450&lt;0, R450&gt;1), "Invalid", R450)))</f>
        <v>0.15</v>
      </c>
      <c r="AC450" s="4">
        <f>IF(AB450="Invalid", "Error", P450 * Q450 * (1 - AB450))</f>
        <v>342.05700000000002</v>
      </c>
      <c r="AD450" s="4">
        <f>IF(AC450="Error", "Error", AC450 - T450)</f>
        <v>97.487000000000023</v>
      </c>
      <c r="AE450" s="2">
        <f>IF(AC450="Error", "Error", IF(AC450=0, 0, AD450 / AC450))</f>
        <v>0.28500220723446684</v>
      </c>
      <c r="AF450" s="7">
        <f>C450-B450</f>
        <v>3</v>
      </c>
      <c r="AG450" s="2" t="str">
        <f>TEXT(B450, "mmmm")</f>
        <v>January</v>
      </c>
      <c r="AH450" s="4">
        <f>YEAR(B450)</f>
        <v>2024</v>
      </c>
      <c r="AI450" s="2" t="str">
        <f t="shared" si="20"/>
        <v>Clean</v>
      </c>
      <c r="AJ450">
        <f>COUNTIFS($A$2:$A$1000,A450,$B$2:$B$1000,B450,$C$2:$C$1000,C450,$D$2:$D$1000,D450,$E$2:$E$1000,E450,$F$2:$F$1000,F450)</f>
        <v>1</v>
      </c>
      <c r="AK450">
        <f>COUNTIF($A$2:$A$1000, A450)</f>
        <v>1</v>
      </c>
    </row>
    <row r="451" spans="1:37">
      <c r="A451" t="s">
        <v>1448</v>
      </c>
      <c r="B451" s="5">
        <v>45449</v>
      </c>
      <c r="C451" s="5">
        <v>45456</v>
      </c>
      <c r="D451" s="6">
        <f>IF(AND(C451&lt;&gt;"",B451&lt;&gt;""), C451-B451, "Missing Date")</f>
        <v>7</v>
      </c>
      <c r="E451" s="6" t="str">
        <f>IF(OR(B451="",C451=""), "Missing Date",
    IF(C451&lt;B451, "Invalid: Ship before Order",
      "OK"))</f>
        <v>OK</v>
      </c>
      <c r="F451" t="s">
        <v>1342</v>
      </c>
      <c r="G451" t="s">
        <v>89</v>
      </c>
      <c r="H451" t="s">
        <v>90</v>
      </c>
      <c r="I451" t="s">
        <v>38</v>
      </c>
      <c r="J451" t="s">
        <v>166</v>
      </c>
      <c r="K451" t="s">
        <v>167</v>
      </c>
      <c r="L451" t="s">
        <v>74</v>
      </c>
      <c r="M451" t="s">
        <v>274</v>
      </c>
      <c r="N451" t="s">
        <v>1449</v>
      </c>
      <c r="O451" t="s">
        <v>31</v>
      </c>
      <c r="P451">
        <v>6</v>
      </c>
      <c r="Q451">
        <v>3270.36</v>
      </c>
      <c r="R451">
        <v>0</v>
      </c>
      <c r="S451">
        <v>19622.16</v>
      </c>
      <c r="T451">
        <v>14271.27</v>
      </c>
      <c r="U451">
        <v>5350.89</v>
      </c>
      <c r="V451" t="s">
        <v>32</v>
      </c>
      <c r="W451" t="s">
        <v>33</v>
      </c>
      <c r="X451" t="str">
        <f>_xlfn.TEXTJOIN("|", TRUE, A451:W451)</f>
        <v>ORD-2024-10450|45449|45456|7|OK|CUST-5094|Aditi Sen|Corporate|East|Assam|Guwahati|Technology|Machines|Basic Machines 808|Second Class|6|3270.36|0|19622.16|14271.27|5350.89|Paid|Completed</v>
      </c>
      <c r="Y451">
        <f>COUNTIF($X$2:$X$1000, X451)</f>
        <v>1</v>
      </c>
      <c r="Z451">
        <f>COUNTIF($A$2:$A$1000, A451)</f>
        <v>1</v>
      </c>
      <c r="AA451" t="str">
        <f>IF(Y451&gt;1, "Exact Duplicate",
  IF(Z451&gt;1, "Conflicting Duplicate - Review",
    "Unique"))</f>
        <v>Unique</v>
      </c>
      <c r="AB451" s="2">
        <f>IF(ISBLANK(R451), 0, IF(ISTEXT(R451), VALUE(SUBSTITUTE(R451, "%", ""))/100, IF(OR(R451&lt;0, R451&gt;1), "Invalid", R451)))</f>
        <v>0</v>
      </c>
      <c r="AC451" s="4">
        <f>IF(AB451="Invalid", "Error", P451 * Q451 * (1 - AB451))</f>
        <v>19622.16</v>
      </c>
      <c r="AD451" s="4">
        <f>IF(AC451="Error", "Error", AC451 - T451)</f>
        <v>5350.8899999999994</v>
      </c>
      <c r="AE451" s="2">
        <f>IF(AC451="Error", "Error", IF(AC451=0, 0, AD451 / AC451))</f>
        <v>0.27269627808559299</v>
      </c>
      <c r="AF451" s="7">
        <f>C451-B451</f>
        <v>7</v>
      </c>
      <c r="AG451" s="2" t="str">
        <f>TEXT(B451, "mmmm")</f>
        <v>June</v>
      </c>
      <c r="AH451" s="4">
        <f>YEAR(B451)</f>
        <v>2024</v>
      </c>
      <c r="AI451" s="2" t="str">
        <f t="shared" ref="AI451:AI514" si="21">IF(OR(R451&lt;0,R451&gt;1),"Invalid: Discount",
IF(AND(I451="Unknown",J451&lt;&gt;""),"Warning: Missing Region",
IF(W451="Cancelled","Excluded from Sales",
IF(V451="Failed","Excluded from Sales",
IF(O451="Unknown","Warning: Missing Shipping Mode",
IF(W451="Refunded","Refund – Separate Summary",
IF(C451&lt;B451,"Invalid Shipping Record",
"Clean")))))))</f>
        <v>Clean</v>
      </c>
      <c r="AJ451">
        <f>COUNTIFS($A$2:$A$1000,A451,$B$2:$B$1000,B451,$C$2:$C$1000,C451,$D$2:$D$1000,D451,$E$2:$E$1000,E451,$F$2:$F$1000,F451)</f>
        <v>1</v>
      </c>
      <c r="AK451">
        <f>COUNTIF($A$2:$A$1000, A451)</f>
        <v>1</v>
      </c>
    </row>
    <row r="452" spans="1:37">
      <c r="A452" t="s">
        <v>1450</v>
      </c>
      <c r="B452" s="5">
        <v>45997</v>
      </c>
      <c r="C452" s="5">
        <v>45827</v>
      </c>
      <c r="D452" s="6">
        <f>IF(AND(C452&lt;&gt;"",B452&lt;&gt;""), C452-B452, "Missing Date")</f>
        <v>-170</v>
      </c>
      <c r="E452" s="6" t="str">
        <f>IF(OR(B452="",C452=""), "Missing Date",
    IF(C452&lt;B452, "Invalid: Ship before Order",
      "OK"))</f>
        <v>Invalid: Ship before Order</v>
      </c>
      <c r="F452" t="s">
        <v>1451</v>
      </c>
      <c r="G452" t="s">
        <v>62</v>
      </c>
      <c r="H452" t="s">
        <v>90</v>
      </c>
      <c r="I452" t="s">
        <v>25</v>
      </c>
      <c r="J452" t="s">
        <v>350</v>
      </c>
      <c r="K452" t="s">
        <v>351</v>
      </c>
      <c r="L452" t="s">
        <v>41</v>
      </c>
      <c r="M452" t="s">
        <v>66</v>
      </c>
      <c r="N452" t="s">
        <v>1452</v>
      </c>
      <c r="O452" t="s">
        <v>59</v>
      </c>
      <c r="P452">
        <v>9</v>
      </c>
      <c r="Q452">
        <v>2278.5700000000002</v>
      </c>
      <c r="R452">
        <v>0.25</v>
      </c>
      <c r="S452">
        <v>15380.35</v>
      </c>
      <c r="T452">
        <v>9907.3700000000008</v>
      </c>
      <c r="U452">
        <v>5472.98</v>
      </c>
      <c r="V452" t="s">
        <v>32</v>
      </c>
      <c r="W452" t="s">
        <v>33</v>
      </c>
      <c r="X452" t="str">
        <f>_xlfn.TEXTJOIN("|", TRUE, A452:W452)</f>
        <v>ORD-2025-10451|45997|45827|-170|Invalid: Ship before Order|CUST-8672|Ananya Rao|Corporate|North|Delhi|New Delhi|Furniture|Chairs|Pro Chairs 302|Standard Class|9|2278.57|0.25|15380.35|9907.37|5472.98|Paid|Completed</v>
      </c>
      <c r="Y452">
        <f>COUNTIF($X$2:$X$1000, X452)</f>
        <v>1</v>
      </c>
      <c r="Z452">
        <f>COUNTIF($A$2:$A$1000, A452)</f>
        <v>1</v>
      </c>
      <c r="AA452" t="str">
        <f>IF(Y452&gt;1, "Exact Duplicate",
  IF(Z452&gt;1, "Conflicting Duplicate - Review",
    "Unique"))</f>
        <v>Unique</v>
      </c>
      <c r="AB452" s="2">
        <f>IF(ISBLANK(R452), 0, IF(ISTEXT(R452), VALUE(SUBSTITUTE(R452, "%", ""))/100, IF(OR(R452&lt;0, R452&gt;1), "Invalid", R452)))</f>
        <v>0.25</v>
      </c>
      <c r="AC452" s="4">
        <f>IF(AB452="Invalid", "Error", P452 * Q452 * (1 - AB452))</f>
        <v>15380.3475</v>
      </c>
      <c r="AD452" s="4">
        <f>IF(AC452="Error", "Error", AC452 - T452)</f>
        <v>5472.9774999999991</v>
      </c>
      <c r="AE452" s="2">
        <f>IF(AC452="Error", "Error", IF(AC452=0, 0, AD452 / AC452))</f>
        <v>0.35584225258889624</v>
      </c>
      <c r="AF452" s="7">
        <f>C452-B452</f>
        <v>-170</v>
      </c>
      <c r="AG452" s="2" t="str">
        <f>TEXT(B452, "mmmm")</f>
        <v>December</v>
      </c>
      <c r="AH452" s="4">
        <f>YEAR(B452)</f>
        <v>2025</v>
      </c>
      <c r="AI452" s="2" t="str">
        <f t="shared" si="21"/>
        <v>Invalid Shipping Record</v>
      </c>
      <c r="AJ452">
        <f>COUNTIFS($A$2:$A$1000,A452,$B$2:$B$1000,B452,$C$2:$C$1000,C452,$D$2:$D$1000,D452,$E$2:$E$1000,E452,$F$2:$F$1000,F452)</f>
        <v>1</v>
      </c>
      <c r="AK452">
        <f>COUNTIF($A$2:$A$1000, A452)</f>
        <v>1</v>
      </c>
    </row>
    <row r="453" spans="1:37">
      <c r="A453" t="s">
        <v>1453</v>
      </c>
      <c r="B453" s="5">
        <v>45375</v>
      </c>
      <c r="C453" s="5">
        <v>45377</v>
      </c>
      <c r="D453" s="6">
        <f>IF(AND(C453&lt;&gt;"",B453&lt;&gt;""), C453-B453, "Missing Date")</f>
        <v>2</v>
      </c>
      <c r="E453" s="6" t="str">
        <f>IF(OR(B453="",C453=""), "Missing Date",
    IF(C453&lt;B453, "Invalid: Ship before Order",
      "OK"))</f>
        <v>OK</v>
      </c>
      <c r="F453" t="s">
        <v>1454</v>
      </c>
      <c r="G453" t="s">
        <v>141</v>
      </c>
      <c r="H453" t="s">
        <v>37</v>
      </c>
      <c r="I453" t="s">
        <v>25</v>
      </c>
      <c r="J453" t="s">
        <v>236</v>
      </c>
      <c r="K453" t="s">
        <v>237</v>
      </c>
      <c r="L453" t="s">
        <v>28</v>
      </c>
      <c r="M453" t="s">
        <v>29</v>
      </c>
      <c r="N453" t="s">
        <v>1455</v>
      </c>
      <c r="O453" t="s">
        <v>31</v>
      </c>
      <c r="P453">
        <v>8</v>
      </c>
      <c r="Q453">
        <v>1917.64</v>
      </c>
      <c r="R453">
        <v>0.15</v>
      </c>
      <c r="S453">
        <v>13039.95</v>
      </c>
      <c r="T453">
        <v>11127.82</v>
      </c>
      <c r="U453">
        <v>1912.13</v>
      </c>
      <c r="V453" t="s">
        <v>32</v>
      </c>
      <c r="W453" t="s">
        <v>68</v>
      </c>
      <c r="X453" t="str">
        <f>_xlfn.TEXTJOIN("|", TRUE, A453:W453)</f>
        <v>ORD-2024-10452|45375|45377|2|OK|CUST-3907|Rohan Mehta|Small Business|North|Haryana|Gurugram|Office Supplies|Paper|Classic Paper 272|Second Class|8|1917.64|0.15|13039.95|11127.82|1912.13|Paid|Cancelled</v>
      </c>
      <c r="Y453">
        <f>COUNTIF($X$2:$X$1000, X453)</f>
        <v>1</v>
      </c>
      <c r="Z453">
        <f>COUNTIF($A$2:$A$1000, A453)</f>
        <v>1</v>
      </c>
      <c r="AA453" t="str">
        <f>IF(Y453&gt;1, "Exact Duplicate",
  IF(Z453&gt;1, "Conflicting Duplicate - Review",
    "Unique"))</f>
        <v>Unique</v>
      </c>
      <c r="AB453" s="2">
        <f>IF(ISBLANK(R453), 0, IF(ISTEXT(R453), VALUE(SUBSTITUTE(R453, "%", ""))/100, IF(OR(R453&lt;0, R453&gt;1), "Invalid", R453)))</f>
        <v>0.15</v>
      </c>
      <c r="AC453" s="4">
        <f>IF(AB453="Invalid", "Error", P453 * Q453 * (1 - AB453))</f>
        <v>13039.952000000001</v>
      </c>
      <c r="AD453" s="4">
        <f>IF(AC453="Error", "Error", AC453 - T453)</f>
        <v>1912.1320000000014</v>
      </c>
      <c r="AE453" s="2">
        <f>IF(AC453="Error", "Error", IF(AC453=0, 0, AD453 / AC453))</f>
        <v>0.1466364293365498</v>
      </c>
      <c r="AF453" s="7">
        <f>C453-B453</f>
        <v>2</v>
      </c>
      <c r="AG453" s="2" t="str">
        <f>TEXT(B453, "mmmm")</f>
        <v>March</v>
      </c>
      <c r="AH453" s="4">
        <f>YEAR(B453)</f>
        <v>2024</v>
      </c>
      <c r="AI453" s="2" t="str">
        <f t="shared" si="21"/>
        <v>Excluded from Sales</v>
      </c>
      <c r="AJ453">
        <f>COUNTIFS($A$2:$A$1000,A453,$B$2:$B$1000,B453,$C$2:$C$1000,C453,$D$2:$D$1000,D453,$E$2:$E$1000,E453,$F$2:$F$1000,F453)</f>
        <v>1</v>
      </c>
      <c r="AK453">
        <f>COUNTIF($A$2:$A$1000, A453)</f>
        <v>1</v>
      </c>
    </row>
    <row r="454" spans="1:37">
      <c r="A454" t="s">
        <v>1456</v>
      </c>
      <c r="B454" s="5">
        <v>45422</v>
      </c>
      <c r="C454" s="5">
        <v>45428</v>
      </c>
      <c r="D454" s="6">
        <f>IF(AND(C454&lt;&gt;"",B454&lt;&gt;""), C454-B454, "Missing Date")</f>
        <v>6</v>
      </c>
      <c r="E454" s="6" t="str">
        <f>IF(OR(B454="",C454=""), "Missing Date",
    IF(C454&lt;B454, "Invalid: Ship before Order",
      "OK"))</f>
        <v>OK</v>
      </c>
      <c r="F454" t="s">
        <v>1457</v>
      </c>
      <c r="G454" t="s">
        <v>162</v>
      </c>
      <c r="H454" t="s">
        <v>95</v>
      </c>
      <c r="I454" t="s">
        <v>38</v>
      </c>
      <c r="J454" t="s">
        <v>228</v>
      </c>
      <c r="K454" t="s">
        <v>229</v>
      </c>
      <c r="L454" t="s">
        <v>74</v>
      </c>
      <c r="M454" t="s">
        <v>75</v>
      </c>
      <c r="N454" t="s">
        <v>1458</v>
      </c>
      <c r="O454" t="s">
        <v>31</v>
      </c>
      <c r="P454">
        <v>6</v>
      </c>
      <c r="Q454">
        <v>2013.33</v>
      </c>
      <c r="R454">
        <v>0.2</v>
      </c>
      <c r="S454">
        <v>9663.98</v>
      </c>
      <c r="T454">
        <v>5628.93</v>
      </c>
      <c r="U454">
        <v>4035.05</v>
      </c>
      <c r="V454" t="s">
        <v>32</v>
      </c>
      <c r="W454" t="s">
        <v>33</v>
      </c>
      <c r="X454" t="str">
        <f>_xlfn.TEXTJOIN("|", TRUE, A454:W454)</f>
        <v>ORD-2024-10453|45422|45428|6|OK|CUST-8796|Diya Patel|Home Office|East|Jharkhand|Ranchi|Technology|Accessories|Smart Accessories 149|Second Class|6|2013.33|0.2|9663.98|5628.93|4035.05|Paid|Completed</v>
      </c>
      <c r="Y454">
        <f>COUNTIF($X$2:$X$1000, X454)</f>
        <v>1</v>
      </c>
      <c r="Z454">
        <f>COUNTIF($A$2:$A$1000, A454)</f>
        <v>1</v>
      </c>
      <c r="AA454" t="str">
        <f>IF(Y454&gt;1, "Exact Duplicate",
  IF(Z454&gt;1, "Conflicting Duplicate - Review",
    "Unique"))</f>
        <v>Unique</v>
      </c>
      <c r="AB454" s="2">
        <f>IF(ISBLANK(R454), 0, IF(ISTEXT(R454), VALUE(SUBSTITUTE(R454, "%", ""))/100, IF(OR(R454&lt;0, R454&gt;1), "Invalid", R454)))</f>
        <v>0.2</v>
      </c>
      <c r="AC454" s="4">
        <f>IF(AB454="Invalid", "Error", P454 * Q454 * (1 - AB454))</f>
        <v>9663.9840000000004</v>
      </c>
      <c r="AD454" s="4">
        <f>IF(AC454="Error", "Error", AC454 - T454)</f>
        <v>4035.0540000000001</v>
      </c>
      <c r="AE454" s="2">
        <f>IF(AC454="Error", "Error", IF(AC454=0, 0, AD454 / AC454))</f>
        <v>0.41753525254180884</v>
      </c>
      <c r="AF454" s="7">
        <f>C454-B454</f>
        <v>6</v>
      </c>
      <c r="AG454" s="2" t="str">
        <f>TEXT(B454, "mmmm")</f>
        <v>May</v>
      </c>
      <c r="AH454" s="4">
        <f>YEAR(B454)</f>
        <v>2024</v>
      </c>
      <c r="AI454" s="2" t="str">
        <f t="shared" si="21"/>
        <v>Clean</v>
      </c>
      <c r="AJ454">
        <f>COUNTIFS($A$2:$A$1000,A454,$B$2:$B$1000,B454,$C$2:$C$1000,C454,$D$2:$D$1000,D454,$E$2:$E$1000,E454,$F$2:$F$1000,F454)</f>
        <v>1</v>
      </c>
      <c r="AK454">
        <f>COUNTIF($A$2:$A$1000, A454)</f>
        <v>1</v>
      </c>
    </row>
    <row r="455" spans="1:37">
      <c r="A455" t="s">
        <v>1459</v>
      </c>
      <c r="B455" s="5">
        <v>45721</v>
      </c>
      <c r="C455" s="5">
        <v>45788</v>
      </c>
      <c r="D455" s="6">
        <f>IF(AND(C455&lt;&gt;"",B455&lt;&gt;""), C455-B455, "Missing Date")</f>
        <v>67</v>
      </c>
      <c r="E455" s="6" t="str">
        <f>IF(OR(B455="",C455=""), "Missing Date",
    IF(C455&lt;B455, "Invalid: Ship before Order",
      "OK"))</f>
        <v>OK</v>
      </c>
      <c r="F455" t="s">
        <v>1460</v>
      </c>
      <c r="G455" t="s">
        <v>141</v>
      </c>
      <c r="H455" t="s">
        <v>37</v>
      </c>
      <c r="I455" t="s">
        <v>63</v>
      </c>
      <c r="J455" t="s">
        <v>72</v>
      </c>
      <c r="K455" t="s">
        <v>73</v>
      </c>
      <c r="L455" t="s">
        <v>28</v>
      </c>
      <c r="M455" t="s">
        <v>91</v>
      </c>
      <c r="N455" t="s">
        <v>1461</v>
      </c>
      <c r="O455" t="s">
        <v>44</v>
      </c>
      <c r="P455">
        <v>5</v>
      </c>
      <c r="Q455">
        <v>1483.52</v>
      </c>
      <c r="R455">
        <v>0</v>
      </c>
      <c r="S455">
        <v>7417.6</v>
      </c>
      <c r="T455">
        <v>4955.8599999999997</v>
      </c>
      <c r="U455">
        <v>2461.7399999999998</v>
      </c>
      <c r="V455" t="s">
        <v>32</v>
      </c>
      <c r="W455" t="s">
        <v>33</v>
      </c>
      <c r="X455" t="str">
        <f>_xlfn.TEXTJOIN("|", TRUE, A455:W455)</f>
        <v>ORD-2025-10454|45721|45788|67|OK|CUST-2317|Rohan Mehta|Small Business|West|Madhya Pradesh|Indore|Office Supplies|Labels|Elite Labels 322|Same Day|5|1483.52|0|7417.6|4955.86|2461.74|Paid|Completed</v>
      </c>
      <c r="Y455">
        <f>COUNTIF($X$2:$X$1000, X455)</f>
        <v>1</v>
      </c>
      <c r="Z455">
        <f>COUNTIF($A$2:$A$1000, A455)</f>
        <v>1</v>
      </c>
      <c r="AA455" t="str">
        <f>IF(Y455&gt;1, "Exact Duplicate",
  IF(Z455&gt;1, "Conflicting Duplicate - Review",
    "Unique"))</f>
        <v>Unique</v>
      </c>
      <c r="AB455" s="2">
        <f>IF(ISBLANK(R455), 0, IF(ISTEXT(R455), VALUE(SUBSTITUTE(R455, "%", ""))/100, IF(OR(R455&lt;0, R455&gt;1), "Invalid", R455)))</f>
        <v>0</v>
      </c>
      <c r="AC455" s="4">
        <f>IF(AB455="Invalid", "Error", P455 * Q455 * (1 - AB455))</f>
        <v>7417.6</v>
      </c>
      <c r="AD455" s="4">
        <f>IF(AC455="Error", "Error", AC455 - T455)</f>
        <v>2461.7400000000007</v>
      </c>
      <c r="AE455" s="2">
        <f>IF(AC455="Error", "Error", IF(AC455=0, 0, AD455 / AC455))</f>
        <v>0.3318782355478862</v>
      </c>
      <c r="AF455" s="7">
        <f>C455-B455</f>
        <v>67</v>
      </c>
      <c r="AG455" s="2" t="str">
        <f>TEXT(B455, "mmmm")</f>
        <v>March</v>
      </c>
      <c r="AH455" s="4">
        <f>YEAR(B455)</f>
        <v>2025</v>
      </c>
      <c r="AI455" s="2" t="str">
        <f t="shared" si="21"/>
        <v>Clean</v>
      </c>
      <c r="AJ455">
        <f>COUNTIFS($A$2:$A$1000,A455,$B$2:$B$1000,B455,$C$2:$C$1000,C455,$D$2:$D$1000,D455,$E$2:$E$1000,E455,$F$2:$F$1000,F455)</f>
        <v>1</v>
      </c>
      <c r="AK455">
        <f>COUNTIF($A$2:$A$1000, A455)</f>
        <v>1</v>
      </c>
    </row>
    <row r="456" spans="1:37">
      <c r="A456" t="s">
        <v>1462</v>
      </c>
      <c r="B456" s="5">
        <v>45739</v>
      </c>
      <c r="C456" s="5">
        <v>45744</v>
      </c>
      <c r="D456" s="6">
        <f>IF(AND(C456&lt;&gt;"",B456&lt;&gt;""), C456-B456, "Missing Date")</f>
        <v>5</v>
      </c>
      <c r="E456" s="6" t="str">
        <f>IF(OR(B456="",C456=""), "Missing Date",
    IF(C456&lt;B456, "Invalid: Ship before Order",
      "OK"))</f>
        <v>OK</v>
      </c>
      <c r="F456" t="s">
        <v>1463</v>
      </c>
      <c r="G456" t="s">
        <v>71</v>
      </c>
      <c r="H456" t="s">
        <v>37</v>
      </c>
      <c r="I456" t="s">
        <v>25</v>
      </c>
      <c r="J456" t="s">
        <v>26</v>
      </c>
      <c r="K456" t="s">
        <v>27</v>
      </c>
      <c r="L456" t="s">
        <v>41</v>
      </c>
      <c r="M456" t="s">
        <v>57</v>
      </c>
      <c r="N456" t="s">
        <v>1464</v>
      </c>
      <c r="O456" t="s">
        <v>59</v>
      </c>
      <c r="P456">
        <v>9</v>
      </c>
      <c r="Q456">
        <v>3298</v>
      </c>
      <c r="R456">
        <v>0.15</v>
      </c>
      <c r="S456">
        <v>25229.7</v>
      </c>
      <c r="T456">
        <v>20170.43</v>
      </c>
      <c r="U456">
        <v>5059.2700000000004</v>
      </c>
      <c r="V456" t="s">
        <v>32</v>
      </c>
      <c r="W456" t="s">
        <v>33</v>
      </c>
      <c r="X456" t="str">
        <f>_xlfn.TEXTJOIN("|", TRUE, A456:W456)</f>
        <v>ORD-2025-10455|45739|45744|5|OK|CUST-8643|Vikram Iyer|Small Business|North|Rajasthan|Jaipur|Furniture|Furnishings|Max Furnishings 821|Standard Class|9|3298|0.15|25229.7|20170.43|5059.27|Paid|Completed</v>
      </c>
      <c r="Y456">
        <f>COUNTIF($X$2:$X$1000, X456)</f>
        <v>1</v>
      </c>
      <c r="Z456">
        <f>COUNTIF($A$2:$A$1000, A456)</f>
        <v>1</v>
      </c>
      <c r="AA456" t="str">
        <f>IF(Y456&gt;1, "Exact Duplicate",
  IF(Z456&gt;1, "Conflicting Duplicate - Review",
    "Unique"))</f>
        <v>Unique</v>
      </c>
      <c r="AB456" s="2">
        <f>IF(ISBLANK(R456), 0, IF(ISTEXT(R456), VALUE(SUBSTITUTE(R456, "%", ""))/100, IF(OR(R456&lt;0, R456&gt;1), "Invalid", R456)))</f>
        <v>0.15</v>
      </c>
      <c r="AC456" s="4">
        <f>IF(AB456="Invalid", "Error", P456 * Q456 * (1 - AB456))</f>
        <v>25229.7</v>
      </c>
      <c r="AD456" s="4">
        <f>IF(AC456="Error", "Error", AC456 - T456)</f>
        <v>5059.2700000000004</v>
      </c>
      <c r="AE456" s="2">
        <f>IF(AC456="Error", "Error", IF(AC456=0, 0, AD456 / AC456))</f>
        <v>0.20052834556098567</v>
      </c>
      <c r="AF456" s="7">
        <f>C456-B456</f>
        <v>5</v>
      </c>
      <c r="AG456" s="2" t="str">
        <f>TEXT(B456, "mmmm")</f>
        <v>March</v>
      </c>
      <c r="AH456" s="4">
        <f>YEAR(B456)</f>
        <v>2025</v>
      </c>
      <c r="AI456" s="2" t="str">
        <f t="shared" si="21"/>
        <v>Clean</v>
      </c>
      <c r="AJ456">
        <f>COUNTIFS($A$2:$A$1000,A456,$B$2:$B$1000,B456,$C$2:$C$1000,C456,$D$2:$D$1000,D456,$E$2:$E$1000,E456,$F$2:$F$1000,F456)</f>
        <v>1</v>
      </c>
      <c r="AK456">
        <f>COUNTIF($A$2:$A$1000, A456)</f>
        <v>1</v>
      </c>
    </row>
    <row r="457" spans="1:37">
      <c r="A457" t="s">
        <v>1465</v>
      </c>
      <c r="B457" s="5">
        <v>45491</v>
      </c>
      <c r="C457" s="5">
        <v>45495</v>
      </c>
      <c r="D457" s="6">
        <f>IF(AND(C457&lt;&gt;"",B457&lt;&gt;""), C457-B457, "Missing Date")</f>
        <v>4</v>
      </c>
      <c r="E457" s="6" t="str">
        <f>IF(OR(B457="",C457=""), "Missing Date",
    IF(C457&lt;B457, "Invalid: Ship before Order",
      "OK"))</f>
        <v>OK</v>
      </c>
      <c r="F457" t="s">
        <v>1466</v>
      </c>
      <c r="G457" t="s">
        <v>79</v>
      </c>
      <c r="H457" t="s">
        <v>37</v>
      </c>
      <c r="I457" t="s">
        <v>54</v>
      </c>
      <c r="J457" t="s">
        <v>55</v>
      </c>
      <c r="K457" t="s">
        <v>56</v>
      </c>
      <c r="L457" t="s">
        <v>28</v>
      </c>
      <c r="M457" t="s">
        <v>48</v>
      </c>
      <c r="N457" t="s">
        <v>1467</v>
      </c>
      <c r="O457" t="s">
        <v>59</v>
      </c>
      <c r="P457">
        <v>4</v>
      </c>
      <c r="Q457">
        <v>808.77</v>
      </c>
      <c r="R457">
        <v>0</v>
      </c>
      <c r="S457">
        <v>3235.08</v>
      </c>
      <c r="T457">
        <v>1848.6</v>
      </c>
      <c r="U457">
        <v>1386.48</v>
      </c>
      <c r="V457" t="s">
        <v>32</v>
      </c>
      <c r="W457" t="s">
        <v>33</v>
      </c>
      <c r="X457" t="str">
        <f>_xlfn.TEXTJOIN("|", TRUE, A457:W457)</f>
        <v>ORD-2024-10456|45491|45495|4|OK|CUST-1800|Neha Gupta|Small Business|South|Telangana|Hyderabad|Office Supplies|Art|Basic Art 556|Standard Class|4|808.77|0|3235.08|1848.6|1386.48|Paid|Completed</v>
      </c>
      <c r="Y457">
        <f>COUNTIF($X$2:$X$1000, X457)</f>
        <v>1</v>
      </c>
      <c r="Z457">
        <f>COUNTIF($A$2:$A$1000, A457)</f>
        <v>1</v>
      </c>
      <c r="AA457" t="str">
        <f>IF(Y457&gt;1, "Exact Duplicate",
  IF(Z457&gt;1, "Conflicting Duplicate - Review",
    "Unique"))</f>
        <v>Unique</v>
      </c>
      <c r="AB457" s="2">
        <f>IF(ISBLANK(R457), 0, IF(ISTEXT(R457), VALUE(SUBSTITUTE(R457, "%", ""))/100, IF(OR(R457&lt;0, R457&gt;1), "Invalid", R457)))</f>
        <v>0</v>
      </c>
      <c r="AC457" s="4">
        <f>IF(AB457="Invalid", "Error", P457 * Q457 * (1 - AB457))</f>
        <v>3235.08</v>
      </c>
      <c r="AD457" s="4">
        <f>IF(AC457="Error", "Error", AC457 - T457)</f>
        <v>1386.48</v>
      </c>
      <c r="AE457" s="2">
        <f>IF(AC457="Error", "Error", IF(AC457=0, 0, AD457 / AC457))</f>
        <v>0.42857672762342819</v>
      </c>
      <c r="AF457" s="7">
        <f>C457-B457</f>
        <v>4</v>
      </c>
      <c r="AG457" s="2" t="str">
        <f>TEXT(B457, "mmmm")</f>
        <v>July</v>
      </c>
      <c r="AH457" s="4">
        <f>YEAR(B457)</f>
        <v>2024</v>
      </c>
      <c r="AI457" s="2" t="str">
        <f t="shared" si="21"/>
        <v>Clean</v>
      </c>
      <c r="AJ457">
        <f>COUNTIFS($A$2:$A$1000,A457,$B$2:$B$1000,B457,$C$2:$C$1000,C457,$D$2:$D$1000,D457,$E$2:$E$1000,E457,$F$2:$F$1000,F457)</f>
        <v>1</v>
      </c>
      <c r="AK457">
        <f>COUNTIF($A$2:$A$1000, A457)</f>
        <v>1</v>
      </c>
    </row>
    <row r="458" spans="1:37">
      <c r="A458" t="s">
        <v>1468</v>
      </c>
      <c r="B458" s="5">
        <v>45342</v>
      </c>
      <c r="C458" s="5">
        <v>45342</v>
      </c>
      <c r="D458" s="6">
        <f>IF(AND(C458&lt;&gt;"",B458&lt;&gt;""), C458-B458, "Missing Date")</f>
        <v>0</v>
      </c>
      <c r="E458" s="6" t="str">
        <f>IF(OR(B458="",C458=""), "Missing Date",
    IF(C458&lt;B458, "Invalid: Ship before Order",
      "OK"))</f>
        <v>OK</v>
      </c>
      <c r="F458" t="s">
        <v>1469</v>
      </c>
      <c r="G458" t="s">
        <v>79</v>
      </c>
      <c r="H458" t="s">
        <v>90</v>
      </c>
      <c r="I458" t="s">
        <v>25</v>
      </c>
      <c r="J458" t="s">
        <v>136</v>
      </c>
      <c r="K458" t="s">
        <v>137</v>
      </c>
      <c r="L458" t="s">
        <v>74</v>
      </c>
      <c r="M458" t="s">
        <v>75</v>
      </c>
      <c r="N458" t="s">
        <v>1470</v>
      </c>
      <c r="O458" t="s">
        <v>44</v>
      </c>
      <c r="P458">
        <v>5</v>
      </c>
      <c r="Q458">
        <v>2604.91</v>
      </c>
      <c r="R458">
        <v>0.15</v>
      </c>
      <c r="S458">
        <v>11070.87</v>
      </c>
      <c r="T458">
        <v>6623.61</v>
      </c>
      <c r="U458">
        <v>4447.26</v>
      </c>
      <c r="V458" t="s">
        <v>32</v>
      </c>
      <c r="W458" t="s">
        <v>103</v>
      </c>
      <c r="X458" t="str">
        <f>_xlfn.TEXTJOIN("|", TRUE, A458:W458)</f>
        <v>ORD-2024-10457|45342|45342|0|OK|CUST-7688|Neha Gupta|Corporate|North|Uttar Pradesh|Noida|Technology|Accessories|Smart Accessories 265|Same Day|5|2604.91|0.15|11070.87|6623.61|4447.26|Paid|Returned</v>
      </c>
      <c r="Y458">
        <f>COUNTIF($X$2:$X$1000, X458)</f>
        <v>1</v>
      </c>
      <c r="Z458">
        <f>COUNTIF($A$2:$A$1000, A458)</f>
        <v>1</v>
      </c>
      <c r="AA458" t="str">
        <f>IF(Y458&gt;1, "Exact Duplicate",
  IF(Z458&gt;1, "Conflicting Duplicate - Review",
    "Unique"))</f>
        <v>Unique</v>
      </c>
      <c r="AB458" s="2">
        <f>IF(ISBLANK(R458), 0, IF(ISTEXT(R458), VALUE(SUBSTITUTE(R458, "%", ""))/100, IF(OR(R458&lt;0, R458&gt;1), "Invalid", R458)))</f>
        <v>0.15</v>
      </c>
      <c r="AC458" s="4">
        <f>IF(AB458="Invalid", "Error", P458 * Q458 * (1 - AB458))</f>
        <v>11070.867499999998</v>
      </c>
      <c r="AD458" s="4">
        <f>IF(AC458="Error", "Error", AC458 - T458)</f>
        <v>4447.2574999999988</v>
      </c>
      <c r="AE458" s="2">
        <f>IF(AC458="Error", "Error", IF(AC458=0, 0, AD458 / AC458))</f>
        <v>0.40170813172499803</v>
      </c>
      <c r="AF458" s="7">
        <f>C458-B458</f>
        <v>0</v>
      </c>
      <c r="AG458" s="2" t="str">
        <f>TEXT(B458, "mmmm")</f>
        <v>February</v>
      </c>
      <c r="AH458" s="4">
        <f>YEAR(B458)</f>
        <v>2024</v>
      </c>
      <c r="AI458" s="2" t="str">
        <f t="shared" si="21"/>
        <v>Clean</v>
      </c>
      <c r="AJ458">
        <f>COUNTIFS($A$2:$A$1000,A458,$B$2:$B$1000,B458,$C$2:$C$1000,C458,$D$2:$D$1000,D458,$E$2:$E$1000,E458,$F$2:$F$1000,F458)</f>
        <v>1</v>
      </c>
      <c r="AK458">
        <f>COUNTIF($A$2:$A$1000, A458)</f>
        <v>1</v>
      </c>
    </row>
    <row r="459" spans="1:37">
      <c r="A459" t="s">
        <v>1471</v>
      </c>
      <c r="B459" s="5">
        <v>45387</v>
      </c>
      <c r="C459" s="5">
        <v>45416</v>
      </c>
      <c r="D459" s="6">
        <f>IF(AND(C459&lt;&gt;"",B459&lt;&gt;""), C459-B459, "Missing Date")</f>
        <v>29</v>
      </c>
      <c r="E459" s="6" t="str">
        <f>IF(OR(B459="",C459=""), "Missing Date",
    IF(C459&lt;B459, "Invalid: Ship before Order",
      "OK"))</f>
        <v>OK</v>
      </c>
      <c r="F459" t="s">
        <v>1472</v>
      </c>
      <c r="G459" t="s">
        <v>36</v>
      </c>
      <c r="H459" t="s">
        <v>37</v>
      </c>
      <c r="I459" t="s">
        <v>63</v>
      </c>
      <c r="J459" t="s">
        <v>190</v>
      </c>
      <c r="K459" t="s">
        <v>191</v>
      </c>
      <c r="L459" t="s">
        <v>41</v>
      </c>
      <c r="M459" t="s">
        <v>42</v>
      </c>
      <c r="N459" t="s">
        <v>1473</v>
      </c>
      <c r="O459" t="s">
        <v>59</v>
      </c>
      <c r="P459">
        <v>7</v>
      </c>
      <c r="Q459">
        <v>2851.51</v>
      </c>
      <c r="R459">
        <v>0</v>
      </c>
      <c r="S459">
        <v>19960.57</v>
      </c>
      <c r="T459">
        <v>16603.599999999999</v>
      </c>
      <c r="U459">
        <v>3356.97</v>
      </c>
      <c r="V459" t="s">
        <v>32</v>
      </c>
      <c r="W459" t="s">
        <v>33</v>
      </c>
      <c r="X459" t="str">
        <f>_xlfn.TEXTJOIN("|", TRUE, A459:W459)</f>
        <v>ORD-2024-10458|45387|45416|29|OK|CUST-4957|Mira Das|Small Business|West|Goa|Panaji|Furniture|Tables|Elite Tables 418|Standard Class|7|2851.51|0|19960.57|16603.6|3356.97|Paid|Completed</v>
      </c>
      <c r="Y459">
        <f>COUNTIF($X$2:$X$1000, X459)</f>
        <v>1</v>
      </c>
      <c r="Z459">
        <f>COUNTIF($A$2:$A$1000, A459)</f>
        <v>1</v>
      </c>
      <c r="AA459" t="str">
        <f>IF(Y459&gt;1, "Exact Duplicate",
  IF(Z459&gt;1, "Conflicting Duplicate - Review",
    "Unique"))</f>
        <v>Unique</v>
      </c>
      <c r="AB459" s="2">
        <f>IF(ISBLANK(R459), 0, IF(ISTEXT(R459), VALUE(SUBSTITUTE(R459, "%", ""))/100, IF(OR(R459&lt;0, R459&gt;1), "Invalid", R459)))</f>
        <v>0</v>
      </c>
      <c r="AC459" s="4">
        <f>IF(AB459="Invalid", "Error", P459 * Q459 * (1 - AB459))</f>
        <v>19960.57</v>
      </c>
      <c r="AD459" s="4">
        <f>IF(AC459="Error", "Error", AC459 - T459)</f>
        <v>3356.9700000000012</v>
      </c>
      <c r="AE459" s="2">
        <f>IF(AC459="Error", "Error", IF(AC459=0, 0, AD459 / AC459))</f>
        <v>0.1681800670020947</v>
      </c>
      <c r="AF459" s="7">
        <f>C459-B459</f>
        <v>29</v>
      </c>
      <c r="AG459" s="2" t="str">
        <f>TEXT(B459, "mmmm")</f>
        <v>April</v>
      </c>
      <c r="AH459" s="4">
        <f>YEAR(B459)</f>
        <v>2024</v>
      </c>
      <c r="AI459" s="2" t="str">
        <f t="shared" si="21"/>
        <v>Clean</v>
      </c>
      <c r="AJ459">
        <f>COUNTIFS($A$2:$A$1000,A459,$B$2:$B$1000,B459,$C$2:$C$1000,C459,$D$2:$D$1000,D459,$E$2:$E$1000,E459,$F$2:$F$1000,F459)</f>
        <v>1</v>
      </c>
      <c r="AK459">
        <f>COUNTIF($A$2:$A$1000, A459)</f>
        <v>1</v>
      </c>
    </row>
    <row r="460" spans="1:37">
      <c r="A460" t="s">
        <v>1474</v>
      </c>
      <c r="B460" s="5">
        <v>45332</v>
      </c>
      <c r="C460" s="5">
        <v>45598</v>
      </c>
      <c r="D460" s="6">
        <f>IF(AND(C460&lt;&gt;"",B460&lt;&gt;""), C460-B460, "Missing Date")</f>
        <v>266</v>
      </c>
      <c r="E460" s="6" t="str">
        <f>IF(OR(B460="",C460=""), "Missing Date",
    IF(C460&lt;B460, "Invalid: Ship before Order",
      "OK"))</f>
        <v>OK</v>
      </c>
      <c r="F460" t="s">
        <v>1475</v>
      </c>
      <c r="G460" t="s">
        <v>23</v>
      </c>
      <c r="H460" t="s">
        <v>90</v>
      </c>
      <c r="I460" t="s">
        <v>25</v>
      </c>
      <c r="J460" t="s">
        <v>26</v>
      </c>
      <c r="K460" t="s">
        <v>27</v>
      </c>
      <c r="L460" t="s">
        <v>74</v>
      </c>
      <c r="M460" t="s">
        <v>171</v>
      </c>
      <c r="N460" t="s">
        <v>1476</v>
      </c>
      <c r="O460" t="s">
        <v>31</v>
      </c>
      <c r="P460">
        <v>3</v>
      </c>
      <c r="Q460">
        <v>3183.72</v>
      </c>
      <c r="R460">
        <v>0.1</v>
      </c>
      <c r="S460">
        <v>8596.0400000000009</v>
      </c>
      <c r="T460">
        <v>5378.16</v>
      </c>
      <c r="U460">
        <v>3217.88</v>
      </c>
      <c r="V460" t="s">
        <v>32</v>
      </c>
      <c r="W460" t="s">
        <v>33</v>
      </c>
      <c r="X460" t="str">
        <f>_xlfn.TEXTJOIN("|", TRUE, A460:W460)</f>
        <v>ORD-2024-10459|45332|45598|266|OK|CUST-1263|Karan Malhotra|Corporate|North|Rajasthan|Jaipur|Technology|Phones|Pro Phones 907|Second Class|3|3183.72|0.1|8596.04|5378.16|3217.88|Paid|Completed</v>
      </c>
      <c r="Y460">
        <f>COUNTIF($X$2:$X$1000, X460)</f>
        <v>1</v>
      </c>
      <c r="Z460">
        <f>COUNTIF($A$2:$A$1000, A460)</f>
        <v>1</v>
      </c>
      <c r="AA460" t="str">
        <f>IF(Y460&gt;1, "Exact Duplicate",
  IF(Z460&gt;1, "Conflicting Duplicate - Review",
    "Unique"))</f>
        <v>Unique</v>
      </c>
      <c r="AB460" s="2">
        <f>IF(ISBLANK(R460), 0, IF(ISTEXT(R460), VALUE(SUBSTITUTE(R460, "%", ""))/100, IF(OR(R460&lt;0, R460&gt;1), "Invalid", R460)))</f>
        <v>0.1</v>
      </c>
      <c r="AC460" s="4">
        <f>IF(AB460="Invalid", "Error", P460 * Q460 * (1 - AB460))</f>
        <v>8596.0439999999999</v>
      </c>
      <c r="AD460" s="4">
        <f>IF(AC460="Error", "Error", AC460 - T460)</f>
        <v>3217.884</v>
      </c>
      <c r="AE460" s="2">
        <f>IF(AC460="Error", "Error", IF(AC460=0, 0, AD460 / AC460))</f>
        <v>0.37434475672762962</v>
      </c>
      <c r="AF460" s="7">
        <f>C460-B460</f>
        <v>266</v>
      </c>
      <c r="AG460" s="2" t="str">
        <f>TEXT(B460, "mmmm")</f>
        <v>February</v>
      </c>
      <c r="AH460" s="4">
        <f>YEAR(B460)</f>
        <v>2024</v>
      </c>
      <c r="AI460" s="2" t="str">
        <f t="shared" si="21"/>
        <v>Clean</v>
      </c>
      <c r="AJ460">
        <f>COUNTIFS($A$2:$A$1000,A460,$B$2:$B$1000,B460,$C$2:$C$1000,C460,$D$2:$D$1000,D460,$E$2:$E$1000,E460,$F$2:$F$1000,F460)</f>
        <v>1</v>
      </c>
      <c r="AK460">
        <f>COUNTIF($A$2:$A$1000, A460)</f>
        <v>1</v>
      </c>
    </row>
    <row r="461" spans="1:37">
      <c r="A461" t="s">
        <v>1477</v>
      </c>
      <c r="B461" s="5">
        <v>45379</v>
      </c>
      <c r="C461" s="5">
        <v>45386</v>
      </c>
      <c r="D461" s="6">
        <f>IF(AND(C461&lt;&gt;"",B461&lt;&gt;""), C461-B461, "Missing Date")</f>
        <v>7</v>
      </c>
      <c r="E461" s="6" t="str">
        <f>IF(OR(B461="",C461=""), "Missing Date",
    IF(C461&lt;B461, "Invalid: Ship before Order",
      "OK"))</f>
        <v>OK</v>
      </c>
      <c r="F461" t="s">
        <v>1478</v>
      </c>
      <c r="G461" t="s">
        <v>62</v>
      </c>
      <c r="H461" t="s">
        <v>95</v>
      </c>
      <c r="I461" t="s">
        <v>63</v>
      </c>
      <c r="J461" t="s">
        <v>190</v>
      </c>
      <c r="K461" t="s">
        <v>191</v>
      </c>
      <c r="L461" t="s">
        <v>28</v>
      </c>
      <c r="M461" t="s">
        <v>29</v>
      </c>
      <c r="N461" t="s">
        <v>1479</v>
      </c>
      <c r="O461" t="s">
        <v>50</v>
      </c>
      <c r="P461">
        <v>3</v>
      </c>
      <c r="Q461">
        <v>1150.92</v>
      </c>
      <c r="R461">
        <v>0</v>
      </c>
      <c r="S461">
        <v>3452.76</v>
      </c>
      <c r="T461">
        <v>2077.96</v>
      </c>
      <c r="U461">
        <v>1374.8</v>
      </c>
      <c r="V461" t="s">
        <v>32</v>
      </c>
      <c r="W461" t="s">
        <v>33</v>
      </c>
      <c r="X461" t="str">
        <f>_xlfn.TEXTJOIN("|", TRUE, A461:W461)</f>
        <v>ORD-2024-10460|45379|45386|7|OK|CUST-4745|Ananya Rao|Home Office|West|Goa|Panaji|Office Supplies|Paper|Basic Paper 233|First Class|3|1150.92|0|3452.76|2077.96|1374.8|Paid|Completed</v>
      </c>
      <c r="Y461">
        <f>COUNTIF($X$2:$X$1000, X461)</f>
        <v>1</v>
      </c>
      <c r="Z461">
        <f>COUNTIF($A$2:$A$1000, A461)</f>
        <v>1</v>
      </c>
      <c r="AA461" t="str">
        <f>IF(Y461&gt;1, "Exact Duplicate",
  IF(Z461&gt;1, "Conflicting Duplicate - Review",
    "Unique"))</f>
        <v>Unique</v>
      </c>
      <c r="AB461" s="2">
        <f>IF(ISBLANK(R461), 0, IF(ISTEXT(R461), VALUE(SUBSTITUTE(R461, "%", ""))/100, IF(OR(R461&lt;0, R461&gt;1), "Invalid", R461)))</f>
        <v>0</v>
      </c>
      <c r="AC461" s="4">
        <f>IF(AB461="Invalid", "Error", P461 * Q461 * (1 - AB461))</f>
        <v>3452.76</v>
      </c>
      <c r="AD461" s="4">
        <f>IF(AC461="Error", "Error", AC461 - T461)</f>
        <v>1374.8000000000002</v>
      </c>
      <c r="AE461" s="2">
        <f>IF(AC461="Error", "Error", IF(AC461=0, 0, AD461 / AC461))</f>
        <v>0.39817421425178701</v>
      </c>
      <c r="AF461" s="7">
        <f>C461-B461</f>
        <v>7</v>
      </c>
      <c r="AG461" s="2" t="str">
        <f>TEXT(B461, "mmmm")</f>
        <v>March</v>
      </c>
      <c r="AH461" s="4">
        <f>YEAR(B461)</f>
        <v>2024</v>
      </c>
      <c r="AI461" s="2" t="str">
        <f t="shared" si="21"/>
        <v>Clean</v>
      </c>
      <c r="AJ461">
        <f>COUNTIFS($A$2:$A$1000,A461,$B$2:$B$1000,B461,$C$2:$C$1000,C461,$D$2:$D$1000,D461,$E$2:$E$1000,E461,$F$2:$F$1000,F461)</f>
        <v>1</v>
      </c>
      <c r="AK461">
        <f>COUNTIF($A$2:$A$1000, A461)</f>
        <v>1</v>
      </c>
    </row>
    <row r="462" spans="1:37">
      <c r="A462" t="s">
        <v>1480</v>
      </c>
      <c r="B462" s="5">
        <v>45930</v>
      </c>
      <c r="C462" s="5">
        <v>45936</v>
      </c>
      <c r="D462" s="6">
        <f>IF(AND(C462&lt;&gt;"",B462&lt;&gt;""), C462-B462, "Missing Date")</f>
        <v>6</v>
      </c>
      <c r="E462" s="6" t="str">
        <f>IF(OR(B462="",C462=""), "Missing Date",
    IF(C462&lt;B462, "Invalid: Ship before Order",
      "OK"))</f>
        <v>OK</v>
      </c>
      <c r="F462" t="s">
        <v>1481</v>
      </c>
      <c r="G462" t="s">
        <v>128</v>
      </c>
      <c r="H462" t="s">
        <v>90</v>
      </c>
      <c r="I462" t="s">
        <v>2762</v>
      </c>
      <c r="J462" t="s">
        <v>26</v>
      </c>
      <c r="K462" t="s">
        <v>27</v>
      </c>
      <c r="L462" t="s">
        <v>74</v>
      </c>
      <c r="M462" t="s">
        <v>80</v>
      </c>
      <c r="N462" t="s">
        <v>1482</v>
      </c>
      <c r="O462" t="s">
        <v>31</v>
      </c>
      <c r="P462">
        <v>9</v>
      </c>
      <c r="Q462">
        <v>1359.88</v>
      </c>
      <c r="R462">
        <v>0.05</v>
      </c>
      <c r="S462">
        <v>11626.97</v>
      </c>
      <c r="T462">
        <v>7394.07</v>
      </c>
      <c r="U462">
        <v>4232.8999999999996</v>
      </c>
      <c r="V462" t="s">
        <v>32</v>
      </c>
      <c r="W462" t="s">
        <v>33</v>
      </c>
      <c r="X462" t="str">
        <f>_xlfn.TEXTJOIN("|", TRUE, A462:W462)</f>
        <v>ORD-2025-10461|45930|45936|6|OK|CUST-5551|Aarav Sharma|Corporate|Unknown|Rajasthan|Jaipur|Technology|Copiers|Eco Copiers 603|Second Class|9|1359.88|0.05|11626.97|7394.07|4232.9|Paid|Completed</v>
      </c>
      <c r="Y462">
        <f>COUNTIF($X$2:$X$1000, X462)</f>
        <v>1</v>
      </c>
      <c r="Z462">
        <f>COUNTIF($A$2:$A$1000, A462)</f>
        <v>1</v>
      </c>
      <c r="AA462" t="str">
        <f>IF(Y462&gt;1, "Exact Duplicate",
  IF(Z462&gt;1, "Conflicting Duplicate - Review",
    "Unique"))</f>
        <v>Unique</v>
      </c>
      <c r="AB462" s="2">
        <f>IF(ISBLANK(R462), 0, IF(ISTEXT(R462), VALUE(SUBSTITUTE(R462, "%", ""))/100, IF(OR(R462&lt;0, R462&gt;1), "Invalid", R462)))</f>
        <v>0.05</v>
      </c>
      <c r="AC462" s="4">
        <f>IF(AB462="Invalid", "Error", P462 * Q462 * (1 - AB462))</f>
        <v>11626.974000000002</v>
      </c>
      <c r="AD462" s="4">
        <f>IF(AC462="Error", "Error", AC462 - T462)</f>
        <v>4232.9040000000023</v>
      </c>
      <c r="AE462" s="2">
        <f>IF(AC462="Error", "Error", IF(AC462=0, 0, AD462 / AC462))</f>
        <v>0.36405895463428417</v>
      </c>
      <c r="AF462" s="7">
        <f>C462-B462</f>
        <v>6</v>
      </c>
      <c r="AG462" s="2" t="str">
        <f>TEXT(B462, "mmmm")</f>
        <v>September</v>
      </c>
      <c r="AH462" s="4">
        <f>YEAR(B462)</f>
        <v>2025</v>
      </c>
      <c r="AI462" s="2" t="str">
        <f t="shared" si="21"/>
        <v>Warning: Missing Region</v>
      </c>
      <c r="AJ462">
        <f>COUNTIFS($A$2:$A$1000,A462,$B$2:$B$1000,B462,$C$2:$C$1000,C462,$D$2:$D$1000,D462,$E$2:$E$1000,E462,$F$2:$F$1000,F462)</f>
        <v>1</v>
      </c>
      <c r="AK462">
        <f>COUNTIF($A$2:$A$1000, A462)</f>
        <v>1</v>
      </c>
    </row>
    <row r="463" spans="1:37">
      <c r="A463" t="s">
        <v>1483</v>
      </c>
      <c r="B463" s="5">
        <v>45802</v>
      </c>
      <c r="C463" s="5">
        <v>45803</v>
      </c>
      <c r="D463" s="6">
        <f>IF(AND(C463&lt;&gt;"",B463&lt;&gt;""), C463-B463, "Missing Date")</f>
        <v>1</v>
      </c>
      <c r="E463" s="6" t="str">
        <f>IF(OR(B463="",C463=""), "Missing Date",
    IF(C463&lt;B463, "Invalid: Ship before Order",
      "OK"))</f>
        <v>OK</v>
      </c>
      <c r="F463" t="s">
        <v>1484</v>
      </c>
      <c r="G463" t="s">
        <v>79</v>
      </c>
      <c r="H463" t="s">
        <v>90</v>
      </c>
      <c r="I463" t="s">
        <v>54</v>
      </c>
      <c r="J463" t="s">
        <v>84</v>
      </c>
      <c r="K463" t="s">
        <v>85</v>
      </c>
      <c r="L463" t="s">
        <v>28</v>
      </c>
      <c r="M463" t="s">
        <v>29</v>
      </c>
      <c r="N463" t="s">
        <v>1485</v>
      </c>
      <c r="O463" t="s">
        <v>59</v>
      </c>
      <c r="P463">
        <v>3</v>
      </c>
      <c r="Q463">
        <v>3378.15</v>
      </c>
      <c r="R463">
        <v>0.15</v>
      </c>
      <c r="S463">
        <v>8614.2800000000007</v>
      </c>
      <c r="T463">
        <v>7052.08</v>
      </c>
      <c r="U463">
        <v>1562.2</v>
      </c>
      <c r="V463" t="s">
        <v>32</v>
      </c>
      <c r="W463" t="s">
        <v>33</v>
      </c>
      <c r="X463" t="str">
        <f>_xlfn.TEXTJOIN("|", TRUE, A463:W463)</f>
        <v>ORD-2025-10462|45802|45803|1|OK|CUST-3659|Neha Gupta|Corporate|South|Andhra Pradesh|Vijayawada|Office Supplies|Paper|Max Paper 700|Standard Class|3|3378.15|0.15|8614.28|7052.08|1562.2|Paid|Completed</v>
      </c>
      <c r="Y463">
        <f>COUNTIF($X$2:$X$1000, X463)</f>
        <v>1</v>
      </c>
      <c r="Z463">
        <f>COUNTIF($A$2:$A$1000, A463)</f>
        <v>1</v>
      </c>
      <c r="AA463" t="str">
        <f>IF(Y463&gt;1, "Exact Duplicate",
  IF(Z463&gt;1, "Conflicting Duplicate - Review",
    "Unique"))</f>
        <v>Unique</v>
      </c>
      <c r="AB463" s="2">
        <f>IF(ISBLANK(R463), 0, IF(ISTEXT(R463), VALUE(SUBSTITUTE(R463, "%", ""))/100, IF(OR(R463&lt;0, R463&gt;1), "Invalid", R463)))</f>
        <v>0.15</v>
      </c>
      <c r="AC463" s="4">
        <f>IF(AB463="Invalid", "Error", P463 * Q463 * (1 - AB463))</f>
        <v>8614.2825000000012</v>
      </c>
      <c r="AD463" s="4">
        <f>IF(AC463="Error", "Error", AC463 - T463)</f>
        <v>1562.2025000000012</v>
      </c>
      <c r="AE463" s="2">
        <f>IF(AC463="Error", "Error", IF(AC463=0, 0, AD463 / AC463))</f>
        <v>0.18135027496486225</v>
      </c>
      <c r="AF463" s="7">
        <f>C463-B463</f>
        <v>1</v>
      </c>
      <c r="AG463" s="2" t="str">
        <f>TEXT(B463, "mmmm")</f>
        <v>May</v>
      </c>
      <c r="AH463" s="4">
        <f>YEAR(B463)</f>
        <v>2025</v>
      </c>
      <c r="AI463" s="2" t="str">
        <f t="shared" si="21"/>
        <v>Clean</v>
      </c>
      <c r="AJ463">
        <f>COUNTIFS($A$2:$A$1000,A463,$B$2:$B$1000,B463,$C$2:$C$1000,C463,$D$2:$D$1000,D463,$E$2:$E$1000,E463,$F$2:$F$1000,F463)</f>
        <v>1</v>
      </c>
      <c r="AK463">
        <f>COUNTIF($A$2:$A$1000, A463)</f>
        <v>1</v>
      </c>
    </row>
    <row r="464" spans="1:37">
      <c r="A464" t="s">
        <v>1486</v>
      </c>
      <c r="B464" s="5">
        <v>45558</v>
      </c>
      <c r="C464" s="5">
        <v>45560</v>
      </c>
      <c r="D464" s="6">
        <f>IF(AND(C464&lt;&gt;"",B464&lt;&gt;""), C464-B464, "Missing Date")</f>
        <v>2</v>
      </c>
      <c r="E464" s="6" t="str">
        <f>IF(OR(B464="",C464=""), "Missing Date",
    IF(C464&lt;B464, "Invalid: Ship before Order",
      "OK"))</f>
        <v>OK</v>
      </c>
      <c r="F464" t="s">
        <v>1487</v>
      </c>
      <c r="G464" t="s">
        <v>128</v>
      </c>
      <c r="H464" t="s">
        <v>95</v>
      </c>
      <c r="I464" t="s">
        <v>25</v>
      </c>
      <c r="J464" t="s">
        <v>350</v>
      </c>
      <c r="K464" t="s">
        <v>351</v>
      </c>
      <c r="L464" t="s">
        <v>28</v>
      </c>
      <c r="M464" t="s">
        <v>153</v>
      </c>
      <c r="N464" t="s">
        <v>1488</v>
      </c>
      <c r="O464" t="s">
        <v>50</v>
      </c>
      <c r="P464">
        <v>2</v>
      </c>
      <c r="Q464">
        <v>1275.1400000000001</v>
      </c>
      <c r="R464">
        <v>0.2</v>
      </c>
      <c r="S464">
        <v>2040.22</v>
      </c>
      <c r="T464">
        <v>1395.71</v>
      </c>
      <c r="U464">
        <v>644.51</v>
      </c>
      <c r="V464" t="s">
        <v>32</v>
      </c>
      <c r="W464" t="s">
        <v>33</v>
      </c>
      <c r="X464" t="str">
        <f>_xlfn.TEXTJOIN("|", TRUE, A464:W464)</f>
        <v>ORD-2024-10463|45558|45560|2|OK|CUST-6594|Aarav Sharma|Home Office|North|Delhi|New Delhi|Office Supplies|Binders|Pro Binders 404|First Class|2|1275.14|0.2|2040.22|1395.71|644.51|Paid|Completed</v>
      </c>
      <c r="Y464">
        <f>COUNTIF($X$2:$X$1000, X464)</f>
        <v>1</v>
      </c>
      <c r="Z464">
        <f>COUNTIF($A$2:$A$1000, A464)</f>
        <v>1</v>
      </c>
      <c r="AA464" t="str">
        <f>IF(Y464&gt;1, "Exact Duplicate",
  IF(Z464&gt;1, "Conflicting Duplicate - Review",
    "Unique"))</f>
        <v>Unique</v>
      </c>
      <c r="AB464" s="2">
        <f>IF(ISBLANK(R464), 0, IF(ISTEXT(R464), VALUE(SUBSTITUTE(R464, "%", ""))/100, IF(OR(R464&lt;0, R464&gt;1), "Invalid", R464)))</f>
        <v>0.2</v>
      </c>
      <c r="AC464" s="4">
        <f>IF(AB464="Invalid", "Error", P464 * Q464 * (1 - AB464))</f>
        <v>2040.2240000000002</v>
      </c>
      <c r="AD464" s="4">
        <f>IF(AC464="Error", "Error", AC464 - T464)</f>
        <v>644.51400000000012</v>
      </c>
      <c r="AE464" s="2">
        <f>IF(AC464="Error", "Error", IF(AC464=0, 0, AD464 / AC464))</f>
        <v>0.31590354784572677</v>
      </c>
      <c r="AF464" s="7">
        <f>C464-B464</f>
        <v>2</v>
      </c>
      <c r="AG464" s="2" t="str">
        <f>TEXT(B464, "mmmm")</f>
        <v>September</v>
      </c>
      <c r="AH464" s="4">
        <f>YEAR(B464)</f>
        <v>2024</v>
      </c>
      <c r="AI464" s="2" t="str">
        <f t="shared" si="21"/>
        <v>Clean</v>
      </c>
      <c r="AJ464">
        <f>COUNTIFS($A$2:$A$1000,A464,$B$2:$B$1000,B464,$C$2:$C$1000,C464,$D$2:$D$1000,D464,$E$2:$E$1000,E464,$F$2:$F$1000,F464)</f>
        <v>1</v>
      </c>
      <c r="AK464">
        <f>COUNTIF($A$2:$A$1000, A464)</f>
        <v>1</v>
      </c>
    </row>
    <row r="465" spans="1:37">
      <c r="A465" t="s">
        <v>1489</v>
      </c>
      <c r="B465" s="5">
        <v>45695</v>
      </c>
      <c r="C465" s="5">
        <v>45696</v>
      </c>
      <c r="D465" s="6">
        <f>IF(AND(C465&lt;&gt;"",B465&lt;&gt;""), C465-B465, "Missing Date")</f>
        <v>1</v>
      </c>
      <c r="E465" s="6" t="str">
        <f>IF(OR(B465="",C465=""), "Missing Date",
    IF(C465&lt;B465, "Invalid: Ship before Order",
      "OK"))</f>
        <v>OK</v>
      </c>
      <c r="F465" t="s">
        <v>1490</v>
      </c>
      <c r="G465" t="s">
        <v>53</v>
      </c>
      <c r="H465" t="s">
        <v>90</v>
      </c>
      <c r="I465" t="s">
        <v>63</v>
      </c>
      <c r="J465" t="s">
        <v>72</v>
      </c>
      <c r="K465" t="s">
        <v>73</v>
      </c>
      <c r="L465" t="s">
        <v>74</v>
      </c>
      <c r="M465" t="s">
        <v>171</v>
      </c>
      <c r="N465" t="s">
        <v>1491</v>
      </c>
      <c r="O465" t="s">
        <v>59</v>
      </c>
      <c r="P465">
        <v>4</v>
      </c>
      <c r="Q465">
        <v>889.5</v>
      </c>
      <c r="R465">
        <v>0.2</v>
      </c>
      <c r="S465">
        <v>2846.4</v>
      </c>
      <c r="T465">
        <v>2132.37</v>
      </c>
      <c r="U465">
        <v>714.03</v>
      </c>
      <c r="V465" t="s">
        <v>32</v>
      </c>
      <c r="W465" t="s">
        <v>33</v>
      </c>
      <c r="X465" t="str">
        <f>_xlfn.TEXTJOIN("|", TRUE, A465:W465)</f>
        <v>ORD-2025-10464|45695|45696|1|OK|CUST-2626|Arjun Bose|Corporate|West|Madhya Pradesh|Indore|Technology|Phones|Eco Phones 208|Standard Class|4|889.5|0.2|2846.4|2132.37|714.03|Paid|Completed</v>
      </c>
      <c r="Y465">
        <f>COUNTIF($X$2:$X$1000, X465)</f>
        <v>1</v>
      </c>
      <c r="Z465">
        <f>COUNTIF($A$2:$A$1000, A465)</f>
        <v>1</v>
      </c>
      <c r="AA465" t="str">
        <f>IF(Y465&gt;1, "Exact Duplicate",
  IF(Z465&gt;1, "Conflicting Duplicate - Review",
    "Unique"))</f>
        <v>Unique</v>
      </c>
      <c r="AB465" s="2">
        <f>IF(ISBLANK(R465), 0, IF(ISTEXT(R465), VALUE(SUBSTITUTE(R465, "%", ""))/100, IF(OR(R465&lt;0, R465&gt;1), "Invalid", R465)))</f>
        <v>0.2</v>
      </c>
      <c r="AC465" s="4">
        <f>IF(AB465="Invalid", "Error", P465 * Q465 * (1 - AB465))</f>
        <v>2846.4</v>
      </c>
      <c r="AD465" s="4">
        <f>IF(AC465="Error", "Error", AC465 - T465)</f>
        <v>714.0300000000002</v>
      </c>
      <c r="AE465" s="2">
        <f>IF(AC465="Error", "Error", IF(AC465=0, 0, AD465 / AC465))</f>
        <v>0.25085370994940986</v>
      </c>
      <c r="AF465" s="7">
        <f>C465-B465</f>
        <v>1</v>
      </c>
      <c r="AG465" s="2" t="str">
        <f>TEXT(B465, "mmmm")</f>
        <v>February</v>
      </c>
      <c r="AH465" s="4">
        <f>YEAR(B465)</f>
        <v>2025</v>
      </c>
      <c r="AI465" s="2" t="str">
        <f t="shared" si="21"/>
        <v>Clean</v>
      </c>
      <c r="AJ465">
        <f>COUNTIFS($A$2:$A$1000,A465,$B$2:$B$1000,B465,$C$2:$C$1000,C465,$D$2:$D$1000,D465,$E$2:$E$1000,E465,$F$2:$F$1000,F465)</f>
        <v>1</v>
      </c>
      <c r="AK465">
        <f>COUNTIF($A$2:$A$1000, A465)</f>
        <v>1</v>
      </c>
    </row>
    <row r="466" spans="1:37">
      <c r="A466" t="s">
        <v>1492</v>
      </c>
      <c r="B466" s="5">
        <v>45727</v>
      </c>
      <c r="C466" s="5">
        <v>45731</v>
      </c>
      <c r="D466" s="6">
        <f>IF(AND(C466&lt;&gt;"",B466&lt;&gt;""), C466-B466, "Missing Date")</f>
        <v>4</v>
      </c>
      <c r="E466" s="6" t="str">
        <f>IF(OR(B466="",C466=""), "Missing Date",
    IF(C466&lt;B466, "Invalid: Ship before Order",
      "OK"))</f>
        <v>OK</v>
      </c>
      <c r="F466" t="s">
        <v>1493</v>
      </c>
      <c r="G466" t="s">
        <v>53</v>
      </c>
      <c r="H466" t="s">
        <v>90</v>
      </c>
      <c r="I466" t="s">
        <v>38</v>
      </c>
      <c r="J466" t="s">
        <v>145</v>
      </c>
      <c r="K466" t="s">
        <v>146</v>
      </c>
      <c r="L466" t="s">
        <v>28</v>
      </c>
      <c r="M466" t="s">
        <v>29</v>
      </c>
      <c r="N466" t="s">
        <v>1494</v>
      </c>
      <c r="O466" t="s">
        <v>44</v>
      </c>
      <c r="P466">
        <v>3</v>
      </c>
      <c r="Q466">
        <v>3625.08</v>
      </c>
      <c r="R466">
        <v>0.05</v>
      </c>
      <c r="S466">
        <v>10331.48</v>
      </c>
      <c r="T466">
        <v>7131.91</v>
      </c>
      <c r="U466">
        <v>3199.57</v>
      </c>
      <c r="V466" t="s">
        <v>111</v>
      </c>
      <c r="W466" t="s">
        <v>68</v>
      </c>
      <c r="X466" t="str">
        <f>_xlfn.TEXTJOIN("|", TRUE, A466:W466)</f>
        <v>ORD-2025-10465|45727|45731|4|OK|CUST-7362|Arjun Bose|Corporate|East|Bihar|Patna|Office Supplies|Paper|Elite Paper 106|Same Day|3|3625.08|0.05|10331.48|7131.91|3199.57|Pending|Cancelled</v>
      </c>
      <c r="Y466">
        <f>COUNTIF($X$2:$X$1000, X466)</f>
        <v>1</v>
      </c>
      <c r="Z466">
        <f>COUNTIF($A$2:$A$1000, A466)</f>
        <v>1</v>
      </c>
      <c r="AA466" t="str">
        <f>IF(Y466&gt;1, "Exact Duplicate",
  IF(Z466&gt;1, "Conflicting Duplicate - Review",
    "Unique"))</f>
        <v>Unique</v>
      </c>
      <c r="AB466" s="2">
        <f>IF(ISBLANK(R466), 0, IF(ISTEXT(R466), VALUE(SUBSTITUTE(R466, "%", ""))/100, IF(OR(R466&lt;0, R466&gt;1), "Invalid", R466)))</f>
        <v>0.05</v>
      </c>
      <c r="AC466" s="4">
        <f>IF(AB466="Invalid", "Error", P466 * Q466 * (1 - AB466))</f>
        <v>10331.477999999999</v>
      </c>
      <c r="AD466" s="4">
        <f>IF(AC466="Error", "Error", AC466 - T466)</f>
        <v>3199.5679999999993</v>
      </c>
      <c r="AE466" s="2">
        <f>IF(AC466="Error", "Error", IF(AC466=0, 0, AD466 / AC466))</f>
        <v>0.30969121746181905</v>
      </c>
      <c r="AF466" s="7">
        <f>C466-B466</f>
        <v>4</v>
      </c>
      <c r="AG466" s="2" t="str">
        <f>TEXT(B466, "mmmm")</f>
        <v>March</v>
      </c>
      <c r="AH466" s="4">
        <f>YEAR(B466)</f>
        <v>2025</v>
      </c>
      <c r="AI466" s="2" t="str">
        <f t="shared" si="21"/>
        <v>Excluded from Sales</v>
      </c>
      <c r="AJ466">
        <f>COUNTIFS($A$2:$A$1000,A466,$B$2:$B$1000,B466,$C$2:$C$1000,C466,$D$2:$D$1000,D466,$E$2:$E$1000,E466,$F$2:$F$1000,F466)</f>
        <v>1</v>
      </c>
      <c r="AK466">
        <f>COUNTIF($A$2:$A$1000, A466)</f>
        <v>1</v>
      </c>
    </row>
    <row r="467" spans="1:37">
      <c r="A467" t="s">
        <v>1495</v>
      </c>
      <c r="B467" s="5">
        <v>45320</v>
      </c>
      <c r="C467" s="5">
        <v>45328</v>
      </c>
      <c r="D467" s="6">
        <f>IF(AND(C467&lt;&gt;"",B467&lt;&gt;""), C467-B467, "Missing Date")</f>
        <v>8</v>
      </c>
      <c r="E467" s="6" t="str">
        <f>IF(OR(B467="",C467=""), "Missing Date",
    IF(C467&lt;B467, "Invalid: Ship before Order",
      "OK"))</f>
        <v>OK</v>
      </c>
      <c r="F467" t="s">
        <v>1496</v>
      </c>
      <c r="G467" t="s">
        <v>128</v>
      </c>
      <c r="H467" t="s">
        <v>37</v>
      </c>
      <c r="I467" t="s">
        <v>63</v>
      </c>
      <c r="J467" t="s">
        <v>72</v>
      </c>
      <c r="K467" t="s">
        <v>73</v>
      </c>
      <c r="L467" t="s">
        <v>28</v>
      </c>
      <c r="M467" t="s">
        <v>91</v>
      </c>
      <c r="N467" t="s">
        <v>1497</v>
      </c>
      <c r="O467" t="s">
        <v>59</v>
      </c>
      <c r="P467">
        <v>2</v>
      </c>
      <c r="Q467">
        <v>1258.9000000000001</v>
      </c>
      <c r="R467">
        <v>0</v>
      </c>
      <c r="S467">
        <v>2517.8000000000002</v>
      </c>
      <c r="T467">
        <v>1478.54</v>
      </c>
      <c r="U467">
        <v>1039.26</v>
      </c>
      <c r="V467" t="s">
        <v>32</v>
      </c>
      <c r="W467" t="s">
        <v>33</v>
      </c>
      <c r="X467" t="str">
        <f>_xlfn.TEXTJOIN("|", TRUE, A467:W467)</f>
        <v>ORD-2024-10466|45320|45328|8|OK|CUST-1748|Aarav Sharma|Small Business|West|Madhya Pradesh|Indore|Office Supplies|Labels|Eco Labels 914|Standard Class|2|1258.9|0|2517.8|1478.54|1039.26|Paid|Completed</v>
      </c>
      <c r="Y467">
        <f>COUNTIF($X$2:$X$1000, X467)</f>
        <v>1</v>
      </c>
      <c r="Z467">
        <f>COUNTIF($A$2:$A$1000, A467)</f>
        <v>1</v>
      </c>
      <c r="AA467" t="str">
        <f>IF(Y467&gt;1, "Exact Duplicate",
  IF(Z467&gt;1, "Conflicting Duplicate - Review",
    "Unique"))</f>
        <v>Unique</v>
      </c>
      <c r="AB467" s="2">
        <f>IF(ISBLANK(R467), 0, IF(ISTEXT(R467), VALUE(SUBSTITUTE(R467, "%", ""))/100, IF(OR(R467&lt;0, R467&gt;1), "Invalid", R467)))</f>
        <v>0</v>
      </c>
      <c r="AC467" s="4">
        <f>IF(AB467="Invalid", "Error", P467 * Q467 * (1 - AB467))</f>
        <v>2517.8000000000002</v>
      </c>
      <c r="AD467" s="4">
        <f>IF(AC467="Error", "Error", AC467 - T467)</f>
        <v>1039.2600000000002</v>
      </c>
      <c r="AE467" s="2">
        <f>IF(AC467="Error", "Error", IF(AC467=0, 0, AD467 / AC467))</f>
        <v>0.41276511239971408</v>
      </c>
      <c r="AF467" s="7">
        <f>C467-B467</f>
        <v>8</v>
      </c>
      <c r="AG467" s="2" t="str">
        <f>TEXT(B467, "mmmm")</f>
        <v>January</v>
      </c>
      <c r="AH467" s="4">
        <f>YEAR(B467)</f>
        <v>2024</v>
      </c>
      <c r="AI467" s="2" t="str">
        <f t="shared" si="21"/>
        <v>Clean</v>
      </c>
      <c r="AJ467">
        <f>COUNTIFS($A$2:$A$1000,A467,$B$2:$B$1000,B467,$C$2:$C$1000,C467,$D$2:$D$1000,D467,$E$2:$E$1000,E467,$F$2:$F$1000,F467)</f>
        <v>1</v>
      </c>
      <c r="AK467">
        <f>COUNTIF($A$2:$A$1000, A467)</f>
        <v>1</v>
      </c>
    </row>
    <row r="468" spans="1:37">
      <c r="A468" t="s">
        <v>1498</v>
      </c>
      <c r="B468" s="5">
        <v>45295</v>
      </c>
      <c r="C468" s="5">
        <v>45505</v>
      </c>
      <c r="D468" s="6">
        <f>IF(AND(C468&lt;&gt;"",B468&lt;&gt;""), C468-B468, "Missing Date")</f>
        <v>210</v>
      </c>
      <c r="E468" s="6" t="str">
        <f>IF(OR(B468="",C468=""), "Missing Date",
    IF(C468&lt;B468, "Invalid: Ship before Order",
      "OK"))</f>
        <v>OK</v>
      </c>
      <c r="F468" t="s">
        <v>1499</v>
      </c>
      <c r="G468" t="s">
        <v>36</v>
      </c>
      <c r="H468" t="s">
        <v>37</v>
      </c>
      <c r="I468" t="s">
        <v>38</v>
      </c>
      <c r="J468" t="s">
        <v>145</v>
      </c>
      <c r="K468" t="s">
        <v>146</v>
      </c>
      <c r="L468" t="s">
        <v>74</v>
      </c>
      <c r="M468" t="s">
        <v>75</v>
      </c>
      <c r="N468" t="s">
        <v>1500</v>
      </c>
      <c r="O468" t="s">
        <v>44</v>
      </c>
      <c r="P468">
        <v>9</v>
      </c>
      <c r="Q468">
        <v>1591.96</v>
      </c>
      <c r="R468">
        <v>0.2</v>
      </c>
      <c r="S468">
        <v>11462.11</v>
      </c>
      <c r="T468">
        <v>7105.48</v>
      </c>
      <c r="U468">
        <v>4356.63</v>
      </c>
      <c r="V468" t="s">
        <v>32</v>
      </c>
      <c r="W468" t="s">
        <v>33</v>
      </c>
      <c r="X468" t="str">
        <f>_xlfn.TEXTJOIN("|", TRUE, A468:W468)</f>
        <v>ORD-2024-10467|45295|45505|210|OK|CUST-2725|Mira Das|Small Business|East|Bihar|Patna|Technology|Accessories|Max Accessories 486|Same Day|9|1591.96|0.2|11462.11|7105.48|4356.63|Paid|Completed</v>
      </c>
      <c r="Y468">
        <f>COUNTIF($X$2:$X$1000, X468)</f>
        <v>1</v>
      </c>
      <c r="Z468">
        <f>COUNTIF($A$2:$A$1000, A468)</f>
        <v>1</v>
      </c>
      <c r="AA468" t="str">
        <f>IF(Y468&gt;1, "Exact Duplicate",
  IF(Z468&gt;1, "Conflicting Duplicate - Review",
    "Unique"))</f>
        <v>Unique</v>
      </c>
      <c r="AB468" s="2">
        <f>IF(ISBLANK(R468), 0, IF(ISTEXT(R468), VALUE(SUBSTITUTE(R468, "%", ""))/100, IF(OR(R468&lt;0, R468&gt;1), "Invalid", R468)))</f>
        <v>0.2</v>
      </c>
      <c r="AC468" s="4">
        <f>IF(AB468="Invalid", "Error", P468 * Q468 * (1 - AB468))</f>
        <v>11462.112000000001</v>
      </c>
      <c r="AD468" s="4">
        <f>IF(AC468="Error", "Error", AC468 - T468)</f>
        <v>4356.6320000000014</v>
      </c>
      <c r="AE468" s="2">
        <f>IF(AC468="Error", "Error", IF(AC468=0, 0, AD468 / AC468))</f>
        <v>0.38008981241851425</v>
      </c>
      <c r="AF468" s="7">
        <f>C468-B468</f>
        <v>210</v>
      </c>
      <c r="AG468" s="2" t="str">
        <f>TEXT(B468, "mmmm")</f>
        <v>January</v>
      </c>
      <c r="AH468" s="4">
        <f>YEAR(B468)</f>
        <v>2024</v>
      </c>
      <c r="AI468" s="2" t="str">
        <f t="shared" si="21"/>
        <v>Clean</v>
      </c>
      <c r="AJ468">
        <f>COUNTIFS($A$2:$A$1000,A468,$B$2:$B$1000,B468,$C$2:$C$1000,C468,$D$2:$D$1000,D468,$E$2:$E$1000,E468,$F$2:$F$1000,F468)</f>
        <v>1</v>
      </c>
      <c r="AK468">
        <f>COUNTIF($A$2:$A$1000, A468)</f>
        <v>1</v>
      </c>
    </row>
    <row r="469" spans="1:37">
      <c r="A469" t="s">
        <v>1501</v>
      </c>
      <c r="B469" s="5">
        <v>45524</v>
      </c>
      <c r="C469" s="5">
        <v>45525</v>
      </c>
      <c r="D469" s="6">
        <f>IF(AND(C469&lt;&gt;"",B469&lt;&gt;""), C469-B469, "Missing Date")</f>
        <v>1</v>
      </c>
      <c r="E469" s="6" t="str">
        <f>IF(OR(B469="",C469=""), "Missing Date",
    IF(C469&lt;B469, "Invalid: Ship before Order",
      "OK"))</f>
        <v>OK</v>
      </c>
      <c r="F469" t="s">
        <v>1502</v>
      </c>
      <c r="G469" t="s">
        <v>89</v>
      </c>
      <c r="H469" t="s">
        <v>90</v>
      </c>
      <c r="I469" t="s">
        <v>38</v>
      </c>
      <c r="J469" t="s">
        <v>39</v>
      </c>
      <c r="K469" t="s">
        <v>40</v>
      </c>
      <c r="L469" t="s">
        <v>74</v>
      </c>
      <c r="M469" t="s">
        <v>80</v>
      </c>
      <c r="N469" t="s">
        <v>1503</v>
      </c>
      <c r="O469" t="s">
        <v>50</v>
      </c>
      <c r="P469">
        <v>5</v>
      </c>
      <c r="Q469">
        <v>4288.33</v>
      </c>
      <c r="R469">
        <v>0.1</v>
      </c>
      <c r="S469">
        <v>19297.490000000002</v>
      </c>
      <c r="T469">
        <v>15451.66</v>
      </c>
      <c r="U469">
        <v>3845.83</v>
      </c>
      <c r="V469" t="s">
        <v>102</v>
      </c>
      <c r="W469" t="s">
        <v>68</v>
      </c>
      <c r="X469" t="str">
        <f>_xlfn.TEXTJOIN("|", TRUE, A469:W469)</f>
        <v>ORD-2024-10468|45524|45525|1|OK|CUST-9470|Aditi Sen|Corporate|East|Odisha|Bhubaneswar|Technology|Copiers|Max Copiers 867|First Class|5|4288.33|0.1|19297.49|15451.66|3845.83|Refunded|Cancelled</v>
      </c>
      <c r="Y469">
        <f>COUNTIF($X$2:$X$1000, X469)</f>
        <v>1</v>
      </c>
      <c r="Z469">
        <f>COUNTIF($A$2:$A$1000, A469)</f>
        <v>1</v>
      </c>
      <c r="AA469" t="str">
        <f>IF(Y469&gt;1, "Exact Duplicate",
  IF(Z469&gt;1, "Conflicting Duplicate - Review",
    "Unique"))</f>
        <v>Unique</v>
      </c>
      <c r="AB469" s="2">
        <f>IF(ISBLANK(R469), 0, IF(ISTEXT(R469), VALUE(SUBSTITUTE(R469, "%", ""))/100, IF(OR(R469&lt;0, R469&gt;1), "Invalid", R469)))</f>
        <v>0.1</v>
      </c>
      <c r="AC469" s="4">
        <f>IF(AB469="Invalid", "Error", P469 * Q469 * (1 - AB469))</f>
        <v>19297.485000000001</v>
      </c>
      <c r="AD469" s="4">
        <f>IF(AC469="Error", "Error", AC469 - T469)</f>
        <v>3845.8250000000007</v>
      </c>
      <c r="AE469" s="2">
        <f>IF(AC469="Error", "Error", IF(AC469=0, 0, AD469 / AC469))</f>
        <v>0.1992915138941681</v>
      </c>
      <c r="AF469" s="7">
        <f>C469-B469</f>
        <v>1</v>
      </c>
      <c r="AG469" s="2" t="str">
        <f>TEXT(B469, "mmmm")</f>
        <v>August</v>
      </c>
      <c r="AH469" s="4">
        <f>YEAR(B469)</f>
        <v>2024</v>
      </c>
      <c r="AI469" s="2" t="str">
        <f t="shared" si="21"/>
        <v>Excluded from Sales</v>
      </c>
      <c r="AJ469">
        <f>COUNTIFS($A$2:$A$1000,A469,$B$2:$B$1000,B469,$C$2:$C$1000,C469,$D$2:$D$1000,D469,$E$2:$E$1000,E469,$F$2:$F$1000,F469)</f>
        <v>1</v>
      </c>
      <c r="AK469">
        <f>COUNTIF($A$2:$A$1000, A469)</f>
        <v>1</v>
      </c>
    </row>
    <row r="470" spans="1:37">
      <c r="A470" t="s">
        <v>1504</v>
      </c>
      <c r="B470" s="5">
        <v>45666</v>
      </c>
      <c r="C470" s="5">
        <v>45664</v>
      </c>
      <c r="D470" s="6">
        <f>IF(AND(C470&lt;&gt;"",B470&lt;&gt;""), C470-B470, "Missing Date")</f>
        <v>-2</v>
      </c>
      <c r="E470" s="6" t="str">
        <f>IF(OR(B470="",C470=""), "Missing Date",
    IF(C470&lt;B470, "Invalid: Ship before Order",
      "OK"))</f>
        <v>Invalid: Ship before Order</v>
      </c>
      <c r="F470" t="s">
        <v>1505</v>
      </c>
      <c r="G470" t="s">
        <v>128</v>
      </c>
      <c r="H470" t="s">
        <v>95</v>
      </c>
      <c r="I470" t="s">
        <v>38</v>
      </c>
      <c r="J470" t="s">
        <v>99</v>
      </c>
      <c r="K470" t="s">
        <v>100</v>
      </c>
      <c r="L470" t="s">
        <v>28</v>
      </c>
      <c r="M470" t="s">
        <v>153</v>
      </c>
      <c r="N470" t="s">
        <v>1506</v>
      </c>
      <c r="O470" t="s">
        <v>31</v>
      </c>
      <c r="P470">
        <v>3</v>
      </c>
      <c r="Q470">
        <v>2188.33</v>
      </c>
      <c r="R470">
        <v>0</v>
      </c>
      <c r="S470">
        <v>6564.99</v>
      </c>
      <c r="T470">
        <v>5407.24</v>
      </c>
      <c r="U470">
        <v>1157.75</v>
      </c>
      <c r="V470" t="s">
        <v>32</v>
      </c>
      <c r="W470" t="s">
        <v>33</v>
      </c>
      <c r="X470" t="str">
        <f>_xlfn.TEXTJOIN("|", TRUE, A470:W470)</f>
        <v>ORD-2025-10469|45666|45664|-2|Invalid: Ship before Order|CUST-4176|Aarav Sharma|Home Office|East|West Bengal|Kolkata|Office Supplies|Binders|Pro Binders 555|Second Class|3|2188.33|0|6564.99|5407.24|1157.75|Paid|Completed</v>
      </c>
      <c r="Y470">
        <f>COUNTIF($X$2:$X$1000, X470)</f>
        <v>1</v>
      </c>
      <c r="Z470">
        <f>COUNTIF($A$2:$A$1000, A470)</f>
        <v>1</v>
      </c>
      <c r="AA470" t="str">
        <f>IF(Y470&gt;1, "Exact Duplicate",
  IF(Z470&gt;1, "Conflicting Duplicate - Review",
    "Unique"))</f>
        <v>Unique</v>
      </c>
      <c r="AB470" s="2">
        <f>IF(ISBLANK(R470), 0, IF(ISTEXT(R470), VALUE(SUBSTITUTE(R470, "%", ""))/100, IF(OR(R470&lt;0, R470&gt;1), "Invalid", R470)))</f>
        <v>0</v>
      </c>
      <c r="AC470" s="4">
        <f>IF(AB470="Invalid", "Error", P470 * Q470 * (1 - AB470))</f>
        <v>6564.99</v>
      </c>
      <c r="AD470" s="4">
        <f>IF(AC470="Error", "Error", AC470 - T470)</f>
        <v>1157.75</v>
      </c>
      <c r="AE470" s="2">
        <f>IF(AC470="Error", "Error", IF(AC470=0, 0, AD470 / AC470))</f>
        <v>0.17635213458055535</v>
      </c>
      <c r="AF470" s="7">
        <f>C470-B470</f>
        <v>-2</v>
      </c>
      <c r="AG470" s="2" t="str">
        <f>TEXT(B470, "mmmm")</f>
        <v>January</v>
      </c>
      <c r="AH470" s="4">
        <f>YEAR(B470)</f>
        <v>2025</v>
      </c>
      <c r="AI470" s="2" t="str">
        <f t="shared" si="21"/>
        <v>Invalid Shipping Record</v>
      </c>
      <c r="AJ470">
        <f>COUNTIFS($A$2:$A$1000,A470,$B$2:$B$1000,B470,$C$2:$C$1000,C470,$D$2:$D$1000,D470,$E$2:$E$1000,E470,$F$2:$F$1000,F470)</f>
        <v>1</v>
      </c>
      <c r="AK470">
        <f>COUNTIF($A$2:$A$1000, A470)</f>
        <v>1</v>
      </c>
    </row>
    <row r="471" spans="1:37">
      <c r="A471" t="s">
        <v>1507</v>
      </c>
      <c r="B471" s="5">
        <v>45310</v>
      </c>
      <c r="C471" s="5">
        <v>45316</v>
      </c>
      <c r="D471" s="6">
        <f>IF(AND(C471&lt;&gt;"",B471&lt;&gt;""), C471-B471, "Missing Date")</f>
        <v>6</v>
      </c>
      <c r="E471" s="6" t="str">
        <f>IF(OR(B471="",C471=""), "Missing Date",
    IF(C471&lt;B471, "Invalid: Ship before Order",
      "OK"))</f>
        <v>OK</v>
      </c>
      <c r="F471" t="s">
        <v>1508</v>
      </c>
      <c r="G471" t="s">
        <v>89</v>
      </c>
      <c r="H471" t="s">
        <v>90</v>
      </c>
      <c r="I471" t="s">
        <v>63</v>
      </c>
      <c r="J471" t="s">
        <v>190</v>
      </c>
      <c r="K471" t="s">
        <v>191</v>
      </c>
      <c r="L471" t="s">
        <v>74</v>
      </c>
      <c r="M471" t="s">
        <v>80</v>
      </c>
      <c r="N471" t="s">
        <v>1509</v>
      </c>
      <c r="O471" t="s">
        <v>50</v>
      </c>
      <c r="P471">
        <v>3</v>
      </c>
      <c r="Q471">
        <v>1041.6600000000001</v>
      </c>
      <c r="R471">
        <v>0.1</v>
      </c>
      <c r="S471">
        <v>2812.48</v>
      </c>
      <c r="T471">
        <v>2282.12</v>
      </c>
      <c r="U471">
        <v>530.36</v>
      </c>
      <c r="V471" t="s">
        <v>32</v>
      </c>
      <c r="W471" t="s">
        <v>33</v>
      </c>
      <c r="X471" t="str">
        <f>_xlfn.TEXTJOIN("|", TRUE, A471:W471)</f>
        <v>ORD-2024-10470|45310|45316|6|OK|CUST-3448|Aditi Sen|Corporate|West|Goa|Panaji|Technology|Copiers|Pro Copiers 971|First Class|3|1041.66|0.1|2812.48|2282.12|530.36|Paid|Completed</v>
      </c>
      <c r="Y471">
        <f>COUNTIF($X$2:$X$1000, X471)</f>
        <v>1</v>
      </c>
      <c r="Z471">
        <f>COUNTIF($A$2:$A$1000, A471)</f>
        <v>1</v>
      </c>
      <c r="AA471" t="str">
        <f>IF(Y471&gt;1, "Exact Duplicate",
  IF(Z471&gt;1, "Conflicting Duplicate - Review",
    "Unique"))</f>
        <v>Unique</v>
      </c>
      <c r="AB471" s="2">
        <f>IF(ISBLANK(R471), 0, IF(ISTEXT(R471), VALUE(SUBSTITUTE(R471, "%", ""))/100, IF(OR(R471&lt;0, R471&gt;1), "Invalid", R471)))</f>
        <v>0.1</v>
      </c>
      <c r="AC471" s="4">
        <f>IF(AB471="Invalid", "Error", P471 * Q471 * (1 - AB471))</f>
        <v>2812.4820000000004</v>
      </c>
      <c r="AD471" s="4">
        <f>IF(AC471="Error", "Error", AC471 - T471)</f>
        <v>530.36200000000053</v>
      </c>
      <c r="AE471" s="2">
        <f>IF(AC471="Error", "Error", IF(AC471=0, 0, AD471 / AC471))</f>
        <v>0.18857436243147527</v>
      </c>
      <c r="AF471" s="7">
        <f>C471-B471</f>
        <v>6</v>
      </c>
      <c r="AG471" s="2" t="str">
        <f>TEXT(B471, "mmmm")</f>
        <v>January</v>
      </c>
      <c r="AH471" s="4">
        <f>YEAR(B471)</f>
        <v>2024</v>
      </c>
      <c r="AI471" s="2" t="str">
        <f t="shared" si="21"/>
        <v>Clean</v>
      </c>
      <c r="AJ471">
        <f>COUNTIFS($A$2:$A$1000,A471,$B$2:$B$1000,B471,$C$2:$C$1000,C471,$D$2:$D$1000,D471,$E$2:$E$1000,E471,$F$2:$F$1000,F471)</f>
        <v>1</v>
      </c>
      <c r="AK471">
        <f>COUNTIF($A$2:$A$1000, A471)</f>
        <v>1</v>
      </c>
    </row>
    <row r="472" spans="1:37">
      <c r="A472" t="s">
        <v>1510</v>
      </c>
      <c r="B472" s="5">
        <v>45501</v>
      </c>
      <c r="C472" s="5">
        <v>45504</v>
      </c>
      <c r="D472" s="6">
        <f>IF(AND(C472&lt;&gt;"",B472&lt;&gt;""), C472-B472, "Missing Date")</f>
        <v>3</v>
      </c>
      <c r="E472" s="6" t="str">
        <f>IF(OR(B472="",C472=""), "Missing Date",
    IF(C472&lt;B472, "Invalid: Ship before Order",
      "OK"))</f>
        <v>OK</v>
      </c>
      <c r="F472" t="s">
        <v>1511</v>
      </c>
      <c r="G472" t="s">
        <v>89</v>
      </c>
      <c r="H472" t="s">
        <v>24</v>
      </c>
      <c r="I472" t="s">
        <v>25</v>
      </c>
      <c r="J472" t="s">
        <v>26</v>
      </c>
      <c r="K472" t="s">
        <v>27</v>
      </c>
      <c r="L472" t="s">
        <v>41</v>
      </c>
      <c r="M472" t="s">
        <v>42</v>
      </c>
      <c r="N472" t="s">
        <v>1512</v>
      </c>
      <c r="O472" t="s">
        <v>44</v>
      </c>
      <c r="P472">
        <v>2</v>
      </c>
      <c r="Q472">
        <v>4424.78</v>
      </c>
      <c r="R472">
        <v>0.2</v>
      </c>
      <c r="S472">
        <v>7079.65</v>
      </c>
      <c r="T472">
        <v>4465.91</v>
      </c>
      <c r="U472">
        <v>2613.7399999999998</v>
      </c>
      <c r="V472" t="s">
        <v>32</v>
      </c>
      <c r="W472" t="s">
        <v>33</v>
      </c>
      <c r="X472" t="str">
        <f>_xlfn.TEXTJOIN("|", TRUE, A472:W472)</f>
        <v>ORD-2024-10471|45501|45504|3|OK|CUST-4970|Aditi Sen|Consumer|North|Rajasthan|Jaipur|Furniture|Tables|Pro Tables 833|Same Day|2|4424.78|0.2|7079.65|4465.91|2613.74|Paid|Completed</v>
      </c>
      <c r="Y472">
        <f>COUNTIF($X$2:$X$1000, X472)</f>
        <v>1</v>
      </c>
      <c r="Z472">
        <f>COUNTIF($A$2:$A$1000, A472)</f>
        <v>1</v>
      </c>
      <c r="AA472" t="str">
        <f>IF(Y472&gt;1, "Exact Duplicate",
  IF(Z472&gt;1, "Conflicting Duplicate - Review",
    "Unique"))</f>
        <v>Unique</v>
      </c>
      <c r="AB472" s="2">
        <f>IF(ISBLANK(R472), 0, IF(ISTEXT(R472), VALUE(SUBSTITUTE(R472, "%", ""))/100, IF(OR(R472&lt;0, R472&gt;1), "Invalid", R472)))</f>
        <v>0.2</v>
      </c>
      <c r="AC472" s="4">
        <f>IF(AB472="Invalid", "Error", P472 * Q472 * (1 - AB472))</f>
        <v>7079.6480000000001</v>
      </c>
      <c r="AD472" s="4">
        <f>IF(AC472="Error", "Error", AC472 - T472)</f>
        <v>2613.7380000000003</v>
      </c>
      <c r="AE472" s="2">
        <f>IF(AC472="Error", "Error", IF(AC472=0, 0, AD472 / AC472))</f>
        <v>0.36919038912669105</v>
      </c>
      <c r="AF472" s="7">
        <f>C472-B472</f>
        <v>3</v>
      </c>
      <c r="AG472" s="2" t="str">
        <f>TEXT(B472, "mmmm")</f>
        <v>July</v>
      </c>
      <c r="AH472" s="4">
        <f>YEAR(B472)</f>
        <v>2024</v>
      </c>
      <c r="AI472" s="2" t="str">
        <f t="shared" si="21"/>
        <v>Clean</v>
      </c>
      <c r="AJ472">
        <f>COUNTIFS($A$2:$A$1000,A472,$B$2:$B$1000,B472,$C$2:$C$1000,C472,$D$2:$D$1000,D472,$E$2:$E$1000,E472,$F$2:$F$1000,F472)</f>
        <v>1</v>
      </c>
      <c r="AK472">
        <f>COUNTIF($A$2:$A$1000, A472)</f>
        <v>1</v>
      </c>
    </row>
    <row r="473" spans="1:37">
      <c r="A473" t="s">
        <v>1513</v>
      </c>
      <c r="B473" s="5">
        <v>45333</v>
      </c>
      <c r="C473" s="5">
        <v>45337</v>
      </c>
      <c r="D473" s="6">
        <f>IF(AND(C473&lt;&gt;"",B473&lt;&gt;""), C473-B473, "Missing Date")</f>
        <v>4</v>
      </c>
      <c r="E473" s="6" t="str">
        <f>IF(OR(B473="",C473=""), "Missing Date",
    IF(C473&lt;B473, "Invalid: Ship before Order",
      "OK"))</f>
        <v>OK</v>
      </c>
      <c r="F473" t="s">
        <v>1514</v>
      </c>
      <c r="G473" t="s">
        <v>264</v>
      </c>
      <c r="H473" t="s">
        <v>24</v>
      </c>
      <c r="I473" t="s">
        <v>54</v>
      </c>
      <c r="J473" t="s">
        <v>55</v>
      </c>
      <c r="K473" t="s">
        <v>56</v>
      </c>
      <c r="L473" t="s">
        <v>28</v>
      </c>
      <c r="M473" t="s">
        <v>153</v>
      </c>
      <c r="N473" t="s">
        <v>1515</v>
      </c>
      <c r="O473" t="s">
        <v>59</v>
      </c>
      <c r="P473">
        <v>3</v>
      </c>
      <c r="Q473">
        <v>3019.14</v>
      </c>
      <c r="R473">
        <v>0.25</v>
      </c>
      <c r="S473">
        <v>6793.07</v>
      </c>
      <c r="T473">
        <v>4985.22</v>
      </c>
      <c r="U473">
        <v>1807.85</v>
      </c>
      <c r="V473" t="s">
        <v>32</v>
      </c>
      <c r="W473" t="s">
        <v>33</v>
      </c>
      <c r="X473" t="str">
        <f>_xlfn.TEXTJOIN("|", TRUE, A473:W473)</f>
        <v>ORD-2024-10472|45333|45337|4|OK|CUST-6147|Kabir Singh|Consumer|South|Telangana|Hyderabad|Office Supplies|Binders|Prime Binders 497|Standard Class|3|3019.14|0.25|6793.07|4985.22|1807.85|Paid|Completed</v>
      </c>
      <c r="Y473">
        <f>COUNTIF($X$2:$X$1000, X473)</f>
        <v>1</v>
      </c>
      <c r="Z473">
        <f>COUNTIF($A$2:$A$1000, A473)</f>
        <v>1</v>
      </c>
      <c r="AA473" t="str">
        <f>IF(Y473&gt;1, "Exact Duplicate",
  IF(Z473&gt;1, "Conflicting Duplicate - Review",
    "Unique"))</f>
        <v>Unique</v>
      </c>
      <c r="AB473" s="2">
        <f>IF(ISBLANK(R473), 0, IF(ISTEXT(R473), VALUE(SUBSTITUTE(R473, "%", ""))/100, IF(OR(R473&lt;0, R473&gt;1), "Invalid", R473)))</f>
        <v>0.25</v>
      </c>
      <c r="AC473" s="4">
        <f>IF(AB473="Invalid", "Error", P473 * Q473 * (1 - AB473))</f>
        <v>6793.0650000000005</v>
      </c>
      <c r="AD473" s="4">
        <f>IF(AC473="Error", "Error", AC473 - T473)</f>
        <v>1807.8450000000003</v>
      </c>
      <c r="AE473" s="2">
        <f>IF(AC473="Error", "Error", IF(AC473=0, 0, AD473 / AC473))</f>
        <v>0.26613097327936652</v>
      </c>
      <c r="AF473" s="7">
        <f>C473-B473</f>
        <v>4</v>
      </c>
      <c r="AG473" s="2" t="str">
        <f>TEXT(B473, "mmmm")</f>
        <v>February</v>
      </c>
      <c r="AH473" s="4">
        <f>YEAR(B473)</f>
        <v>2024</v>
      </c>
      <c r="AI473" s="2" t="str">
        <f t="shared" si="21"/>
        <v>Clean</v>
      </c>
      <c r="AJ473">
        <f>COUNTIFS($A$2:$A$1000,A473,$B$2:$B$1000,B473,$C$2:$C$1000,C473,$D$2:$D$1000,D473,$E$2:$E$1000,E473,$F$2:$F$1000,F473)</f>
        <v>1</v>
      </c>
      <c r="AK473">
        <f>COUNTIF($A$2:$A$1000, A473)</f>
        <v>1</v>
      </c>
    </row>
    <row r="474" spans="1:37">
      <c r="A474" t="s">
        <v>1516</v>
      </c>
      <c r="B474" s="5">
        <v>45353</v>
      </c>
      <c r="C474" s="5">
        <v>45476</v>
      </c>
      <c r="D474" s="6">
        <f>IF(AND(C474&lt;&gt;"",B474&lt;&gt;""), C474-B474, "Missing Date")</f>
        <v>123</v>
      </c>
      <c r="E474" s="6" t="str">
        <f>IF(OR(B474="",C474=""), "Missing Date",
    IF(C474&lt;B474, "Invalid: Ship before Order",
      "OK"))</f>
        <v>OK</v>
      </c>
      <c r="F474" t="s">
        <v>1517</v>
      </c>
      <c r="G474" t="s">
        <v>141</v>
      </c>
      <c r="H474" t="s">
        <v>90</v>
      </c>
      <c r="I474" t="s">
        <v>38</v>
      </c>
      <c r="J474" t="s">
        <v>39</v>
      </c>
      <c r="K474" t="s">
        <v>40</v>
      </c>
      <c r="L474" t="s">
        <v>28</v>
      </c>
      <c r="M474" t="s">
        <v>124</v>
      </c>
      <c r="N474" t="s">
        <v>1518</v>
      </c>
      <c r="O474" t="s">
        <v>59</v>
      </c>
      <c r="P474">
        <v>7</v>
      </c>
      <c r="Q474">
        <v>263.45999999999998</v>
      </c>
      <c r="R474">
        <v>0</v>
      </c>
      <c r="S474">
        <v>1844.22</v>
      </c>
      <c r="T474">
        <v>1094.21</v>
      </c>
      <c r="U474">
        <v>750.01</v>
      </c>
      <c r="V474" t="s">
        <v>32</v>
      </c>
      <c r="W474" t="s">
        <v>33</v>
      </c>
      <c r="X474" t="str">
        <f>_xlfn.TEXTJOIN("|", TRUE, A474:W474)</f>
        <v>ORD-2024-10473|45353|45476|123|OK|CUST-7208|Rohan Mehta|Corporate|East|Odisha|Bhubaneswar|Office Supplies|Storage|Pro Storage 756|Standard Class|7|263.46|0|1844.22|1094.21|750.01|Paid|Completed</v>
      </c>
      <c r="Y474">
        <f>COUNTIF($X$2:$X$1000, X474)</f>
        <v>1</v>
      </c>
      <c r="Z474">
        <f>COUNTIF($A$2:$A$1000, A474)</f>
        <v>1</v>
      </c>
      <c r="AA474" t="str">
        <f>IF(Y474&gt;1, "Exact Duplicate",
  IF(Z474&gt;1, "Conflicting Duplicate - Review",
    "Unique"))</f>
        <v>Unique</v>
      </c>
      <c r="AB474" s="2">
        <f>IF(ISBLANK(R474), 0, IF(ISTEXT(R474), VALUE(SUBSTITUTE(R474, "%", ""))/100, IF(OR(R474&lt;0, R474&gt;1), "Invalid", R474)))</f>
        <v>0</v>
      </c>
      <c r="AC474" s="4">
        <f>IF(AB474="Invalid", "Error", P474 * Q474 * (1 - AB474))</f>
        <v>1844.2199999999998</v>
      </c>
      <c r="AD474" s="4">
        <f>IF(AC474="Error", "Error", AC474 - T474)</f>
        <v>750.00999999999976</v>
      </c>
      <c r="AE474" s="2">
        <f>IF(AC474="Error", "Error", IF(AC474=0, 0, AD474 / AC474))</f>
        <v>0.40668141544934977</v>
      </c>
      <c r="AF474" s="7">
        <f>C474-B474</f>
        <v>123</v>
      </c>
      <c r="AG474" s="2" t="str">
        <f>TEXT(B474, "mmmm")</f>
        <v>March</v>
      </c>
      <c r="AH474" s="4">
        <f>YEAR(B474)</f>
        <v>2024</v>
      </c>
      <c r="AI474" s="2" t="str">
        <f t="shared" si="21"/>
        <v>Clean</v>
      </c>
      <c r="AJ474">
        <f>COUNTIFS($A$2:$A$1000,A474,$B$2:$B$1000,B474,$C$2:$C$1000,C474,$D$2:$D$1000,D474,$E$2:$E$1000,E474,$F$2:$F$1000,F474)</f>
        <v>1</v>
      </c>
      <c r="AK474">
        <f>COUNTIF($A$2:$A$1000, A474)</f>
        <v>1</v>
      </c>
    </row>
    <row r="475" spans="1:37">
      <c r="A475" t="s">
        <v>1519</v>
      </c>
      <c r="B475" s="5">
        <v>45609</v>
      </c>
      <c r="C475" s="5">
        <v>45609</v>
      </c>
      <c r="D475" s="6">
        <f>IF(AND(C475&lt;&gt;"",B475&lt;&gt;""), C475-B475, "Missing Date")</f>
        <v>0</v>
      </c>
      <c r="E475" s="6" t="str">
        <f>IF(OR(B475="",C475=""), "Missing Date",
    IF(C475&lt;B475, "Invalid: Ship before Order",
      "OK"))</f>
        <v>OK</v>
      </c>
      <c r="F475" t="s">
        <v>1520</v>
      </c>
      <c r="G475" t="s">
        <v>114</v>
      </c>
      <c r="H475" t="s">
        <v>24</v>
      </c>
      <c r="I475" t="s">
        <v>63</v>
      </c>
      <c r="J475" t="s">
        <v>190</v>
      </c>
      <c r="K475" t="s">
        <v>191</v>
      </c>
      <c r="L475" t="s">
        <v>74</v>
      </c>
      <c r="M475" t="s">
        <v>80</v>
      </c>
      <c r="N475" t="s">
        <v>1521</v>
      </c>
      <c r="O475" t="s">
        <v>59</v>
      </c>
      <c r="P475">
        <v>6</v>
      </c>
      <c r="Q475">
        <v>191.45</v>
      </c>
      <c r="R475">
        <v>0.2</v>
      </c>
      <c r="S475">
        <v>918.96</v>
      </c>
      <c r="T475">
        <v>554.17999999999995</v>
      </c>
      <c r="U475">
        <v>364.78</v>
      </c>
      <c r="V475" t="s">
        <v>32</v>
      </c>
      <c r="W475" t="s">
        <v>33</v>
      </c>
      <c r="X475" t="str">
        <f>_xlfn.TEXTJOIN("|", TRUE, A475:W475)</f>
        <v>ORD-2024-10474|45609|45609|0|OK|CUST-2794|Priya Menon|Consumer|West|Goa|Panaji|Technology|Copiers|Max Copiers 829|Standard Class|6|191.45|0.2|918.96|554.18|364.78|Paid|Completed</v>
      </c>
      <c r="Y475">
        <f>COUNTIF($X$2:$X$1000, X475)</f>
        <v>1</v>
      </c>
      <c r="Z475">
        <f>COUNTIF($A$2:$A$1000, A475)</f>
        <v>1</v>
      </c>
      <c r="AA475" t="str">
        <f>IF(Y475&gt;1, "Exact Duplicate",
  IF(Z475&gt;1, "Conflicting Duplicate - Review",
    "Unique"))</f>
        <v>Unique</v>
      </c>
      <c r="AB475" s="2">
        <f>IF(ISBLANK(R475), 0, IF(ISTEXT(R475), VALUE(SUBSTITUTE(R475, "%", ""))/100, IF(OR(R475&lt;0, R475&gt;1), "Invalid", R475)))</f>
        <v>0.2</v>
      </c>
      <c r="AC475" s="4">
        <f>IF(AB475="Invalid", "Error", P475 * Q475 * (1 - AB475))</f>
        <v>918.95999999999992</v>
      </c>
      <c r="AD475" s="4">
        <f>IF(AC475="Error", "Error", AC475 - T475)</f>
        <v>364.78</v>
      </c>
      <c r="AE475" s="2">
        <f>IF(AC475="Error", "Error", IF(AC475=0, 0, AD475 / AC475))</f>
        <v>0.39694872464525116</v>
      </c>
      <c r="AF475" s="7">
        <f>C475-B475</f>
        <v>0</v>
      </c>
      <c r="AG475" s="2" t="str">
        <f>TEXT(B475, "mmmm")</f>
        <v>November</v>
      </c>
      <c r="AH475" s="4">
        <f>YEAR(B475)</f>
        <v>2024</v>
      </c>
      <c r="AI475" s="2" t="str">
        <f t="shared" si="21"/>
        <v>Clean</v>
      </c>
      <c r="AJ475">
        <f>COUNTIFS($A$2:$A$1000,A475,$B$2:$B$1000,B475,$C$2:$C$1000,C475,$D$2:$D$1000,D475,$E$2:$E$1000,E475,$F$2:$F$1000,F475)</f>
        <v>1</v>
      </c>
      <c r="AK475">
        <f>COUNTIF($A$2:$A$1000, A475)</f>
        <v>1</v>
      </c>
    </row>
    <row r="476" spans="1:37">
      <c r="A476" t="s">
        <v>1522</v>
      </c>
      <c r="B476" s="5">
        <v>45446</v>
      </c>
      <c r="C476" s="5">
        <v>45453</v>
      </c>
      <c r="D476" s="6">
        <f>IF(AND(C476&lt;&gt;"",B476&lt;&gt;""), C476-B476, "Missing Date")</f>
        <v>7</v>
      </c>
      <c r="E476" s="6" t="str">
        <f>IF(OR(B476="",C476=""), "Missing Date",
    IF(C476&lt;B476, "Invalid: Ship before Order",
      "OK"))</f>
        <v>OK</v>
      </c>
      <c r="F476" t="s">
        <v>1523</v>
      </c>
      <c r="G476" t="s">
        <v>162</v>
      </c>
      <c r="H476" t="s">
        <v>90</v>
      </c>
      <c r="I476" t="s">
        <v>25</v>
      </c>
      <c r="J476" t="s">
        <v>122</v>
      </c>
      <c r="K476" t="s">
        <v>123</v>
      </c>
      <c r="L476" t="s">
        <v>41</v>
      </c>
      <c r="M476" t="s">
        <v>57</v>
      </c>
      <c r="N476" t="s">
        <v>1524</v>
      </c>
      <c r="O476" t="s">
        <v>59</v>
      </c>
      <c r="P476">
        <v>3</v>
      </c>
      <c r="Q476">
        <v>1633.57</v>
      </c>
      <c r="R476">
        <v>0</v>
      </c>
      <c r="S476">
        <v>4900.71</v>
      </c>
      <c r="T476">
        <v>2713.9</v>
      </c>
      <c r="U476">
        <v>2186.81</v>
      </c>
      <c r="V476" t="s">
        <v>32</v>
      </c>
      <c r="W476" t="s">
        <v>33</v>
      </c>
      <c r="X476" t="str">
        <f>_xlfn.TEXTJOIN("|", TRUE, A476:W476)</f>
        <v>ORD-2024-10475|45446|45453|7|OK|CUST-6249|Diya Patel|Corporate|North|Punjab|Ludhiana|Furniture|Furnishings|Prime Furnishings 827|Standard Class|3|1633.57|0|4900.71|2713.9|2186.81|Paid|Completed</v>
      </c>
      <c r="Y476">
        <f>COUNTIF($X$2:$X$1000, X476)</f>
        <v>1</v>
      </c>
      <c r="Z476">
        <f>COUNTIF($A$2:$A$1000, A476)</f>
        <v>1</v>
      </c>
      <c r="AA476" t="str">
        <f>IF(Y476&gt;1, "Exact Duplicate",
  IF(Z476&gt;1, "Conflicting Duplicate - Review",
    "Unique"))</f>
        <v>Unique</v>
      </c>
      <c r="AB476" s="2">
        <f>IF(ISBLANK(R476), 0, IF(ISTEXT(R476), VALUE(SUBSTITUTE(R476, "%", ""))/100, IF(OR(R476&lt;0, R476&gt;1), "Invalid", R476)))</f>
        <v>0</v>
      </c>
      <c r="AC476" s="4">
        <f>IF(AB476="Invalid", "Error", P476 * Q476 * (1 - AB476))</f>
        <v>4900.71</v>
      </c>
      <c r="AD476" s="4">
        <f>IF(AC476="Error", "Error", AC476 - T476)</f>
        <v>2186.81</v>
      </c>
      <c r="AE476" s="2">
        <f>IF(AC476="Error", "Error", IF(AC476=0, 0, AD476 / AC476))</f>
        <v>0.44622309828575857</v>
      </c>
      <c r="AF476" s="7">
        <f>C476-B476</f>
        <v>7</v>
      </c>
      <c r="AG476" s="2" t="str">
        <f>TEXT(B476, "mmmm")</f>
        <v>June</v>
      </c>
      <c r="AH476" s="4">
        <f>YEAR(B476)</f>
        <v>2024</v>
      </c>
      <c r="AI476" s="2" t="str">
        <f t="shared" si="21"/>
        <v>Clean</v>
      </c>
      <c r="AJ476">
        <f>COUNTIFS($A$2:$A$1000,A476,$B$2:$B$1000,B476,$C$2:$C$1000,C476,$D$2:$D$1000,D476,$E$2:$E$1000,E476,$F$2:$F$1000,F476)</f>
        <v>1</v>
      </c>
      <c r="AK476">
        <f>COUNTIF($A$2:$A$1000, A476)</f>
        <v>1</v>
      </c>
    </row>
    <row r="477" spans="1:37">
      <c r="A477" t="s">
        <v>1525</v>
      </c>
      <c r="B477" s="5">
        <v>45660</v>
      </c>
      <c r="C477" s="5">
        <v>45724</v>
      </c>
      <c r="D477" s="6">
        <f>IF(AND(C477&lt;&gt;"",B477&lt;&gt;""), C477-B477, "Missing Date")</f>
        <v>64</v>
      </c>
      <c r="E477" s="6" t="str">
        <f>IF(OR(B477="",C477=""), "Missing Date",
    IF(C477&lt;B477, "Invalid: Ship before Order",
      "OK"))</f>
        <v>OK</v>
      </c>
      <c r="F477" t="s">
        <v>1526</v>
      </c>
      <c r="G477" t="s">
        <v>71</v>
      </c>
      <c r="H477" t="s">
        <v>24</v>
      </c>
      <c r="I477" t="s">
        <v>38</v>
      </c>
      <c r="J477" t="s">
        <v>99</v>
      </c>
      <c r="K477" t="s">
        <v>100</v>
      </c>
      <c r="L477" t="s">
        <v>41</v>
      </c>
      <c r="M477" t="s">
        <v>66</v>
      </c>
      <c r="N477" t="s">
        <v>1527</v>
      </c>
      <c r="O477" t="s">
        <v>44</v>
      </c>
      <c r="P477">
        <v>8</v>
      </c>
      <c r="Q477">
        <v>3378.82</v>
      </c>
      <c r="R477">
        <v>0.25</v>
      </c>
      <c r="S477">
        <v>20272.919999999998</v>
      </c>
      <c r="T477">
        <v>15873.38</v>
      </c>
      <c r="U477">
        <v>4399.54</v>
      </c>
      <c r="V477" t="s">
        <v>111</v>
      </c>
      <c r="W477" t="s">
        <v>103</v>
      </c>
      <c r="X477" t="str">
        <f>_xlfn.TEXTJOIN("|", TRUE, A477:W477)</f>
        <v>ORD-2025-10476|45660|45724|64|OK|CUST-5712|Vikram Iyer|Consumer|East|West Bengal|Kolkata|Furniture|Chairs|Eco Chairs 365|Same Day|8|3378.82|0.25|20272.92|15873.38|4399.54|Pending|Returned</v>
      </c>
      <c r="Y477">
        <f>COUNTIF($X$2:$X$1000, X477)</f>
        <v>1</v>
      </c>
      <c r="Z477">
        <f>COUNTIF($A$2:$A$1000, A477)</f>
        <v>1</v>
      </c>
      <c r="AA477" t="str">
        <f>IF(Y477&gt;1, "Exact Duplicate",
  IF(Z477&gt;1, "Conflicting Duplicate - Review",
    "Unique"))</f>
        <v>Unique</v>
      </c>
      <c r="AB477" s="2">
        <f>IF(ISBLANK(R477), 0, IF(ISTEXT(R477), VALUE(SUBSTITUTE(R477, "%", ""))/100, IF(OR(R477&lt;0, R477&gt;1), "Invalid", R477)))</f>
        <v>0.25</v>
      </c>
      <c r="AC477" s="4">
        <f>IF(AB477="Invalid", "Error", P477 * Q477 * (1 - AB477))</f>
        <v>20272.920000000002</v>
      </c>
      <c r="AD477" s="4">
        <f>IF(AC477="Error", "Error", AC477 - T477)</f>
        <v>4399.5400000000027</v>
      </c>
      <c r="AE477" s="2">
        <f>IF(AC477="Error", "Error", IF(AC477=0, 0, AD477 / AC477))</f>
        <v>0.21701560505344086</v>
      </c>
      <c r="AF477" s="7">
        <f>C477-B477</f>
        <v>64</v>
      </c>
      <c r="AG477" s="2" t="str">
        <f>TEXT(B477, "mmmm")</f>
        <v>January</v>
      </c>
      <c r="AH477" s="4">
        <f>YEAR(B477)</f>
        <v>2025</v>
      </c>
      <c r="AI477" s="2" t="str">
        <f t="shared" si="21"/>
        <v>Clean</v>
      </c>
      <c r="AJ477">
        <f>COUNTIFS($A$2:$A$1000,A477,$B$2:$B$1000,B477,$C$2:$C$1000,C477,$D$2:$D$1000,D477,$E$2:$E$1000,E477,$F$2:$F$1000,F477)</f>
        <v>1</v>
      </c>
      <c r="AK477">
        <f>COUNTIF($A$2:$A$1000, A477)</f>
        <v>1</v>
      </c>
    </row>
    <row r="478" spans="1:37">
      <c r="A478" t="s">
        <v>1528</v>
      </c>
      <c r="B478" s="5">
        <v>45478</v>
      </c>
      <c r="C478" s="5">
        <v>45426</v>
      </c>
      <c r="D478" s="6">
        <f>IF(AND(C478&lt;&gt;"",B478&lt;&gt;""), C478-B478, "Missing Date")</f>
        <v>-52</v>
      </c>
      <c r="E478" s="6" t="str">
        <f>IF(OR(B478="",C478=""), "Missing Date",
    IF(C478&lt;B478, "Invalid: Ship before Order",
      "OK"))</f>
        <v>Invalid: Ship before Order</v>
      </c>
      <c r="F478" t="s">
        <v>1529</v>
      </c>
      <c r="G478" t="s">
        <v>132</v>
      </c>
      <c r="H478" t="s">
        <v>37</v>
      </c>
      <c r="I478" t="s">
        <v>25</v>
      </c>
      <c r="J478" t="s">
        <v>26</v>
      </c>
      <c r="K478" t="s">
        <v>27</v>
      </c>
      <c r="L478" t="s">
        <v>28</v>
      </c>
      <c r="M478" t="s">
        <v>124</v>
      </c>
      <c r="N478" t="s">
        <v>1530</v>
      </c>
      <c r="O478" t="s">
        <v>50</v>
      </c>
      <c r="P478">
        <v>3</v>
      </c>
      <c r="Q478">
        <v>383.58</v>
      </c>
      <c r="R478">
        <v>0.1</v>
      </c>
      <c r="S478">
        <v>1035.67</v>
      </c>
      <c r="T478">
        <v>595.41999999999996</v>
      </c>
      <c r="U478">
        <v>440.25</v>
      </c>
      <c r="V478" t="s">
        <v>32</v>
      </c>
      <c r="W478" t="s">
        <v>33</v>
      </c>
      <c r="X478" t="str">
        <f>_xlfn.TEXTJOIN("|", TRUE, A478:W478)</f>
        <v>ORD-2024-10477|45478|45426|-52|Invalid: Ship before Order|CUST-3004|Sneha Kapoor|Small Business|North|Rajasthan|Jaipur|Office Supplies|Storage|Classic Storage 545|First Class|3|383.58|0.1|1035.67|595.42|440.25|Paid|Completed</v>
      </c>
      <c r="Y478">
        <f>COUNTIF($X$2:$X$1000, X478)</f>
        <v>1</v>
      </c>
      <c r="Z478">
        <f>COUNTIF($A$2:$A$1000, A478)</f>
        <v>1</v>
      </c>
      <c r="AA478" t="str">
        <f>IF(Y478&gt;1, "Exact Duplicate",
  IF(Z478&gt;1, "Conflicting Duplicate - Review",
    "Unique"))</f>
        <v>Unique</v>
      </c>
      <c r="AB478" s="2">
        <f>IF(ISBLANK(R478), 0, IF(ISTEXT(R478), VALUE(SUBSTITUTE(R478, "%", ""))/100, IF(OR(R478&lt;0, R478&gt;1), "Invalid", R478)))</f>
        <v>0.1</v>
      </c>
      <c r="AC478" s="4">
        <f>IF(AB478="Invalid", "Error", P478 * Q478 * (1 - AB478))</f>
        <v>1035.6659999999999</v>
      </c>
      <c r="AD478" s="4">
        <f>IF(AC478="Error", "Error", AC478 - T478)</f>
        <v>440.24599999999998</v>
      </c>
      <c r="AE478" s="2">
        <f>IF(AC478="Error", "Error", IF(AC478=0, 0, AD478 / AC478))</f>
        <v>0.42508492120046426</v>
      </c>
      <c r="AF478" s="7">
        <f>C478-B478</f>
        <v>-52</v>
      </c>
      <c r="AG478" s="2" t="str">
        <f>TEXT(B478, "mmmm")</f>
        <v>July</v>
      </c>
      <c r="AH478" s="4">
        <f>YEAR(B478)</f>
        <v>2024</v>
      </c>
      <c r="AI478" s="2" t="str">
        <f t="shared" si="21"/>
        <v>Invalid Shipping Record</v>
      </c>
      <c r="AJ478">
        <f>COUNTIFS($A$2:$A$1000,A478,$B$2:$B$1000,B478,$C$2:$C$1000,C478,$D$2:$D$1000,D478,$E$2:$E$1000,E478,$F$2:$F$1000,F478)</f>
        <v>1</v>
      </c>
      <c r="AK478">
        <f>COUNTIF($A$2:$A$1000, A478)</f>
        <v>1</v>
      </c>
    </row>
    <row r="479" spans="1:37">
      <c r="A479" t="s">
        <v>1531</v>
      </c>
      <c r="B479" s="5">
        <v>45892</v>
      </c>
      <c r="C479" s="5">
        <v>45897</v>
      </c>
      <c r="D479" s="6">
        <f>IF(AND(C479&lt;&gt;"",B479&lt;&gt;""), C479-B479, "Missing Date")</f>
        <v>5</v>
      </c>
      <c r="E479" s="6" t="str">
        <f>IF(OR(B479="",C479=""), "Missing Date",
    IF(C479&lt;B479, "Invalid: Ship before Order",
      "OK"))</f>
        <v>OK</v>
      </c>
      <c r="F479" t="s">
        <v>1532</v>
      </c>
      <c r="G479" t="s">
        <v>71</v>
      </c>
      <c r="H479" t="s">
        <v>90</v>
      </c>
      <c r="I479" t="s">
        <v>63</v>
      </c>
      <c r="J479" t="s">
        <v>180</v>
      </c>
      <c r="K479" t="s">
        <v>181</v>
      </c>
      <c r="L479" t="s">
        <v>41</v>
      </c>
      <c r="M479" t="s">
        <v>66</v>
      </c>
      <c r="N479" t="s">
        <v>1533</v>
      </c>
      <c r="O479" t="s">
        <v>59</v>
      </c>
      <c r="P479">
        <v>6</v>
      </c>
      <c r="Q479">
        <v>2193.23</v>
      </c>
      <c r="R479">
        <v>0.1</v>
      </c>
      <c r="S479">
        <v>11843.44</v>
      </c>
      <c r="T479">
        <v>9356.8799999999992</v>
      </c>
      <c r="U479">
        <v>2486.56</v>
      </c>
      <c r="V479" t="s">
        <v>32</v>
      </c>
      <c r="W479" t="s">
        <v>68</v>
      </c>
      <c r="X479" t="str">
        <f>_xlfn.TEXTJOIN("|", TRUE, A479:W479)</f>
        <v>ORD-2025-10478|45892|45897|5|OK|CUST-6920|Vikram Iyer|Corporate|West|Gujarat|Ahmedabad|Furniture|Chairs|Pro Chairs 186|Standard Class|6|2193.23|0.1|11843.44|9356.88|2486.56|Paid|Cancelled</v>
      </c>
      <c r="Y479">
        <f>COUNTIF($X$2:$X$1000, X479)</f>
        <v>1</v>
      </c>
      <c r="Z479">
        <f>COUNTIF($A$2:$A$1000, A479)</f>
        <v>1</v>
      </c>
      <c r="AA479" t="str">
        <f>IF(Y479&gt;1, "Exact Duplicate",
  IF(Z479&gt;1, "Conflicting Duplicate - Review",
    "Unique"))</f>
        <v>Unique</v>
      </c>
      <c r="AB479" s="2">
        <f>IF(ISBLANK(R479), 0, IF(ISTEXT(R479), VALUE(SUBSTITUTE(R479, "%", ""))/100, IF(OR(R479&lt;0, R479&gt;1), "Invalid", R479)))</f>
        <v>0.1</v>
      </c>
      <c r="AC479" s="4">
        <f>IF(AB479="Invalid", "Error", P479 * Q479 * (1 - AB479))</f>
        <v>11843.442000000001</v>
      </c>
      <c r="AD479" s="4">
        <f>IF(AC479="Error", "Error", AC479 - T479)</f>
        <v>2486.5620000000017</v>
      </c>
      <c r="AE479" s="2">
        <f>IF(AC479="Error", "Error", IF(AC479=0, 0, AD479 / AC479))</f>
        <v>0.20995264721184953</v>
      </c>
      <c r="AF479" s="7">
        <f>C479-B479</f>
        <v>5</v>
      </c>
      <c r="AG479" s="2" t="str">
        <f>TEXT(B479, "mmmm")</f>
        <v>August</v>
      </c>
      <c r="AH479" s="4">
        <f>YEAR(B479)</f>
        <v>2025</v>
      </c>
      <c r="AI479" s="2" t="str">
        <f t="shared" si="21"/>
        <v>Excluded from Sales</v>
      </c>
      <c r="AJ479">
        <f>COUNTIFS($A$2:$A$1000,A479,$B$2:$B$1000,B479,$C$2:$C$1000,C479,$D$2:$D$1000,D479,$E$2:$E$1000,E479,$F$2:$F$1000,F479)</f>
        <v>1</v>
      </c>
      <c r="AK479">
        <f>COUNTIF($A$2:$A$1000, A479)</f>
        <v>1</v>
      </c>
    </row>
    <row r="480" spans="1:37">
      <c r="A480" t="s">
        <v>1534</v>
      </c>
      <c r="B480" s="5">
        <v>45541</v>
      </c>
      <c r="C480" s="5">
        <v>45456</v>
      </c>
      <c r="D480" s="6">
        <f>IF(AND(C480&lt;&gt;"",B480&lt;&gt;""), C480-B480, "Missing Date")</f>
        <v>-85</v>
      </c>
      <c r="E480" s="6" t="str">
        <f>IF(OR(B480="",C480=""), "Missing Date",
    IF(C480&lt;B480, "Invalid: Ship before Order",
      "OK"))</f>
        <v>Invalid: Ship before Order</v>
      </c>
      <c r="F480" t="s">
        <v>1535</v>
      </c>
      <c r="G480" t="s">
        <v>36</v>
      </c>
      <c r="H480" t="s">
        <v>95</v>
      </c>
      <c r="I480" t="s">
        <v>2762</v>
      </c>
      <c r="J480" t="s">
        <v>136</v>
      </c>
      <c r="K480" t="s">
        <v>137</v>
      </c>
      <c r="L480" t="s">
        <v>74</v>
      </c>
      <c r="M480" t="s">
        <v>274</v>
      </c>
      <c r="N480" t="s">
        <v>1536</v>
      </c>
      <c r="O480" t="s">
        <v>44</v>
      </c>
      <c r="P480">
        <v>7</v>
      </c>
      <c r="Q480">
        <v>4079.71</v>
      </c>
      <c r="R480">
        <v>0.1</v>
      </c>
      <c r="S480">
        <v>25702.17</v>
      </c>
      <c r="T480">
        <v>14571.48</v>
      </c>
      <c r="U480">
        <v>11130.69</v>
      </c>
      <c r="V480" t="s">
        <v>102</v>
      </c>
      <c r="W480" t="s">
        <v>103</v>
      </c>
      <c r="X480" t="str">
        <f>_xlfn.TEXTJOIN("|", TRUE, A480:W480)</f>
        <v>ORD-2024-10479|45541|45456|-85|Invalid: Ship before Order|CUST-4838|Mira Das|Home Office|Unknown|Uttar Pradesh|Noida|Technology|Machines|Classic Machines 561|Same Day|7|4079.71|0.1|25702.17|14571.48|11130.69|Refunded|Returned</v>
      </c>
      <c r="Y480">
        <f>COUNTIF($X$2:$X$1000, X480)</f>
        <v>1</v>
      </c>
      <c r="Z480">
        <f>COUNTIF($A$2:$A$1000, A480)</f>
        <v>1</v>
      </c>
      <c r="AA480" t="str">
        <f>IF(Y480&gt;1, "Exact Duplicate",
  IF(Z480&gt;1, "Conflicting Duplicate - Review",
    "Unique"))</f>
        <v>Unique</v>
      </c>
      <c r="AB480" s="2">
        <f>IF(ISBLANK(R480), 0, IF(ISTEXT(R480), VALUE(SUBSTITUTE(R480, "%", ""))/100, IF(OR(R480&lt;0, R480&gt;1), "Invalid", R480)))</f>
        <v>0.1</v>
      </c>
      <c r="AC480" s="4">
        <f>IF(AB480="Invalid", "Error", P480 * Q480 * (1 - AB480))</f>
        <v>25702.173000000003</v>
      </c>
      <c r="AD480" s="4">
        <f>IF(AC480="Error", "Error", AC480 - T480)</f>
        <v>11130.693000000003</v>
      </c>
      <c r="AE480" s="2">
        <f>IF(AC480="Error", "Error", IF(AC480=0, 0, AD480 / AC480))</f>
        <v>0.43306427826160854</v>
      </c>
      <c r="AF480" s="7">
        <f>C480-B480</f>
        <v>-85</v>
      </c>
      <c r="AG480" s="2" t="str">
        <f>TEXT(B480, "mmmm")</f>
        <v>September</v>
      </c>
      <c r="AH480" s="4">
        <f>YEAR(B480)</f>
        <v>2024</v>
      </c>
      <c r="AI480" s="2" t="str">
        <f t="shared" si="21"/>
        <v>Warning: Missing Region</v>
      </c>
      <c r="AJ480">
        <f>COUNTIFS($A$2:$A$1000,A480,$B$2:$B$1000,B480,$C$2:$C$1000,C480,$D$2:$D$1000,D480,$E$2:$E$1000,E480,$F$2:$F$1000,F480)</f>
        <v>1</v>
      </c>
      <c r="AK480">
        <f>COUNTIF($A$2:$A$1000, A480)</f>
        <v>1</v>
      </c>
    </row>
    <row r="481" spans="1:37">
      <c r="A481" t="s">
        <v>1537</v>
      </c>
      <c r="B481" s="5">
        <v>45345</v>
      </c>
      <c r="C481" s="5">
        <v>45342</v>
      </c>
      <c r="D481" s="6">
        <f>IF(AND(C481&lt;&gt;"",B481&lt;&gt;""), C481-B481, "Missing Date")</f>
        <v>-3</v>
      </c>
      <c r="E481" s="6" t="str">
        <f>IF(OR(B481="",C481=""), "Missing Date",
    IF(C481&lt;B481, "Invalid: Ship before Order",
      "OK"))</f>
        <v>Invalid: Ship before Order</v>
      </c>
      <c r="F481" t="s">
        <v>1538</v>
      </c>
      <c r="G481" t="s">
        <v>53</v>
      </c>
      <c r="H481" t="s">
        <v>90</v>
      </c>
      <c r="I481" t="s">
        <v>38</v>
      </c>
      <c r="J481" t="s">
        <v>39</v>
      </c>
      <c r="K481" t="s">
        <v>40</v>
      </c>
      <c r="L481" t="s">
        <v>41</v>
      </c>
      <c r="M481" t="s">
        <v>66</v>
      </c>
      <c r="N481" t="s">
        <v>1539</v>
      </c>
      <c r="O481" t="s">
        <v>31</v>
      </c>
      <c r="P481">
        <v>1</v>
      </c>
      <c r="Q481">
        <v>2202.5500000000002</v>
      </c>
      <c r="S481">
        <v>1651.91</v>
      </c>
      <c r="T481">
        <v>1034.57</v>
      </c>
      <c r="U481">
        <v>617.34</v>
      </c>
      <c r="V481" t="s">
        <v>32</v>
      </c>
      <c r="W481" t="s">
        <v>33</v>
      </c>
      <c r="X481" t="str">
        <f>_xlfn.TEXTJOIN("|", TRUE, A481:W481)</f>
        <v>ORD-2024-10480|45345|45342|-3|Invalid: Ship before Order|CUST-7520|Arjun Bose|Corporate|East|Odisha|Bhubaneswar|Furniture|Chairs|Max Chairs 594|Second Class|1|2202.55|1651.91|1034.57|617.34|Paid|Completed</v>
      </c>
      <c r="Y481">
        <f>COUNTIF($X$2:$X$1000, X481)</f>
        <v>1</v>
      </c>
      <c r="Z481">
        <f>COUNTIF($A$2:$A$1000, A481)</f>
        <v>1</v>
      </c>
      <c r="AA481" t="str">
        <f>IF(Y481&gt;1, "Exact Duplicate",
  IF(Z481&gt;1, "Conflicting Duplicate - Review",
    "Unique"))</f>
        <v>Unique</v>
      </c>
      <c r="AB481" s="2">
        <f>IF(ISBLANK(R481), 0, IF(ISTEXT(R481), VALUE(SUBSTITUTE(R481, "%", ""))/100, IF(OR(R481&lt;0, R481&gt;1), "Invalid", R481)))</f>
        <v>0</v>
      </c>
      <c r="AC481" s="4">
        <f>IF(AB481="Invalid", "Error", P481 * Q481 * (1 - AB481))</f>
        <v>2202.5500000000002</v>
      </c>
      <c r="AD481" s="4">
        <f>IF(AC481="Error", "Error", AC481 - T481)</f>
        <v>1167.9800000000002</v>
      </c>
      <c r="AE481" s="2">
        <f>IF(AC481="Error", "Error", IF(AC481=0, 0, AD481 / AC481))</f>
        <v>0.53028535107035035</v>
      </c>
      <c r="AF481" s="7">
        <f>C481-B481</f>
        <v>-3</v>
      </c>
      <c r="AG481" s="2" t="str">
        <f>TEXT(B481, "mmmm")</f>
        <v>February</v>
      </c>
      <c r="AH481" s="4">
        <f>YEAR(B481)</f>
        <v>2024</v>
      </c>
      <c r="AI481" s="2" t="str">
        <f t="shared" si="21"/>
        <v>Invalid Shipping Record</v>
      </c>
      <c r="AJ481">
        <f>COUNTIFS($A$2:$A$1000,A481,$B$2:$B$1000,B481,$C$2:$C$1000,C481,$D$2:$D$1000,D481,$E$2:$E$1000,E481,$F$2:$F$1000,F481)</f>
        <v>1</v>
      </c>
      <c r="AK481">
        <f>COUNTIF($A$2:$A$1000, A481)</f>
        <v>1</v>
      </c>
    </row>
    <row r="482" spans="1:37">
      <c r="A482" t="s">
        <v>1540</v>
      </c>
      <c r="B482" s="5">
        <v>45662</v>
      </c>
      <c r="C482" s="5">
        <v>45666</v>
      </c>
      <c r="D482" s="6">
        <f>IF(AND(C482&lt;&gt;"",B482&lt;&gt;""), C482-B482, "Missing Date")</f>
        <v>4</v>
      </c>
      <c r="E482" s="6" t="str">
        <f>IF(OR(B482="",C482=""), "Missing Date",
    IF(C482&lt;B482, "Invalid: Ship before Order",
      "OK"))</f>
        <v>OK</v>
      </c>
      <c r="F482" t="s">
        <v>1541</v>
      </c>
      <c r="G482" t="s">
        <v>79</v>
      </c>
      <c r="H482" t="s">
        <v>37</v>
      </c>
      <c r="I482" t="s">
        <v>54</v>
      </c>
      <c r="J482" t="s">
        <v>247</v>
      </c>
      <c r="K482" t="s">
        <v>248</v>
      </c>
      <c r="L482" t="s">
        <v>28</v>
      </c>
      <c r="M482" t="s">
        <v>124</v>
      </c>
      <c r="N482" t="s">
        <v>1542</v>
      </c>
      <c r="O482" t="s">
        <v>2762</v>
      </c>
      <c r="P482">
        <v>5</v>
      </c>
      <c r="Q482">
        <v>905.16</v>
      </c>
      <c r="R482">
        <v>0</v>
      </c>
      <c r="S482">
        <v>4525.8</v>
      </c>
      <c r="T482">
        <v>2714.51</v>
      </c>
      <c r="U482">
        <v>1811.29</v>
      </c>
      <c r="V482" t="s">
        <v>32</v>
      </c>
      <c r="W482" t="s">
        <v>33</v>
      </c>
      <c r="X482" t="str">
        <f>_xlfn.TEXTJOIN("|", TRUE, A482:W482)</f>
        <v>ORD-2025-10481|45662|45666|4|OK|CUST-9947|Neha Gupta|Small Business|South|Tamil Nadu|Chennai|Office Supplies|Storage|Eco Storage 923|Unknown|5|905.16|0|4525.8|2714.51|1811.29|Paid|Completed</v>
      </c>
      <c r="Y482">
        <f>COUNTIF($X$2:$X$1000, X482)</f>
        <v>1</v>
      </c>
      <c r="Z482">
        <f>COUNTIF($A$2:$A$1000, A482)</f>
        <v>1</v>
      </c>
      <c r="AA482" t="str">
        <f>IF(Y482&gt;1, "Exact Duplicate",
  IF(Z482&gt;1, "Conflicting Duplicate - Review",
    "Unique"))</f>
        <v>Unique</v>
      </c>
      <c r="AB482" s="2">
        <f>IF(ISBLANK(R482), 0, IF(ISTEXT(R482), VALUE(SUBSTITUTE(R482, "%", ""))/100, IF(OR(R482&lt;0, R482&gt;1), "Invalid", R482)))</f>
        <v>0</v>
      </c>
      <c r="AC482" s="4">
        <f>IF(AB482="Invalid", "Error", P482 * Q482 * (1 - AB482))</f>
        <v>4525.8</v>
      </c>
      <c r="AD482" s="4">
        <f>IF(AC482="Error", "Error", AC482 - T482)</f>
        <v>1811.29</v>
      </c>
      <c r="AE482" s="2">
        <f>IF(AC482="Error", "Error", IF(AC482=0, 0, AD482 / AC482))</f>
        <v>0.40021432674886204</v>
      </c>
      <c r="AF482" s="7">
        <f>C482-B482</f>
        <v>4</v>
      </c>
      <c r="AG482" s="2" t="str">
        <f>TEXT(B482, "mmmm")</f>
        <v>January</v>
      </c>
      <c r="AH482" s="4">
        <f>YEAR(B482)</f>
        <v>2025</v>
      </c>
      <c r="AI482" s="2" t="str">
        <f t="shared" si="21"/>
        <v>Warning: Missing Shipping Mode</v>
      </c>
      <c r="AJ482">
        <f>COUNTIFS($A$2:$A$1000,A482,$B$2:$B$1000,B482,$C$2:$C$1000,C482,$D$2:$D$1000,D482,$E$2:$E$1000,E482,$F$2:$F$1000,F482)</f>
        <v>1</v>
      </c>
      <c r="AK482">
        <f>COUNTIF($A$2:$A$1000, A482)</f>
        <v>1</v>
      </c>
    </row>
    <row r="483" spans="1:37">
      <c r="A483" t="s">
        <v>1543</v>
      </c>
      <c r="B483" s="5">
        <v>45813</v>
      </c>
      <c r="C483" s="5">
        <v>45821</v>
      </c>
      <c r="D483" s="6">
        <f>IF(AND(C483&lt;&gt;"",B483&lt;&gt;""), C483-B483, "Missing Date")</f>
        <v>8</v>
      </c>
      <c r="E483" s="6" t="str">
        <f>IF(OR(B483="",C483=""), "Missing Date",
    IF(C483&lt;B483, "Invalid: Ship before Order",
      "OK"))</f>
        <v>OK</v>
      </c>
      <c r="F483" t="s">
        <v>1544</v>
      </c>
      <c r="G483" t="s">
        <v>47</v>
      </c>
      <c r="H483" t="s">
        <v>24</v>
      </c>
      <c r="I483" t="s">
        <v>25</v>
      </c>
      <c r="J483" t="s">
        <v>136</v>
      </c>
      <c r="K483" t="s">
        <v>137</v>
      </c>
      <c r="L483" t="s">
        <v>74</v>
      </c>
      <c r="M483" t="s">
        <v>274</v>
      </c>
      <c r="N483" t="s">
        <v>1545</v>
      </c>
      <c r="O483" t="s">
        <v>44</v>
      </c>
      <c r="P483">
        <v>4</v>
      </c>
      <c r="Q483">
        <v>2793.88</v>
      </c>
      <c r="R483" s="9">
        <v>0.85</v>
      </c>
      <c r="S483">
        <v>10616.74</v>
      </c>
      <c r="T483">
        <v>6353.59</v>
      </c>
      <c r="U483">
        <v>4263.1499999999996</v>
      </c>
      <c r="V483" t="s">
        <v>32</v>
      </c>
      <c r="W483" t="s">
        <v>33</v>
      </c>
      <c r="X483" t="str">
        <f>_xlfn.TEXTJOIN("|", TRUE, A483:W483)</f>
        <v>ORD-2025-10482|45813|45821|8|OK|CUST-4403|Isha Nair|Consumer|North|Uttar Pradesh|Noida|Technology|Machines|Classic Machines 287|Same Day|4|2793.88|0.85|10616.74|6353.59|4263.15|Paid|Completed</v>
      </c>
      <c r="Y483">
        <f>COUNTIF($X$2:$X$1000, X483)</f>
        <v>1</v>
      </c>
      <c r="Z483">
        <f>COUNTIF($A$2:$A$1000, A483)</f>
        <v>1</v>
      </c>
      <c r="AA483" t="str">
        <f>IF(Y483&gt;1, "Exact Duplicate",
  IF(Z483&gt;1, "Conflicting Duplicate - Review",
    "Unique"))</f>
        <v>Unique</v>
      </c>
      <c r="AB483" s="2">
        <f>IF(ISBLANK(R483), 0, IF(ISTEXT(R483), VALUE(SUBSTITUTE(R483, "%", ""))/100, IF(OR(R483&lt;0, R483&gt;1), "Invalid", R483)))</f>
        <v>0.85</v>
      </c>
      <c r="AC483" s="4">
        <f>IF(AB483="Invalid", "Error", P483 * Q483 * (1 - AB483))</f>
        <v>1676.3280000000002</v>
      </c>
      <c r="AD483" s="4">
        <f>IF(AC483="Error", "Error", AC483 - T483)</f>
        <v>-4677.2619999999997</v>
      </c>
      <c r="AE483" s="2">
        <f>IF(AC483="Error", "Error", IF(AC483=0, 0, AD483 / AC483))</f>
        <v>-2.7901830667983827</v>
      </c>
      <c r="AF483" s="7">
        <f>C483-B483</f>
        <v>8</v>
      </c>
      <c r="AG483" s="2" t="str">
        <f>TEXT(B483, "mmmm")</f>
        <v>June</v>
      </c>
      <c r="AH483" s="4">
        <f>YEAR(B483)</f>
        <v>2025</v>
      </c>
      <c r="AI483" s="2" t="str">
        <f t="shared" si="21"/>
        <v>Clean</v>
      </c>
      <c r="AJ483">
        <f>COUNTIFS($A$2:$A$1000,A483,$B$2:$B$1000,B483,$C$2:$C$1000,C483,$D$2:$D$1000,D483,$E$2:$E$1000,E483,$F$2:$F$1000,F483)</f>
        <v>1</v>
      </c>
      <c r="AK483">
        <f>COUNTIF($A$2:$A$1000, A483)</f>
        <v>1</v>
      </c>
    </row>
    <row r="484" spans="1:37">
      <c r="A484" t="s">
        <v>1546</v>
      </c>
      <c r="B484" s="5">
        <v>45495</v>
      </c>
      <c r="C484" s="5">
        <v>45495</v>
      </c>
      <c r="D484" s="6">
        <f>IF(AND(C484&lt;&gt;"",B484&lt;&gt;""), C484-B484, "Missing Date")</f>
        <v>0</v>
      </c>
      <c r="E484" s="6" t="str">
        <f>IF(OR(B484="",C484=""), "Missing Date",
    IF(C484&lt;B484, "Invalid: Ship before Order",
      "OK"))</f>
        <v>OK</v>
      </c>
      <c r="F484" t="s">
        <v>1547</v>
      </c>
      <c r="G484" t="s">
        <v>114</v>
      </c>
      <c r="H484" t="s">
        <v>24</v>
      </c>
      <c r="I484" t="s">
        <v>54</v>
      </c>
      <c r="J484" t="s">
        <v>175</v>
      </c>
      <c r="K484" t="s">
        <v>176</v>
      </c>
      <c r="L484" t="s">
        <v>74</v>
      </c>
      <c r="M484" t="s">
        <v>75</v>
      </c>
      <c r="N484" t="s">
        <v>1548</v>
      </c>
      <c r="O484" t="s">
        <v>31</v>
      </c>
      <c r="P484">
        <v>3</v>
      </c>
      <c r="Q484">
        <v>1286.22</v>
      </c>
      <c r="R484">
        <v>0.25</v>
      </c>
      <c r="S484">
        <v>2893.99</v>
      </c>
      <c r="T484">
        <v>1856.03</v>
      </c>
      <c r="U484">
        <v>1037.96</v>
      </c>
      <c r="V484" t="s">
        <v>32</v>
      </c>
      <c r="W484" t="s">
        <v>33</v>
      </c>
      <c r="X484" t="str">
        <f>_xlfn.TEXTJOIN("|", TRUE, A484:W484)</f>
        <v>ORD-2024-10483|45495|45495|0|OK|CUST-3583|Priya Menon|Consumer|South|Karnataka|Bengaluru|Technology|Accessories|Basic Accessories 518|Second Class|3|1286.22|0.25|2893.99|1856.03|1037.96|Paid|Completed</v>
      </c>
      <c r="Y484">
        <f>COUNTIF($X$2:$X$1000, X484)</f>
        <v>1</v>
      </c>
      <c r="Z484">
        <f>COUNTIF($A$2:$A$1000, A484)</f>
        <v>1</v>
      </c>
      <c r="AA484" t="str">
        <f>IF(Y484&gt;1, "Exact Duplicate",
  IF(Z484&gt;1, "Conflicting Duplicate - Review",
    "Unique"))</f>
        <v>Unique</v>
      </c>
      <c r="AB484" s="2">
        <f>IF(ISBLANK(R484), 0, IF(ISTEXT(R484), VALUE(SUBSTITUTE(R484, "%", ""))/100, IF(OR(R484&lt;0, R484&gt;1), "Invalid", R484)))</f>
        <v>0.25</v>
      </c>
      <c r="AC484" s="4">
        <f>IF(AB484="Invalid", "Error", P484 * Q484 * (1 - AB484))</f>
        <v>2893.9949999999999</v>
      </c>
      <c r="AD484" s="4">
        <f>IF(AC484="Error", "Error", AC484 - T484)</f>
        <v>1037.9649999999999</v>
      </c>
      <c r="AE484" s="2">
        <f>IF(AC484="Error", "Error", IF(AC484=0, 0, AD484 / AC484))</f>
        <v>0.35866164247001114</v>
      </c>
      <c r="AF484" s="7">
        <f>C484-B484</f>
        <v>0</v>
      </c>
      <c r="AG484" s="2" t="str">
        <f>TEXT(B484, "mmmm")</f>
        <v>July</v>
      </c>
      <c r="AH484" s="4">
        <f>YEAR(B484)</f>
        <v>2024</v>
      </c>
      <c r="AI484" s="2" t="str">
        <f t="shared" si="21"/>
        <v>Clean</v>
      </c>
      <c r="AJ484">
        <f>COUNTIFS($A$2:$A$1000,A484,$B$2:$B$1000,B484,$C$2:$C$1000,C484,$D$2:$D$1000,D484,$E$2:$E$1000,E484,$F$2:$F$1000,F484)</f>
        <v>1</v>
      </c>
      <c r="AK484">
        <f>COUNTIF($A$2:$A$1000, A484)</f>
        <v>1</v>
      </c>
    </row>
    <row r="485" spans="1:37">
      <c r="A485" t="s">
        <v>1549</v>
      </c>
      <c r="B485" s="5">
        <v>45651</v>
      </c>
      <c r="C485" s="5">
        <v>45651</v>
      </c>
      <c r="D485" s="6">
        <f>IF(AND(C485&lt;&gt;"",B485&lt;&gt;""), C485-B485, "Missing Date")</f>
        <v>0</v>
      </c>
      <c r="E485" s="6" t="str">
        <f>IF(OR(B485="",C485=""), "Missing Date",
    IF(C485&lt;B485, "Invalid: Ship before Order",
      "OK"))</f>
        <v>OK</v>
      </c>
      <c r="F485" t="s">
        <v>1550</v>
      </c>
      <c r="G485" t="s">
        <v>36</v>
      </c>
      <c r="H485" t="s">
        <v>90</v>
      </c>
      <c r="I485" t="s">
        <v>38</v>
      </c>
      <c r="J485" t="s">
        <v>145</v>
      </c>
      <c r="K485" t="s">
        <v>146</v>
      </c>
      <c r="L485" t="s">
        <v>74</v>
      </c>
      <c r="M485" t="s">
        <v>80</v>
      </c>
      <c r="N485" t="s">
        <v>1551</v>
      </c>
      <c r="O485" t="s">
        <v>59</v>
      </c>
      <c r="P485">
        <v>1</v>
      </c>
      <c r="Q485">
        <v>829.66</v>
      </c>
      <c r="R485">
        <v>0.15</v>
      </c>
      <c r="S485">
        <v>705.21</v>
      </c>
      <c r="T485">
        <v>438.32</v>
      </c>
      <c r="U485">
        <v>266.89</v>
      </c>
      <c r="V485" t="s">
        <v>32</v>
      </c>
      <c r="W485" t="s">
        <v>33</v>
      </c>
      <c r="X485" t="str">
        <f>_xlfn.TEXTJOIN("|", TRUE, A485:W485)</f>
        <v>ORD-2024-10484|45651|45651|0|OK|CUST-9432|Mira Das|Corporate|East|Bihar|Patna|Technology|Copiers|Pro Copiers 984|Standard Class|1|829.66|0.15|705.21|438.32|266.89|Paid|Completed</v>
      </c>
      <c r="Y485">
        <f>COUNTIF($X$2:$X$1000, X485)</f>
        <v>1</v>
      </c>
      <c r="Z485">
        <f>COUNTIF($A$2:$A$1000, A485)</f>
        <v>1</v>
      </c>
      <c r="AA485" t="str">
        <f>IF(Y485&gt;1, "Exact Duplicate",
  IF(Z485&gt;1, "Conflicting Duplicate - Review",
    "Unique"))</f>
        <v>Unique</v>
      </c>
      <c r="AB485" s="2">
        <f>IF(ISBLANK(R485), 0, IF(ISTEXT(R485), VALUE(SUBSTITUTE(R485, "%", ""))/100, IF(OR(R485&lt;0, R485&gt;1), "Invalid", R485)))</f>
        <v>0.15</v>
      </c>
      <c r="AC485" s="4">
        <f>IF(AB485="Invalid", "Error", P485 * Q485 * (1 - AB485))</f>
        <v>705.2109999999999</v>
      </c>
      <c r="AD485" s="4">
        <f>IF(AC485="Error", "Error", AC485 - T485)</f>
        <v>266.89099999999991</v>
      </c>
      <c r="AE485" s="2">
        <f>IF(AC485="Error", "Error", IF(AC485=0, 0, AD485 / AC485))</f>
        <v>0.37845552607659261</v>
      </c>
      <c r="AF485" s="7">
        <f>C485-B485</f>
        <v>0</v>
      </c>
      <c r="AG485" s="2" t="str">
        <f>TEXT(B485, "mmmm")</f>
        <v>December</v>
      </c>
      <c r="AH485" s="4">
        <f>YEAR(B485)</f>
        <v>2024</v>
      </c>
      <c r="AI485" s="2" t="str">
        <f t="shared" si="21"/>
        <v>Clean</v>
      </c>
      <c r="AJ485">
        <f>COUNTIFS($A$2:$A$1000,A485,$B$2:$B$1000,B485,$C$2:$C$1000,C485,$D$2:$D$1000,D485,$E$2:$E$1000,E485,$F$2:$F$1000,F485)</f>
        <v>1</v>
      </c>
      <c r="AK485">
        <f>COUNTIF($A$2:$A$1000, A485)</f>
        <v>1</v>
      </c>
    </row>
    <row r="486" spans="1:37">
      <c r="A486" t="s">
        <v>1552</v>
      </c>
      <c r="B486" s="5">
        <v>45654</v>
      </c>
      <c r="C486" s="5">
        <v>45657</v>
      </c>
      <c r="D486" s="6">
        <f>IF(AND(C486&lt;&gt;"",B486&lt;&gt;""), C486-B486, "Missing Date")</f>
        <v>3</v>
      </c>
      <c r="E486" s="6" t="str">
        <f>IF(OR(B486="",C486=""), "Missing Date",
    IF(C486&lt;B486, "Invalid: Ship before Order",
      "OK"))</f>
        <v>OK</v>
      </c>
      <c r="F486" t="s">
        <v>1553</v>
      </c>
      <c r="G486" t="s">
        <v>36</v>
      </c>
      <c r="H486" t="s">
        <v>37</v>
      </c>
      <c r="I486" t="s">
        <v>54</v>
      </c>
      <c r="J486" t="s">
        <v>84</v>
      </c>
      <c r="K486" t="s">
        <v>85</v>
      </c>
      <c r="L486" t="s">
        <v>41</v>
      </c>
      <c r="M486" t="s">
        <v>57</v>
      </c>
      <c r="N486" t="s">
        <v>1554</v>
      </c>
      <c r="O486" t="s">
        <v>50</v>
      </c>
      <c r="P486">
        <v>6</v>
      </c>
      <c r="Q486">
        <v>3641.22</v>
      </c>
      <c r="R486">
        <v>0.25</v>
      </c>
      <c r="S486">
        <v>16385.490000000002</v>
      </c>
      <c r="T486">
        <v>13679.24</v>
      </c>
      <c r="U486">
        <v>2706.25</v>
      </c>
      <c r="V486" t="s">
        <v>32</v>
      </c>
      <c r="W486" t="s">
        <v>33</v>
      </c>
      <c r="X486" t="str">
        <f>_xlfn.TEXTJOIN("|", TRUE, A486:W486)</f>
        <v>ORD-2024-10485|45654|45657|3|OK|CUST-1801|Mira Das|Small Business|South|Andhra Pradesh|Vijayawada|Furniture|Furnishings|Max Furnishings 297|First Class|6|3641.22|0.25|16385.49|13679.24|2706.25|Paid|Completed</v>
      </c>
      <c r="Y486">
        <f>COUNTIF($X$2:$X$1000, X486)</f>
        <v>1</v>
      </c>
      <c r="Z486">
        <f>COUNTIF($A$2:$A$1000, A486)</f>
        <v>1</v>
      </c>
      <c r="AA486" t="str">
        <f>IF(Y486&gt;1, "Exact Duplicate",
  IF(Z486&gt;1, "Conflicting Duplicate - Review",
    "Unique"))</f>
        <v>Unique</v>
      </c>
      <c r="AB486" s="2">
        <f>IF(ISBLANK(R486), 0, IF(ISTEXT(R486), VALUE(SUBSTITUTE(R486, "%", ""))/100, IF(OR(R486&lt;0, R486&gt;1), "Invalid", R486)))</f>
        <v>0.25</v>
      </c>
      <c r="AC486" s="4">
        <f>IF(AB486="Invalid", "Error", P486 * Q486 * (1 - AB486))</f>
        <v>16385.489999999998</v>
      </c>
      <c r="AD486" s="4">
        <f>IF(AC486="Error", "Error", AC486 - T486)</f>
        <v>2706.2499999999982</v>
      </c>
      <c r="AE486" s="2">
        <f>IF(AC486="Error", "Error", IF(AC486=0, 0, AD486 / AC486))</f>
        <v>0.16516137143289572</v>
      </c>
      <c r="AF486" s="7">
        <f>C486-B486</f>
        <v>3</v>
      </c>
      <c r="AG486" s="2" t="str">
        <f>TEXT(B486, "mmmm")</f>
        <v>December</v>
      </c>
      <c r="AH486" s="4">
        <f>YEAR(B486)</f>
        <v>2024</v>
      </c>
      <c r="AI486" s="2" t="str">
        <f t="shared" si="21"/>
        <v>Clean</v>
      </c>
      <c r="AJ486">
        <f>COUNTIFS($A$2:$A$1000,A486,$B$2:$B$1000,B486,$C$2:$C$1000,C486,$D$2:$D$1000,D486,$E$2:$E$1000,E486,$F$2:$F$1000,F486)</f>
        <v>1</v>
      </c>
      <c r="AK486">
        <f>COUNTIF($A$2:$A$1000, A486)</f>
        <v>1</v>
      </c>
    </row>
    <row r="487" spans="1:37">
      <c r="A487" t="s">
        <v>1555</v>
      </c>
      <c r="B487" s="5">
        <v>45679</v>
      </c>
      <c r="C487" s="5">
        <v>45680</v>
      </c>
      <c r="D487" s="6">
        <f>IF(AND(C487&lt;&gt;"",B487&lt;&gt;""), C487-B487, "Missing Date")</f>
        <v>1</v>
      </c>
      <c r="E487" s="6" t="str">
        <f>IF(OR(B487="",C487=""), "Missing Date",
    IF(C487&lt;B487, "Invalid: Ship before Order",
      "OK"))</f>
        <v>OK</v>
      </c>
      <c r="F487" t="s">
        <v>1556</v>
      </c>
      <c r="G487" t="s">
        <v>118</v>
      </c>
      <c r="H487" t="s">
        <v>90</v>
      </c>
      <c r="I487" t="s">
        <v>63</v>
      </c>
      <c r="J487" t="s">
        <v>190</v>
      </c>
      <c r="K487" t="s">
        <v>191</v>
      </c>
      <c r="L487" t="s">
        <v>41</v>
      </c>
      <c r="M487" t="s">
        <v>158</v>
      </c>
      <c r="N487" t="s">
        <v>1557</v>
      </c>
      <c r="O487" t="s">
        <v>59</v>
      </c>
      <c r="P487">
        <v>4</v>
      </c>
      <c r="Q487">
        <v>2555.19</v>
      </c>
      <c r="R487">
        <v>0.25</v>
      </c>
      <c r="S487">
        <v>7665.57</v>
      </c>
      <c r="T487">
        <v>5595.6</v>
      </c>
      <c r="U487">
        <v>2069.9699999999998</v>
      </c>
      <c r="V487" t="s">
        <v>32</v>
      </c>
      <c r="W487" t="s">
        <v>33</v>
      </c>
      <c r="X487" t="str">
        <f>_xlfn.TEXTJOIN("|", TRUE, A487:W487)</f>
        <v>ORD-2025-10486|45679|45680|1|OK|CUST-1594|Rahul Verma|Corporate|West|Goa|Panaji|Furniture|Bookcases|Elite Bookcases 802|Standard Class|4|2555.19|0.25|7665.57|5595.6|2069.97|Paid|Completed</v>
      </c>
      <c r="Y487">
        <f>COUNTIF($X$2:$X$1000, X487)</f>
        <v>1</v>
      </c>
      <c r="Z487">
        <f>COUNTIF($A$2:$A$1000, A487)</f>
        <v>1</v>
      </c>
      <c r="AA487" t="str">
        <f>IF(Y487&gt;1, "Exact Duplicate",
  IF(Z487&gt;1, "Conflicting Duplicate - Review",
    "Unique"))</f>
        <v>Unique</v>
      </c>
      <c r="AB487" s="2">
        <f>IF(ISBLANK(R487), 0, IF(ISTEXT(R487), VALUE(SUBSTITUTE(R487, "%", ""))/100, IF(OR(R487&lt;0, R487&gt;1), "Invalid", R487)))</f>
        <v>0.25</v>
      </c>
      <c r="AC487" s="4">
        <f>IF(AB487="Invalid", "Error", P487 * Q487 * (1 - AB487))</f>
        <v>7665.57</v>
      </c>
      <c r="AD487" s="4">
        <f>IF(AC487="Error", "Error", AC487 - T487)</f>
        <v>2069.9699999999993</v>
      </c>
      <c r="AE487" s="2">
        <f>IF(AC487="Error", "Error", IF(AC487=0, 0, AD487 / AC487))</f>
        <v>0.27003471366121495</v>
      </c>
      <c r="AF487" s="7">
        <f>C487-B487</f>
        <v>1</v>
      </c>
      <c r="AG487" s="2" t="str">
        <f>TEXT(B487, "mmmm")</f>
        <v>January</v>
      </c>
      <c r="AH487" s="4">
        <f>YEAR(B487)</f>
        <v>2025</v>
      </c>
      <c r="AI487" s="2" t="str">
        <f t="shared" si="21"/>
        <v>Clean</v>
      </c>
      <c r="AJ487">
        <f>COUNTIFS($A$2:$A$1000,A487,$B$2:$B$1000,B487,$C$2:$C$1000,C487,$D$2:$D$1000,D487,$E$2:$E$1000,E487,$F$2:$F$1000,F487)</f>
        <v>1</v>
      </c>
      <c r="AK487">
        <f>COUNTIF($A$2:$A$1000, A487)</f>
        <v>1</v>
      </c>
    </row>
    <row r="488" spans="1:37">
      <c r="A488" t="s">
        <v>1558</v>
      </c>
      <c r="B488" s="5">
        <v>45830</v>
      </c>
      <c r="C488" s="5">
        <v>45834</v>
      </c>
      <c r="D488" s="6">
        <f>IF(AND(C488&lt;&gt;"",B488&lt;&gt;""), C488-B488, "Missing Date")</f>
        <v>4</v>
      </c>
      <c r="E488" s="6" t="str">
        <f>IF(OR(B488="",C488=""), "Missing Date",
    IF(C488&lt;B488, "Invalid: Ship before Order",
      "OK"))</f>
        <v>OK</v>
      </c>
      <c r="F488" t="s">
        <v>1559</v>
      </c>
      <c r="G488" t="s">
        <v>118</v>
      </c>
      <c r="H488" t="s">
        <v>90</v>
      </c>
      <c r="I488" t="s">
        <v>63</v>
      </c>
      <c r="J488" t="s">
        <v>190</v>
      </c>
      <c r="K488" t="s">
        <v>191</v>
      </c>
      <c r="L488" t="s">
        <v>41</v>
      </c>
      <c r="M488" t="s">
        <v>42</v>
      </c>
      <c r="N488" t="s">
        <v>1560</v>
      </c>
      <c r="O488" t="s">
        <v>59</v>
      </c>
      <c r="P488">
        <v>3</v>
      </c>
      <c r="Q488">
        <v>1946.18</v>
      </c>
      <c r="R488">
        <v>0.2</v>
      </c>
      <c r="S488">
        <v>4670.83</v>
      </c>
      <c r="T488">
        <v>3166.49</v>
      </c>
      <c r="U488">
        <v>1504.34</v>
      </c>
      <c r="V488" t="s">
        <v>32</v>
      </c>
      <c r="W488" t="s">
        <v>33</v>
      </c>
      <c r="X488" t="str">
        <f>_xlfn.TEXTJOIN("|", TRUE, A488:W488)</f>
        <v>ORD-2025-10487|45830|45834|4|OK|CUST-8132|Rahul Verma|Corporate|West|Goa|Panaji|Furniture|Tables|Pro Tables 257|Standard Class|3|1946.18|0.2|4670.83|3166.49|1504.34|Paid|Completed</v>
      </c>
      <c r="Y488">
        <f>COUNTIF($X$2:$X$1000, X488)</f>
        <v>1</v>
      </c>
      <c r="Z488">
        <f>COUNTIF($A$2:$A$1000, A488)</f>
        <v>1</v>
      </c>
      <c r="AA488" t="str">
        <f>IF(Y488&gt;1, "Exact Duplicate",
  IF(Z488&gt;1, "Conflicting Duplicate - Review",
    "Unique"))</f>
        <v>Unique</v>
      </c>
      <c r="AB488" s="2">
        <f>IF(ISBLANK(R488), 0, IF(ISTEXT(R488), VALUE(SUBSTITUTE(R488, "%", ""))/100, IF(OR(R488&lt;0, R488&gt;1), "Invalid", R488)))</f>
        <v>0.2</v>
      </c>
      <c r="AC488" s="4">
        <f>IF(AB488="Invalid", "Error", P488 * Q488 * (1 - AB488))</f>
        <v>4670.8320000000003</v>
      </c>
      <c r="AD488" s="4">
        <f>IF(AC488="Error", "Error", AC488 - T488)</f>
        <v>1504.3420000000006</v>
      </c>
      <c r="AE488" s="2">
        <f>IF(AC488="Error", "Error", IF(AC488=0, 0, AD488 / AC488))</f>
        <v>0.3220715281560117</v>
      </c>
      <c r="AF488" s="7">
        <f>C488-B488</f>
        <v>4</v>
      </c>
      <c r="AG488" s="2" t="str">
        <f>TEXT(B488, "mmmm")</f>
        <v>June</v>
      </c>
      <c r="AH488" s="4">
        <f>YEAR(B488)</f>
        <v>2025</v>
      </c>
      <c r="AI488" s="2" t="str">
        <f t="shared" si="21"/>
        <v>Clean</v>
      </c>
      <c r="AJ488">
        <f>COUNTIFS($A$2:$A$1000,A488,$B$2:$B$1000,B488,$C$2:$C$1000,C488,$D$2:$D$1000,D488,$E$2:$E$1000,E488,$F$2:$F$1000,F488)</f>
        <v>1</v>
      </c>
      <c r="AK488">
        <f>COUNTIF($A$2:$A$1000, A488)</f>
        <v>1</v>
      </c>
    </row>
    <row r="489" spans="1:37">
      <c r="A489" t="s">
        <v>1561</v>
      </c>
      <c r="B489" s="5">
        <v>45818</v>
      </c>
      <c r="C489" s="5">
        <v>45825</v>
      </c>
      <c r="D489" s="6">
        <f>IF(AND(C489&lt;&gt;"",B489&lt;&gt;""), C489-B489, "Missing Date")</f>
        <v>7</v>
      </c>
      <c r="E489" s="6" t="str">
        <f>IF(OR(B489="",C489=""), "Missing Date",
    IF(C489&lt;B489, "Invalid: Ship before Order",
      "OK"))</f>
        <v>OK</v>
      </c>
      <c r="F489" t="s">
        <v>1562</v>
      </c>
      <c r="G489" t="s">
        <v>118</v>
      </c>
      <c r="H489" t="s">
        <v>90</v>
      </c>
      <c r="I489" t="s">
        <v>54</v>
      </c>
      <c r="J489" t="s">
        <v>55</v>
      </c>
      <c r="K489" t="s">
        <v>56</v>
      </c>
      <c r="L489" t="s">
        <v>41</v>
      </c>
      <c r="M489" t="s">
        <v>57</v>
      </c>
      <c r="N489" t="s">
        <v>1563</v>
      </c>
      <c r="O489" t="s">
        <v>59</v>
      </c>
      <c r="P489">
        <v>5</v>
      </c>
      <c r="Q489">
        <v>1231.0999999999999</v>
      </c>
      <c r="R489">
        <v>0</v>
      </c>
      <c r="S489">
        <v>6155.5</v>
      </c>
      <c r="T489">
        <v>4282.09</v>
      </c>
      <c r="U489">
        <v>1873.41</v>
      </c>
      <c r="V489" t="s">
        <v>102</v>
      </c>
      <c r="W489" t="s">
        <v>103</v>
      </c>
      <c r="X489" t="str">
        <f>_xlfn.TEXTJOIN("|", TRUE, A489:W489)</f>
        <v>ORD-2025-10488|45818|45825|7|OK|CUST-7685|Rahul Verma|Corporate|South|Telangana|Hyderabad|Furniture|Furnishings|Prime Furnishings 299|Standard Class|5|1231.1|0|6155.5|4282.09|1873.41|Refunded|Returned</v>
      </c>
      <c r="Y489">
        <f>COUNTIF($X$2:$X$1000, X489)</f>
        <v>1</v>
      </c>
      <c r="Z489">
        <f>COUNTIF($A$2:$A$1000, A489)</f>
        <v>1</v>
      </c>
      <c r="AA489" t="str">
        <f>IF(Y489&gt;1, "Exact Duplicate",
  IF(Z489&gt;1, "Conflicting Duplicate - Review",
    "Unique"))</f>
        <v>Unique</v>
      </c>
      <c r="AB489" s="2">
        <f>IF(ISBLANK(R489), 0, IF(ISTEXT(R489), VALUE(SUBSTITUTE(R489, "%", ""))/100, IF(OR(R489&lt;0, R489&gt;1), "Invalid", R489)))</f>
        <v>0</v>
      </c>
      <c r="AC489" s="4">
        <f>IF(AB489="Invalid", "Error", P489 * Q489 * (1 - AB489))</f>
        <v>6155.5</v>
      </c>
      <c r="AD489" s="4">
        <f>IF(AC489="Error", "Error", AC489 - T489)</f>
        <v>1873.4099999999999</v>
      </c>
      <c r="AE489" s="2">
        <f>IF(AC489="Error", "Error", IF(AC489=0, 0, AD489 / AC489))</f>
        <v>0.3043473316546178</v>
      </c>
      <c r="AF489" s="7">
        <f>C489-B489</f>
        <v>7</v>
      </c>
      <c r="AG489" s="2" t="str">
        <f>TEXT(B489, "mmmm")</f>
        <v>June</v>
      </c>
      <c r="AH489" s="4">
        <f>YEAR(B489)</f>
        <v>2025</v>
      </c>
      <c r="AI489" s="2" t="str">
        <f t="shared" si="21"/>
        <v>Clean</v>
      </c>
      <c r="AJ489">
        <f>COUNTIFS($A$2:$A$1000,A489,$B$2:$B$1000,B489,$C$2:$C$1000,C489,$D$2:$D$1000,D489,$E$2:$E$1000,E489,$F$2:$F$1000,F489)</f>
        <v>1</v>
      </c>
      <c r="AK489">
        <f>COUNTIF($A$2:$A$1000, A489)</f>
        <v>1</v>
      </c>
    </row>
    <row r="490" spans="1:37">
      <c r="A490" t="s">
        <v>1564</v>
      </c>
      <c r="B490" s="5">
        <v>45579</v>
      </c>
      <c r="C490" s="5">
        <v>45585</v>
      </c>
      <c r="D490" s="6">
        <f>IF(AND(C490&lt;&gt;"",B490&lt;&gt;""), C490-B490, "Missing Date")</f>
        <v>6</v>
      </c>
      <c r="E490" s="6" t="str">
        <f>IF(OR(B490="",C490=""), "Missing Date",
    IF(C490&lt;B490, "Invalid: Ship before Order",
      "OK"))</f>
        <v>OK</v>
      </c>
      <c r="F490" t="s">
        <v>1565</v>
      </c>
      <c r="G490" t="s">
        <v>89</v>
      </c>
      <c r="H490" t="s">
        <v>37</v>
      </c>
      <c r="I490" t="s">
        <v>25</v>
      </c>
      <c r="J490" t="s">
        <v>26</v>
      </c>
      <c r="K490" t="s">
        <v>27</v>
      </c>
      <c r="L490" t="s">
        <v>41</v>
      </c>
      <c r="M490" t="s">
        <v>42</v>
      </c>
      <c r="N490" t="s">
        <v>1566</v>
      </c>
      <c r="O490" t="s">
        <v>44</v>
      </c>
      <c r="P490">
        <v>7</v>
      </c>
      <c r="Q490">
        <v>1547.6</v>
      </c>
      <c r="R490">
        <v>0.2</v>
      </c>
      <c r="S490">
        <v>8666.56</v>
      </c>
      <c r="T490">
        <v>5967.44</v>
      </c>
      <c r="U490">
        <v>2699.12</v>
      </c>
      <c r="V490" t="s">
        <v>32</v>
      </c>
      <c r="W490" t="s">
        <v>33</v>
      </c>
      <c r="X490" t="str">
        <f>_xlfn.TEXTJOIN("|", TRUE, A490:W490)</f>
        <v>ORD-2024-10489|45579|45585|6|OK|CUST-2183|Aditi Sen|Small Business|North|Rajasthan|Jaipur|Furniture|Tables|Eco Tables 487|Same Day|7|1547.6|0.2|8666.56|5967.44|2699.12|Paid|Completed</v>
      </c>
      <c r="Y490">
        <f>COUNTIF($X$2:$X$1000, X490)</f>
        <v>1</v>
      </c>
      <c r="Z490">
        <f>COUNTIF($A$2:$A$1000, A490)</f>
        <v>1</v>
      </c>
      <c r="AA490" t="str">
        <f>IF(Y490&gt;1, "Exact Duplicate",
  IF(Z490&gt;1, "Conflicting Duplicate - Review",
    "Unique"))</f>
        <v>Unique</v>
      </c>
      <c r="AB490" s="2">
        <f>IF(ISBLANK(R490), 0, IF(ISTEXT(R490), VALUE(SUBSTITUTE(R490, "%", ""))/100, IF(OR(R490&lt;0, R490&gt;1), "Invalid", R490)))</f>
        <v>0.2</v>
      </c>
      <c r="AC490" s="4">
        <f>IF(AB490="Invalid", "Error", P490 * Q490 * (1 - AB490))</f>
        <v>8666.56</v>
      </c>
      <c r="AD490" s="4">
        <f>IF(AC490="Error", "Error", AC490 - T490)</f>
        <v>2699.12</v>
      </c>
      <c r="AE490" s="2">
        <f>IF(AC490="Error", "Error", IF(AC490=0, 0, AD490 / AC490))</f>
        <v>0.31144075619392242</v>
      </c>
      <c r="AF490" s="7">
        <f>C490-B490</f>
        <v>6</v>
      </c>
      <c r="AG490" s="2" t="str">
        <f>TEXT(B490, "mmmm")</f>
        <v>October</v>
      </c>
      <c r="AH490" s="4">
        <f>YEAR(B490)</f>
        <v>2024</v>
      </c>
      <c r="AI490" s="2" t="str">
        <f t="shared" si="21"/>
        <v>Clean</v>
      </c>
      <c r="AJ490">
        <f>COUNTIFS($A$2:$A$1000,A490,$B$2:$B$1000,B490,$C$2:$C$1000,C490,$D$2:$D$1000,D490,$E$2:$E$1000,E490,$F$2:$F$1000,F490)</f>
        <v>1</v>
      </c>
      <c r="AK490">
        <f>COUNTIF($A$2:$A$1000, A490)</f>
        <v>1</v>
      </c>
    </row>
    <row r="491" spans="1:37">
      <c r="A491" t="s">
        <v>1567</v>
      </c>
      <c r="B491" s="5">
        <v>45329</v>
      </c>
      <c r="C491" s="5">
        <v>45334</v>
      </c>
      <c r="D491" s="6">
        <f>IF(AND(C491&lt;&gt;"",B491&lt;&gt;""), C491-B491, "Missing Date")</f>
        <v>5</v>
      </c>
      <c r="E491" s="6" t="str">
        <f>IF(OR(B491="",C491=""), "Missing Date",
    IF(C491&lt;B491, "Invalid: Ship before Order",
      "OK"))</f>
        <v>OK</v>
      </c>
      <c r="F491" t="s">
        <v>1568</v>
      </c>
      <c r="G491" t="s">
        <v>53</v>
      </c>
      <c r="H491" t="s">
        <v>95</v>
      </c>
      <c r="I491" t="s">
        <v>38</v>
      </c>
      <c r="J491" t="s">
        <v>99</v>
      </c>
      <c r="K491" t="s">
        <v>100</v>
      </c>
      <c r="L491" t="s">
        <v>74</v>
      </c>
      <c r="M491" t="s">
        <v>75</v>
      </c>
      <c r="N491" t="s">
        <v>1569</v>
      </c>
      <c r="O491" t="s">
        <v>31</v>
      </c>
      <c r="P491">
        <v>1</v>
      </c>
      <c r="Q491">
        <v>452.19</v>
      </c>
      <c r="R491">
        <v>0.2</v>
      </c>
      <c r="S491">
        <v>361.75</v>
      </c>
      <c r="T491">
        <v>262.52999999999997</v>
      </c>
      <c r="U491">
        <v>99.22</v>
      </c>
      <c r="V491" t="s">
        <v>32</v>
      </c>
      <c r="W491" t="s">
        <v>33</v>
      </c>
      <c r="X491" t="str">
        <f>_xlfn.TEXTJOIN("|", TRUE, A491:W491)</f>
        <v>ORD-2024-10490|45329|45334|5|OK|CUST-1636|Arjun Bose|Home Office|East|West Bengal|Kolkata|Technology|Accessories|Prime Accessories 960|Second Class|1|452.19|0.2|361.75|262.53|99.22|Paid|Completed</v>
      </c>
      <c r="Y491">
        <f>COUNTIF($X$2:$X$1000, X491)</f>
        <v>1</v>
      </c>
      <c r="Z491">
        <f>COUNTIF($A$2:$A$1000, A491)</f>
        <v>1</v>
      </c>
      <c r="AA491" t="str">
        <f>IF(Y491&gt;1, "Exact Duplicate",
  IF(Z491&gt;1, "Conflicting Duplicate - Review",
    "Unique"))</f>
        <v>Unique</v>
      </c>
      <c r="AB491" s="2">
        <f>IF(ISBLANK(R491), 0, IF(ISTEXT(R491), VALUE(SUBSTITUTE(R491, "%", ""))/100, IF(OR(R491&lt;0, R491&gt;1), "Invalid", R491)))</f>
        <v>0.2</v>
      </c>
      <c r="AC491" s="4">
        <f>IF(AB491="Invalid", "Error", P491 * Q491 * (1 - AB491))</f>
        <v>361.75200000000001</v>
      </c>
      <c r="AD491" s="4">
        <f>IF(AC491="Error", "Error", AC491 - T491)</f>
        <v>99.222000000000037</v>
      </c>
      <c r="AE491" s="2">
        <f>IF(AC491="Error", "Error", IF(AC491=0, 0, AD491 / AC491))</f>
        <v>0.27428182843495003</v>
      </c>
      <c r="AF491" s="7">
        <f>C491-B491</f>
        <v>5</v>
      </c>
      <c r="AG491" s="2" t="str">
        <f>TEXT(B491, "mmmm")</f>
        <v>February</v>
      </c>
      <c r="AH491" s="4">
        <f>YEAR(B491)</f>
        <v>2024</v>
      </c>
      <c r="AI491" s="2" t="str">
        <f t="shared" si="21"/>
        <v>Clean</v>
      </c>
      <c r="AJ491">
        <f>COUNTIFS($A$2:$A$1000,A491,$B$2:$B$1000,B491,$C$2:$C$1000,C491,$D$2:$D$1000,D491,$E$2:$E$1000,E491,$F$2:$F$1000,F491)</f>
        <v>1</v>
      </c>
      <c r="AK491">
        <f>COUNTIF($A$2:$A$1000, A491)</f>
        <v>1</v>
      </c>
    </row>
    <row r="492" spans="1:37">
      <c r="A492" t="s">
        <v>1570</v>
      </c>
      <c r="B492" s="5">
        <v>45551</v>
      </c>
      <c r="C492" s="5">
        <v>45554</v>
      </c>
      <c r="D492" s="6">
        <f>IF(AND(C492&lt;&gt;"",B492&lt;&gt;""), C492-B492, "Missing Date")</f>
        <v>3</v>
      </c>
      <c r="E492" s="6" t="str">
        <f>IF(OR(B492="",C492=""), "Missing Date",
    IF(C492&lt;B492, "Invalid: Ship before Order",
      "OK"))</f>
        <v>OK</v>
      </c>
      <c r="F492" t="s">
        <v>1571</v>
      </c>
      <c r="G492" t="s">
        <v>89</v>
      </c>
      <c r="H492" t="s">
        <v>24</v>
      </c>
      <c r="I492" t="s">
        <v>63</v>
      </c>
      <c r="J492" t="s">
        <v>26</v>
      </c>
      <c r="K492" t="s">
        <v>109</v>
      </c>
      <c r="L492" t="s">
        <v>28</v>
      </c>
      <c r="M492" t="s">
        <v>153</v>
      </c>
      <c r="N492" t="s">
        <v>1572</v>
      </c>
      <c r="O492" t="s">
        <v>50</v>
      </c>
      <c r="P492">
        <v>7</v>
      </c>
      <c r="Q492">
        <v>406.42</v>
      </c>
      <c r="R492">
        <v>0.15</v>
      </c>
      <c r="S492">
        <v>2418.1999999999998</v>
      </c>
      <c r="T492">
        <v>1613.82</v>
      </c>
      <c r="U492">
        <v>804.38</v>
      </c>
      <c r="V492" t="s">
        <v>32</v>
      </c>
      <c r="W492" t="s">
        <v>33</v>
      </c>
      <c r="X492" t="str">
        <f>_xlfn.TEXTJOIN("|", TRUE, A492:W492)</f>
        <v>ORD-2024-10491|45551|45554|3|OK|CUST-1350|Aditi Sen|Consumer|West|Rajasthan|Udaipur|Office Supplies|Binders|Smart Binders 191|First Class|7|406.42|0.15|2418.2|1613.82|804.38|Paid|Completed</v>
      </c>
      <c r="Y492">
        <f>COUNTIF($X$2:$X$1000, X492)</f>
        <v>1</v>
      </c>
      <c r="Z492">
        <f>COUNTIF($A$2:$A$1000, A492)</f>
        <v>1</v>
      </c>
      <c r="AA492" t="str">
        <f>IF(Y492&gt;1, "Exact Duplicate",
  IF(Z492&gt;1, "Conflicting Duplicate - Review",
    "Unique"))</f>
        <v>Unique</v>
      </c>
      <c r="AB492" s="2">
        <f>IF(ISBLANK(R492), 0, IF(ISTEXT(R492), VALUE(SUBSTITUTE(R492, "%", ""))/100, IF(OR(R492&lt;0, R492&gt;1), "Invalid", R492)))</f>
        <v>0.15</v>
      </c>
      <c r="AC492" s="4">
        <f>IF(AB492="Invalid", "Error", P492 * Q492 * (1 - AB492))</f>
        <v>2418.1990000000001</v>
      </c>
      <c r="AD492" s="4">
        <f>IF(AC492="Error", "Error", AC492 - T492)</f>
        <v>804.37900000000013</v>
      </c>
      <c r="AE492" s="2">
        <f>IF(AC492="Error", "Error", IF(AC492=0, 0, AD492 / AC492))</f>
        <v>0.33263556886757462</v>
      </c>
      <c r="AF492" s="7">
        <f>C492-B492</f>
        <v>3</v>
      </c>
      <c r="AG492" s="2" t="str">
        <f>TEXT(B492, "mmmm")</f>
        <v>September</v>
      </c>
      <c r="AH492" s="4">
        <f>YEAR(B492)</f>
        <v>2024</v>
      </c>
      <c r="AI492" s="2" t="str">
        <f t="shared" si="21"/>
        <v>Clean</v>
      </c>
      <c r="AJ492">
        <f>COUNTIFS($A$2:$A$1000,A492,$B$2:$B$1000,B492,$C$2:$C$1000,C492,$D$2:$D$1000,D492,$E$2:$E$1000,E492,$F$2:$F$1000,F492)</f>
        <v>1</v>
      </c>
      <c r="AK492">
        <f>COUNTIF($A$2:$A$1000, A492)</f>
        <v>1</v>
      </c>
    </row>
    <row r="493" spans="1:37">
      <c r="A493" t="s">
        <v>1573</v>
      </c>
      <c r="B493" s="5">
        <v>45776</v>
      </c>
      <c r="C493" s="5">
        <v>45777</v>
      </c>
      <c r="D493" s="6">
        <f>IF(AND(C493&lt;&gt;"",B493&lt;&gt;""), C493-B493, "Missing Date")</f>
        <v>1</v>
      </c>
      <c r="E493" s="6" t="str">
        <f>IF(OR(B493="",C493=""), "Missing Date",
    IF(C493&lt;B493, "Invalid: Ship before Order",
      "OK"))</f>
        <v>OK</v>
      </c>
      <c r="F493" t="s">
        <v>1574</v>
      </c>
      <c r="G493" t="s">
        <v>36</v>
      </c>
      <c r="H493" t="s">
        <v>90</v>
      </c>
      <c r="I493" t="s">
        <v>54</v>
      </c>
      <c r="J493" t="s">
        <v>185</v>
      </c>
      <c r="K493" t="s">
        <v>186</v>
      </c>
      <c r="L493" t="s">
        <v>74</v>
      </c>
      <c r="M493" t="s">
        <v>75</v>
      </c>
      <c r="N493" t="s">
        <v>1575</v>
      </c>
      <c r="O493" t="s">
        <v>59</v>
      </c>
      <c r="P493">
        <v>4</v>
      </c>
      <c r="Q493">
        <v>606.58000000000004</v>
      </c>
      <c r="R493">
        <v>0.2</v>
      </c>
      <c r="S493">
        <v>1941.06</v>
      </c>
      <c r="T493">
        <v>1207.42</v>
      </c>
      <c r="U493">
        <v>733.64</v>
      </c>
      <c r="V493" t="s">
        <v>32</v>
      </c>
      <c r="W493" t="s">
        <v>33</v>
      </c>
      <c r="X493" t="str">
        <f>_xlfn.TEXTJOIN("|", TRUE, A493:W493)</f>
        <v>ORD-2025-10492|45776|45777|1|OK|CUST-4101|Mira Das|Corporate|South|Kerala|Kochi|Technology|Accessories|Prime Accessories 118|Standard Class|4|606.58|0.2|1941.06|1207.42|733.64|Paid|Completed</v>
      </c>
      <c r="Y493">
        <f>COUNTIF($X$2:$X$1000, X493)</f>
        <v>1</v>
      </c>
      <c r="Z493">
        <f>COUNTIF($A$2:$A$1000, A493)</f>
        <v>1</v>
      </c>
      <c r="AA493" t="str">
        <f>IF(Y493&gt;1, "Exact Duplicate",
  IF(Z493&gt;1, "Conflicting Duplicate - Review",
    "Unique"))</f>
        <v>Unique</v>
      </c>
      <c r="AB493" s="2">
        <f>IF(ISBLANK(R493), 0, IF(ISTEXT(R493), VALUE(SUBSTITUTE(R493, "%", ""))/100, IF(OR(R493&lt;0, R493&gt;1), "Invalid", R493)))</f>
        <v>0.2</v>
      </c>
      <c r="AC493" s="4">
        <f>IF(AB493="Invalid", "Error", P493 * Q493 * (1 - AB493))</f>
        <v>1941.0560000000003</v>
      </c>
      <c r="AD493" s="4">
        <f>IF(AC493="Error", "Error", AC493 - T493)</f>
        <v>733.63600000000019</v>
      </c>
      <c r="AE493" s="2">
        <f>IF(AC493="Error", "Error", IF(AC493=0, 0, AD493 / AC493))</f>
        <v>0.37795715321969076</v>
      </c>
      <c r="AF493" s="7">
        <f>C493-B493</f>
        <v>1</v>
      </c>
      <c r="AG493" s="2" t="str">
        <f>TEXT(B493, "mmmm")</f>
        <v>April</v>
      </c>
      <c r="AH493" s="4">
        <f>YEAR(B493)</f>
        <v>2025</v>
      </c>
      <c r="AI493" s="2" t="str">
        <f t="shared" si="21"/>
        <v>Clean</v>
      </c>
      <c r="AJ493">
        <f>COUNTIFS($A$2:$A$1000,A493,$B$2:$B$1000,B493,$C$2:$C$1000,C493,$D$2:$D$1000,D493,$E$2:$E$1000,E493,$F$2:$F$1000,F493)</f>
        <v>1</v>
      </c>
      <c r="AK493">
        <f>COUNTIF($A$2:$A$1000, A493)</f>
        <v>1</v>
      </c>
    </row>
    <row r="494" spans="1:37">
      <c r="A494" t="s">
        <v>1576</v>
      </c>
      <c r="B494" s="5">
        <v>45836</v>
      </c>
      <c r="C494" s="5">
        <v>45695</v>
      </c>
      <c r="D494" s="6">
        <f>IF(AND(C494&lt;&gt;"",B494&lt;&gt;""), C494-B494, "Missing Date")</f>
        <v>-141</v>
      </c>
      <c r="E494" s="6" t="str">
        <f>IF(OR(B494="",C494=""), "Missing Date",
    IF(C494&lt;B494, "Invalid: Ship before Order",
      "OK"))</f>
        <v>Invalid: Ship before Order</v>
      </c>
      <c r="F494" t="s">
        <v>1577</v>
      </c>
      <c r="G494" t="s">
        <v>62</v>
      </c>
      <c r="H494" t="s">
        <v>90</v>
      </c>
      <c r="I494" t="s">
        <v>54</v>
      </c>
      <c r="J494" t="s">
        <v>84</v>
      </c>
      <c r="K494" t="s">
        <v>85</v>
      </c>
      <c r="L494" t="s">
        <v>28</v>
      </c>
      <c r="M494" t="s">
        <v>124</v>
      </c>
      <c r="N494" t="s">
        <v>1578</v>
      </c>
      <c r="O494" t="s">
        <v>31</v>
      </c>
      <c r="P494">
        <v>2</v>
      </c>
      <c r="Q494">
        <v>2725.44</v>
      </c>
      <c r="R494">
        <v>0.25</v>
      </c>
      <c r="S494">
        <v>4088.16</v>
      </c>
      <c r="T494">
        <v>3205.68</v>
      </c>
      <c r="U494">
        <v>882.48</v>
      </c>
      <c r="V494" t="s">
        <v>32</v>
      </c>
      <c r="W494" t="s">
        <v>33</v>
      </c>
      <c r="X494" t="str">
        <f>_xlfn.TEXTJOIN("|", TRUE, A494:W494)</f>
        <v>ORD-2025-10493|45836|45695|-141|Invalid: Ship before Order|CUST-4679|Ananya Rao|Corporate|South|Andhra Pradesh|Vijayawada|Office Supplies|Storage|Elite Storage 331|Second Class|2|2725.44|0.25|4088.16|3205.68|882.48|Paid|Completed</v>
      </c>
      <c r="Y494">
        <f>COUNTIF($X$2:$X$1000, X494)</f>
        <v>1</v>
      </c>
      <c r="Z494">
        <f>COUNTIF($A$2:$A$1000, A494)</f>
        <v>1</v>
      </c>
      <c r="AA494" t="str">
        <f>IF(Y494&gt;1, "Exact Duplicate",
  IF(Z494&gt;1, "Conflicting Duplicate - Review",
    "Unique"))</f>
        <v>Unique</v>
      </c>
      <c r="AB494" s="2">
        <f>IF(ISBLANK(R494), 0, IF(ISTEXT(R494), VALUE(SUBSTITUTE(R494, "%", ""))/100, IF(OR(R494&lt;0, R494&gt;1), "Invalid", R494)))</f>
        <v>0.25</v>
      </c>
      <c r="AC494" s="4">
        <f>IF(AB494="Invalid", "Error", P494 * Q494 * (1 - AB494))</f>
        <v>4088.16</v>
      </c>
      <c r="AD494" s="4">
        <f>IF(AC494="Error", "Error", AC494 - T494)</f>
        <v>882.48</v>
      </c>
      <c r="AE494" s="2">
        <f>IF(AC494="Error", "Error", IF(AC494=0, 0, AD494 / AC494))</f>
        <v>0.21586239286133616</v>
      </c>
      <c r="AF494" s="7">
        <f>C494-B494</f>
        <v>-141</v>
      </c>
      <c r="AG494" s="2" t="str">
        <f>TEXT(B494, "mmmm")</f>
        <v>June</v>
      </c>
      <c r="AH494" s="4">
        <f>YEAR(B494)</f>
        <v>2025</v>
      </c>
      <c r="AI494" s="2" t="str">
        <f t="shared" si="21"/>
        <v>Invalid Shipping Record</v>
      </c>
      <c r="AJ494">
        <f>COUNTIFS($A$2:$A$1000,A494,$B$2:$B$1000,B494,$C$2:$C$1000,C494,$D$2:$D$1000,D494,$E$2:$E$1000,E494,$F$2:$F$1000,F494)</f>
        <v>1</v>
      </c>
      <c r="AK494">
        <f>COUNTIF($A$2:$A$1000, A494)</f>
        <v>1</v>
      </c>
    </row>
    <row r="495" spans="1:37">
      <c r="A495" t="s">
        <v>1579</v>
      </c>
      <c r="B495" s="5">
        <v>45701</v>
      </c>
      <c r="C495" s="5">
        <v>45701</v>
      </c>
      <c r="D495" s="6">
        <f>IF(AND(C495&lt;&gt;"",B495&lt;&gt;""), C495-B495, "Missing Date")</f>
        <v>0</v>
      </c>
      <c r="E495" s="6" t="str">
        <f>IF(OR(B495="",C495=""), "Missing Date",
    IF(C495&lt;B495, "Invalid: Ship before Order",
      "OK"))</f>
        <v>OK</v>
      </c>
      <c r="F495" t="s">
        <v>1580</v>
      </c>
      <c r="G495" t="s">
        <v>264</v>
      </c>
      <c r="H495" t="s">
        <v>90</v>
      </c>
      <c r="I495" t="s">
        <v>38</v>
      </c>
      <c r="J495" t="s">
        <v>39</v>
      </c>
      <c r="K495" t="s">
        <v>40</v>
      </c>
      <c r="L495" t="s">
        <v>28</v>
      </c>
      <c r="M495" t="s">
        <v>29</v>
      </c>
      <c r="N495" t="s">
        <v>1581</v>
      </c>
      <c r="O495" t="s">
        <v>31</v>
      </c>
      <c r="P495">
        <v>7</v>
      </c>
      <c r="Q495">
        <v>2296.6999999999998</v>
      </c>
      <c r="R495">
        <v>0.05</v>
      </c>
      <c r="S495">
        <v>15273.05</v>
      </c>
      <c r="T495">
        <v>11088.76</v>
      </c>
      <c r="U495">
        <v>4184.29</v>
      </c>
      <c r="V495" t="s">
        <v>32</v>
      </c>
      <c r="W495" t="s">
        <v>33</v>
      </c>
      <c r="X495" t="str">
        <f>_xlfn.TEXTJOIN("|", TRUE, A495:W495)</f>
        <v>ORD-2025-10494|45701|45701|0|OK|CUST-3765|Kabir Singh|Corporate|East|Odisha|Bhubaneswar|Office Supplies|Paper|Prime Paper 996|Second Class|7|2296.7|0.05|15273.05|11088.76|4184.29|Paid|Completed</v>
      </c>
      <c r="Y495">
        <f>COUNTIF($X$2:$X$1000, X495)</f>
        <v>1</v>
      </c>
      <c r="Z495">
        <f>COUNTIF($A$2:$A$1000, A495)</f>
        <v>1</v>
      </c>
      <c r="AA495" t="str">
        <f>IF(Y495&gt;1, "Exact Duplicate",
  IF(Z495&gt;1, "Conflicting Duplicate - Review",
    "Unique"))</f>
        <v>Unique</v>
      </c>
      <c r="AB495" s="2">
        <f>IF(ISBLANK(R495), 0, IF(ISTEXT(R495), VALUE(SUBSTITUTE(R495, "%", ""))/100, IF(OR(R495&lt;0, R495&gt;1), "Invalid", R495)))</f>
        <v>0.05</v>
      </c>
      <c r="AC495" s="4">
        <f>IF(AB495="Invalid", "Error", P495 * Q495 * (1 - AB495))</f>
        <v>15273.054999999997</v>
      </c>
      <c r="AD495" s="4">
        <f>IF(AC495="Error", "Error", AC495 - T495)</f>
        <v>4184.2949999999964</v>
      </c>
      <c r="AE495" s="2">
        <f>IF(AC495="Error", "Error", IF(AC495=0, 0, AD495 / AC495))</f>
        <v>0.27396581757873573</v>
      </c>
      <c r="AF495" s="7">
        <f>C495-B495</f>
        <v>0</v>
      </c>
      <c r="AG495" s="2" t="str">
        <f>TEXT(B495, "mmmm")</f>
        <v>February</v>
      </c>
      <c r="AH495" s="4">
        <f>YEAR(B495)</f>
        <v>2025</v>
      </c>
      <c r="AI495" s="2" t="str">
        <f t="shared" si="21"/>
        <v>Clean</v>
      </c>
      <c r="AJ495">
        <f>COUNTIFS($A$2:$A$1000,A495,$B$2:$B$1000,B495,$C$2:$C$1000,C495,$D$2:$D$1000,D495,$E$2:$E$1000,E495,$F$2:$F$1000,F495)</f>
        <v>1</v>
      </c>
      <c r="AK495">
        <f>COUNTIF($A$2:$A$1000, A495)</f>
        <v>1</v>
      </c>
    </row>
    <row r="496" spans="1:37">
      <c r="A496" t="s">
        <v>1582</v>
      </c>
      <c r="B496" s="5">
        <v>45610</v>
      </c>
      <c r="C496" s="5">
        <v>45618</v>
      </c>
      <c r="D496" s="6">
        <f>IF(AND(C496&lt;&gt;"",B496&lt;&gt;""), C496-B496, "Missing Date")</f>
        <v>8</v>
      </c>
      <c r="E496" s="6" t="str">
        <f>IF(OR(B496="",C496=""), "Missing Date",
    IF(C496&lt;B496, "Invalid: Ship before Order",
      "OK"))</f>
        <v>OK</v>
      </c>
      <c r="F496" t="s">
        <v>1583</v>
      </c>
      <c r="G496" t="s">
        <v>47</v>
      </c>
      <c r="H496" t="s">
        <v>24</v>
      </c>
      <c r="I496" t="s">
        <v>63</v>
      </c>
      <c r="J496" t="s">
        <v>72</v>
      </c>
      <c r="K496" t="s">
        <v>73</v>
      </c>
      <c r="L496" t="s">
        <v>74</v>
      </c>
      <c r="M496" t="s">
        <v>171</v>
      </c>
      <c r="N496" t="s">
        <v>1584</v>
      </c>
      <c r="O496" t="s">
        <v>59</v>
      </c>
      <c r="P496">
        <v>3</v>
      </c>
      <c r="Q496">
        <v>671.68</v>
      </c>
      <c r="R496">
        <v>-0.13</v>
      </c>
      <c r="S496">
        <v>1712.78</v>
      </c>
      <c r="T496">
        <v>1569.38</v>
      </c>
      <c r="U496">
        <v>360.66</v>
      </c>
      <c r="V496" t="s">
        <v>155</v>
      </c>
      <c r="W496" t="s">
        <v>68</v>
      </c>
      <c r="X496" t="str">
        <f>_xlfn.TEXTJOIN("|", TRUE, A496:W496)</f>
        <v>ORD-2024-10495|45610|45618|8|OK|CUST-9056|Isha Nair|Consumer|West|Madhya Pradesh|Indore|Technology|Phones|Smart Phones 125|Standard Class|3|671.68|-0.13|1712.78|1569.38|360.66|Failed|Cancelled</v>
      </c>
      <c r="Y496">
        <f>COUNTIF($X$2:$X$1000, X496)</f>
        <v>1</v>
      </c>
      <c r="Z496">
        <f>COUNTIF($A$2:$A$1000, A496)</f>
        <v>1</v>
      </c>
      <c r="AA496" t="str">
        <f>IF(Y496&gt;1, "Exact Duplicate",
  IF(Z496&gt;1, "Conflicting Duplicate - Review",
    "Unique"))</f>
        <v>Unique</v>
      </c>
      <c r="AB496" s="2" t="str">
        <f>IF(ISBLANK(R496), 0, IF(ISTEXT(R496), VALUE(SUBSTITUTE(R496, "%", ""))/100, IF(OR(R496&lt;0, R496&gt;1), "Invalid", R496)))</f>
        <v>Invalid</v>
      </c>
      <c r="AC496" s="4" t="str">
        <f>IF(AB496="Invalid", "Error", P496 * Q496 * (1 - AB496))</f>
        <v>Error</v>
      </c>
      <c r="AD496" s="4" t="str">
        <f>IF(AC496="Error", "Error", AC496 - T496)</f>
        <v>Error</v>
      </c>
      <c r="AE496" s="2" t="str">
        <f>IF(AC496="Error", "Error", IF(AC496=0, 0, AD496 / AC496))</f>
        <v>Error</v>
      </c>
      <c r="AF496" s="7">
        <f>C496-B496</f>
        <v>8</v>
      </c>
      <c r="AG496" s="2" t="str">
        <f>TEXT(B496, "mmmm")</f>
        <v>November</v>
      </c>
      <c r="AH496" s="4">
        <f>YEAR(B496)</f>
        <v>2024</v>
      </c>
      <c r="AI496" s="2" t="str">
        <f t="shared" si="21"/>
        <v>Invalid: Discount</v>
      </c>
      <c r="AJ496">
        <f>COUNTIFS($A$2:$A$1000,A496,$B$2:$B$1000,B496,$C$2:$C$1000,C496,$D$2:$D$1000,D496,$E$2:$E$1000,E496,$F$2:$F$1000,F496)</f>
        <v>1</v>
      </c>
      <c r="AK496">
        <f>COUNTIF($A$2:$A$1000, A496)</f>
        <v>1</v>
      </c>
    </row>
    <row r="497" spans="1:37">
      <c r="A497" t="s">
        <v>1585</v>
      </c>
      <c r="B497" s="5">
        <v>45540</v>
      </c>
      <c r="C497" s="5">
        <v>45427</v>
      </c>
      <c r="D497" s="6">
        <f>IF(AND(C497&lt;&gt;"",B497&lt;&gt;""), C497-B497, "Missing Date")</f>
        <v>-113</v>
      </c>
      <c r="E497" s="6" t="str">
        <f>IF(OR(B497="",C497=""), "Missing Date",
    IF(C497&lt;B497, "Invalid: Ship before Order",
      "OK"))</f>
        <v>Invalid: Ship before Order</v>
      </c>
      <c r="F497" t="s">
        <v>1586</v>
      </c>
      <c r="G497" t="s">
        <v>36</v>
      </c>
      <c r="H497" t="s">
        <v>37</v>
      </c>
      <c r="I497" t="s">
        <v>38</v>
      </c>
      <c r="J497" t="s">
        <v>166</v>
      </c>
      <c r="K497" t="s">
        <v>167</v>
      </c>
      <c r="L497" t="s">
        <v>74</v>
      </c>
      <c r="M497" t="s">
        <v>171</v>
      </c>
      <c r="N497" t="s">
        <v>1587</v>
      </c>
      <c r="O497" t="s">
        <v>31</v>
      </c>
      <c r="P497">
        <v>4</v>
      </c>
      <c r="Q497">
        <v>995.98</v>
      </c>
      <c r="R497">
        <v>0.05</v>
      </c>
      <c r="S497">
        <v>3784.72</v>
      </c>
      <c r="T497">
        <v>2419.2399999999998</v>
      </c>
      <c r="U497">
        <v>1365.48</v>
      </c>
      <c r="V497" t="s">
        <v>102</v>
      </c>
      <c r="W497" t="s">
        <v>103</v>
      </c>
      <c r="X497" t="str">
        <f>_xlfn.TEXTJOIN("|", TRUE, A497:W497)</f>
        <v>ORD-2024-10496|45540|45427|-113|Invalid: Ship before Order|CUST-9801|Mira Das|Small Business|East|Assam|Guwahati|Technology|Phones|Eco Phones 220|Second Class|4|995.98|0.05|3784.72|2419.24|1365.48|Refunded|Returned</v>
      </c>
      <c r="Y497">
        <f>COUNTIF($X$2:$X$1000, X497)</f>
        <v>1</v>
      </c>
      <c r="Z497">
        <f>COUNTIF($A$2:$A$1000, A497)</f>
        <v>1</v>
      </c>
      <c r="AA497" t="str">
        <f>IF(Y497&gt;1, "Exact Duplicate",
  IF(Z497&gt;1, "Conflicting Duplicate - Review",
    "Unique"))</f>
        <v>Unique</v>
      </c>
      <c r="AB497" s="2">
        <f>IF(ISBLANK(R497), 0, IF(ISTEXT(R497), VALUE(SUBSTITUTE(R497, "%", ""))/100, IF(OR(R497&lt;0, R497&gt;1), "Invalid", R497)))</f>
        <v>0.05</v>
      </c>
      <c r="AC497" s="4">
        <f>IF(AB497="Invalid", "Error", P497 * Q497 * (1 - AB497))</f>
        <v>3784.7239999999997</v>
      </c>
      <c r="AD497" s="4">
        <f>IF(AC497="Error", "Error", AC497 - T497)</f>
        <v>1365.4839999999999</v>
      </c>
      <c r="AE497" s="2">
        <f>IF(AC497="Error", "Error", IF(AC497=0, 0, AD497 / AC497))</f>
        <v>0.36078826355633858</v>
      </c>
      <c r="AF497" s="7">
        <f>C497-B497</f>
        <v>-113</v>
      </c>
      <c r="AG497" s="2" t="str">
        <f>TEXT(B497, "mmmm")</f>
        <v>September</v>
      </c>
      <c r="AH497" s="4">
        <f>YEAR(B497)</f>
        <v>2024</v>
      </c>
      <c r="AI497" s="2" t="str">
        <f t="shared" si="21"/>
        <v>Invalid Shipping Record</v>
      </c>
      <c r="AJ497">
        <f>COUNTIFS($A$2:$A$1000,A497,$B$2:$B$1000,B497,$C$2:$C$1000,C497,$D$2:$D$1000,D497,$E$2:$E$1000,E497,$F$2:$F$1000,F497)</f>
        <v>1</v>
      </c>
      <c r="AK497">
        <f>COUNTIF($A$2:$A$1000, A497)</f>
        <v>1</v>
      </c>
    </row>
    <row r="498" spans="1:37">
      <c r="A498" t="s">
        <v>1588</v>
      </c>
      <c r="B498" s="5">
        <v>45842</v>
      </c>
      <c r="C498" s="5">
        <v>45844</v>
      </c>
      <c r="D498" s="6">
        <f>IF(AND(C498&lt;&gt;"",B498&lt;&gt;""), C498-B498, "Missing Date")</f>
        <v>2</v>
      </c>
      <c r="E498" s="6" t="str">
        <f>IF(OR(B498="",C498=""), "Missing Date",
    IF(C498&lt;B498, "Invalid: Ship before Order",
      "OK"))</f>
        <v>OK</v>
      </c>
      <c r="F498" t="s">
        <v>1589</v>
      </c>
      <c r="G498" t="s">
        <v>264</v>
      </c>
      <c r="H498" t="s">
        <v>37</v>
      </c>
      <c r="I498" t="s">
        <v>38</v>
      </c>
      <c r="J498" t="s">
        <v>228</v>
      </c>
      <c r="K498" t="s">
        <v>229</v>
      </c>
      <c r="L498" t="s">
        <v>41</v>
      </c>
      <c r="M498" t="s">
        <v>66</v>
      </c>
      <c r="N498" t="s">
        <v>1590</v>
      </c>
      <c r="O498" t="s">
        <v>31</v>
      </c>
      <c r="P498">
        <v>2</v>
      </c>
      <c r="Q498">
        <v>3686.42</v>
      </c>
      <c r="R498">
        <v>0.1</v>
      </c>
      <c r="S498">
        <v>6635.56</v>
      </c>
      <c r="T498">
        <v>3652.91</v>
      </c>
      <c r="U498">
        <v>2982.65</v>
      </c>
      <c r="V498" t="s">
        <v>32</v>
      </c>
      <c r="W498" t="s">
        <v>33</v>
      </c>
      <c r="X498" t="str">
        <f>_xlfn.TEXTJOIN("|", TRUE, A498:W498)</f>
        <v>ORD-2025-10497|45842|45844|2|OK|CUST-2038|Kabir Singh|Small Business|East|Jharkhand|Ranchi|Furniture|Chairs|Eco Chairs 795|Second Class|2|3686.42|0.1|6635.56|3652.91|2982.65|Paid|Completed</v>
      </c>
      <c r="Y498">
        <f>COUNTIF($X$2:$X$1000, X498)</f>
        <v>1</v>
      </c>
      <c r="Z498">
        <f>COUNTIF($A$2:$A$1000, A498)</f>
        <v>1</v>
      </c>
      <c r="AA498" t="str">
        <f>IF(Y498&gt;1, "Exact Duplicate",
  IF(Z498&gt;1, "Conflicting Duplicate - Review",
    "Unique"))</f>
        <v>Unique</v>
      </c>
      <c r="AB498" s="2">
        <f>IF(ISBLANK(R498), 0, IF(ISTEXT(R498), VALUE(SUBSTITUTE(R498, "%", ""))/100, IF(OR(R498&lt;0, R498&gt;1), "Invalid", R498)))</f>
        <v>0.1</v>
      </c>
      <c r="AC498" s="4">
        <f>IF(AB498="Invalid", "Error", P498 * Q498 * (1 - AB498))</f>
        <v>6635.5560000000005</v>
      </c>
      <c r="AD498" s="4">
        <f>IF(AC498="Error", "Error", AC498 - T498)</f>
        <v>2982.6460000000006</v>
      </c>
      <c r="AE498" s="2">
        <f>IF(AC498="Error", "Error", IF(AC498=0, 0, AD498 / AC498))</f>
        <v>0.44949451108543131</v>
      </c>
      <c r="AF498" s="7">
        <f>C498-B498</f>
        <v>2</v>
      </c>
      <c r="AG498" s="2" t="str">
        <f>TEXT(B498, "mmmm")</f>
        <v>July</v>
      </c>
      <c r="AH498" s="4">
        <f>YEAR(B498)</f>
        <v>2025</v>
      </c>
      <c r="AI498" s="2" t="str">
        <f t="shared" si="21"/>
        <v>Clean</v>
      </c>
      <c r="AJ498">
        <f>COUNTIFS($A$2:$A$1000,A498,$B$2:$B$1000,B498,$C$2:$C$1000,C498,$D$2:$D$1000,D498,$E$2:$E$1000,E498,$F$2:$F$1000,F498)</f>
        <v>1</v>
      </c>
      <c r="AK498">
        <f>COUNTIF($A$2:$A$1000, A498)</f>
        <v>1</v>
      </c>
    </row>
    <row r="499" spans="1:37">
      <c r="A499" t="s">
        <v>1591</v>
      </c>
      <c r="B499" s="5">
        <v>45533</v>
      </c>
      <c r="C499" s="5">
        <v>45533</v>
      </c>
      <c r="D499" s="6">
        <f>IF(AND(C499&lt;&gt;"",B499&lt;&gt;""), C499-B499, "Missing Date")</f>
        <v>0</v>
      </c>
      <c r="E499" s="6" t="str">
        <f>IF(OR(B499="",C499=""), "Missing Date",
    IF(C499&lt;B499, "Invalid: Ship before Order",
      "OK"))</f>
        <v>OK</v>
      </c>
      <c r="F499" t="s">
        <v>1592</v>
      </c>
      <c r="G499" t="s">
        <v>132</v>
      </c>
      <c r="H499" t="s">
        <v>37</v>
      </c>
      <c r="I499" t="s">
        <v>25</v>
      </c>
      <c r="J499" t="s">
        <v>136</v>
      </c>
      <c r="K499" t="s">
        <v>137</v>
      </c>
      <c r="L499" t="s">
        <v>74</v>
      </c>
      <c r="M499" t="s">
        <v>75</v>
      </c>
      <c r="N499" t="s">
        <v>1593</v>
      </c>
      <c r="O499" t="s">
        <v>31</v>
      </c>
      <c r="P499">
        <v>1</v>
      </c>
      <c r="Q499">
        <v>3106.88</v>
      </c>
      <c r="R499">
        <v>0.2</v>
      </c>
      <c r="S499">
        <v>2485.5</v>
      </c>
      <c r="T499">
        <v>2028.43</v>
      </c>
      <c r="U499">
        <v>457.07</v>
      </c>
      <c r="V499" t="s">
        <v>32</v>
      </c>
      <c r="W499" t="s">
        <v>68</v>
      </c>
      <c r="X499" t="str">
        <f>_xlfn.TEXTJOIN("|", TRUE, A499:W499)</f>
        <v>ORD-2024-10498|45533|45533|0|OK|CUST-1567|Sneha Kapoor|Small Business|North|Uttar Pradesh|Noida|Technology|Accessories|Smart Accessories 896|Second Class|1|3106.88|0.2|2485.5|2028.43|457.07|Paid|Cancelled</v>
      </c>
      <c r="Y499">
        <f>COUNTIF($X$2:$X$1000, X499)</f>
        <v>1</v>
      </c>
      <c r="Z499">
        <f>COUNTIF($A$2:$A$1000, A499)</f>
        <v>1</v>
      </c>
      <c r="AA499" t="str">
        <f>IF(Y499&gt;1, "Exact Duplicate",
  IF(Z499&gt;1, "Conflicting Duplicate - Review",
    "Unique"))</f>
        <v>Unique</v>
      </c>
      <c r="AB499" s="2">
        <f>IF(ISBLANK(R499), 0, IF(ISTEXT(R499), VALUE(SUBSTITUTE(R499, "%", ""))/100, IF(OR(R499&lt;0, R499&gt;1), "Invalid", R499)))</f>
        <v>0.2</v>
      </c>
      <c r="AC499" s="4">
        <f>IF(AB499="Invalid", "Error", P499 * Q499 * (1 - AB499))</f>
        <v>2485.5040000000004</v>
      </c>
      <c r="AD499" s="4">
        <f>IF(AC499="Error", "Error", AC499 - T499)</f>
        <v>457.0740000000003</v>
      </c>
      <c r="AE499" s="2">
        <f>IF(AC499="Error", "Error", IF(AC499=0, 0, AD499 / AC499))</f>
        <v>0.18389590199814615</v>
      </c>
      <c r="AF499" s="7">
        <f>C499-B499</f>
        <v>0</v>
      </c>
      <c r="AG499" s="2" t="str">
        <f>TEXT(B499, "mmmm")</f>
        <v>August</v>
      </c>
      <c r="AH499" s="4">
        <f>YEAR(B499)</f>
        <v>2024</v>
      </c>
      <c r="AI499" s="2" t="str">
        <f t="shared" si="21"/>
        <v>Excluded from Sales</v>
      </c>
      <c r="AJ499">
        <f>COUNTIFS($A$2:$A$1000,A499,$B$2:$B$1000,B499,$C$2:$C$1000,C499,$D$2:$D$1000,D499,$E$2:$E$1000,E499,$F$2:$F$1000,F499)</f>
        <v>1</v>
      </c>
      <c r="AK499">
        <f>COUNTIF($A$2:$A$1000, A499)</f>
        <v>1</v>
      </c>
    </row>
    <row r="500" spans="1:37">
      <c r="A500" t="s">
        <v>1594</v>
      </c>
      <c r="B500" s="5">
        <v>45907</v>
      </c>
      <c r="C500" s="5">
        <v>45910</v>
      </c>
      <c r="D500" s="6">
        <f>IF(AND(C500&lt;&gt;"",B500&lt;&gt;""), C500-B500, "Missing Date")</f>
        <v>3</v>
      </c>
      <c r="E500" s="6" t="str">
        <f>IF(OR(B500="",C500=""), "Missing Date",
    IF(C500&lt;B500, "Invalid: Ship before Order",
      "OK"))</f>
        <v>OK</v>
      </c>
      <c r="F500" t="s">
        <v>1595</v>
      </c>
      <c r="G500" t="s">
        <v>23</v>
      </c>
      <c r="H500" t="s">
        <v>24</v>
      </c>
      <c r="I500" t="s">
        <v>25</v>
      </c>
      <c r="J500" t="s">
        <v>122</v>
      </c>
      <c r="K500" t="s">
        <v>123</v>
      </c>
      <c r="L500" t="s">
        <v>41</v>
      </c>
      <c r="M500" t="s">
        <v>66</v>
      </c>
      <c r="N500" t="s">
        <v>1596</v>
      </c>
      <c r="O500" t="s">
        <v>44</v>
      </c>
      <c r="P500">
        <v>2</v>
      </c>
      <c r="Q500">
        <v>447.55</v>
      </c>
      <c r="R500">
        <v>0.05</v>
      </c>
      <c r="S500">
        <v>850.35</v>
      </c>
      <c r="T500">
        <v>600.98</v>
      </c>
      <c r="U500">
        <v>249.37</v>
      </c>
      <c r="V500" t="s">
        <v>102</v>
      </c>
      <c r="W500" t="s">
        <v>68</v>
      </c>
      <c r="X500" t="str">
        <f>_xlfn.TEXTJOIN("|", TRUE, A500:W500)</f>
        <v>ORD-2025-10499|45907|45910|3|OK|CUST-1190|Karan Malhotra|Consumer|North|Punjab|Ludhiana|Furniture|Chairs|Basic Chairs 255|Same Day|2|447.55|0.05|850.35|600.98|249.37|Refunded|Cancelled</v>
      </c>
      <c r="Y500">
        <f>COUNTIF($X$2:$X$1000, X500)</f>
        <v>1</v>
      </c>
      <c r="Z500">
        <f>COUNTIF($A$2:$A$1000, A500)</f>
        <v>1</v>
      </c>
      <c r="AA500" t="str">
        <f>IF(Y500&gt;1, "Exact Duplicate",
  IF(Z500&gt;1, "Conflicting Duplicate - Review",
    "Unique"))</f>
        <v>Unique</v>
      </c>
      <c r="AB500" s="2">
        <f>IF(ISBLANK(R500), 0, IF(ISTEXT(R500), VALUE(SUBSTITUTE(R500, "%", ""))/100, IF(OR(R500&lt;0, R500&gt;1), "Invalid", R500)))</f>
        <v>0.05</v>
      </c>
      <c r="AC500" s="4">
        <f>IF(AB500="Invalid", "Error", P500 * Q500 * (1 - AB500))</f>
        <v>850.34500000000003</v>
      </c>
      <c r="AD500" s="4">
        <f>IF(AC500="Error", "Error", AC500 - T500)</f>
        <v>249.36500000000001</v>
      </c>
      <c r="AE500" s="2">
        <f>IF(AC500="Error", "Error", IF(AC500=0, 0, AD500 / AC500))</f>
        <v>0.29325156260106194</v>
      </c>
      <c r="AF500" s="7">
        <f>C500-B500</f>
        <v>3</v>
      </c>
      <c r="AG500" s="2" t="str">
        <f>TEXT(B500, "mmmm")</f>
        <v>September</v>
      </c>
      <c r="AH500" s="4">
        <f>YEAR(B500)</f>
        <v>2025</v>
      </c>
      <c r="AI500" s="2" t="str">
        <f t="shared" si="21"/>
        <v>Excluded from Sales</v>
      </c>
      <c r="AJ500">
        <f>COUNTIFS($A$2:$A$1000,A500,$B$2:$B$1000,B500,$C$2:$C$1000,C500,$D$2:$D$1000,D500,$E$2:$E$1000,E500,$F$2:$F$1000,F500)</f>
        <v>1</v>
      </c>
      <c r="AK500">
        <f>COUNTIF($A$2:$A$1000, A500)</f>
        <v>1</v>
      </c>
    </row>
    <row r="501" spans="1:37">
      <c r="A501" t="s">
        <v>1597</v>
      </c>
      <c r="B501" s="5">
        <v>45648</v>
      </c>
      <c r="C501" s="5">
        <v>45652</v>
      </c>
      <c r="D501" s="6">
        <f>IF(AND(C501&lt;&gt;"",B501&lt;&gt;""), C501-B501, "Missing Date")</f>
        <v>4</v>
      </c>
      <c r="E501" s="6" t="str">
        <f>IF(OR(B501="",C501=""), "Missing Date",
    IF(C501&lt;B501, "Invalid: Ship before Order",
      "OK"))</f>
        <v>OK</v>
      </c>
      <c r="F501" t="s">
        <v>1598</v>
      </c>
      <c r="G501" t="s">
        <v>118</v>
      </c>
      <c r="H501" t="s">
        <v>95</v>
      </c>
      <c r="I501" t="s">
        <v>25</v>
      </c>
      <c r="J501" t="s">
        <v>136</v>
      </c>
      <c r="K501" t="s">
        <v>137</v>
      </c>
      <c r="L501" t="s">
        <v>41</v>
      </c>
      <c r="M501" t="s">
        <v>66</v>
      </c>
      <c r="N501" t="s">
        <v>1599</v>
      </c>
      <c r="O501" t="s">
        <v>59</v>
      </c>
      <c r="P501">
        <v>9</v>
      </c>
      <c r="Q501">
        <v>1110.8699999999999</v>
      </c>
      <c r="S501">
        <v>7498.37</v>
      </c>
      <c r="T501">
        <v>6059.07</v>
      </c>
      <c r="U501">
        <v>1439.3</v>
      </c>
      <c r="V501" t="s">
        <v>32</v>
      </c>
      <c r="W501" t="s">
        <v>68</v>
      </c>
      <c r="X501" t="str">
        <f>_xlfn.TEXTJOIN("|", TRUE, A501:W501)</f>
        <v>ORD-2024-10500|45648|45652|4|OK|CUST-5604|Rahul Verma|Home Office|North|Uttar Pradesh|Noida|Furniture|Chairs|Eco Chairs 210|Standard Class|9|1110.87|7498.37|6059.07|1439.3|Paid|Cancelled</v>
      </c>
      <c r="Y501">
        <f>COUNTIF($X$2:$X$1000, X501)</f>
        <v>1</v>
      </c>
      <c r="Z501">
        <f>COUNTIF($A$2:$A$1000, A501)</f>
        <v>1</v>
      </c>
      <c r="AA501" t="str">
        <f>IF(Y501&gt;1, "Exact Duplicate",
  IF(Z501&gt;1, "Conflicting Duplicate - Review",
    "Unique"))</f>
        <v>Unique</v>
      </c>
      <c r="AB501" s="2">
        <f>IF(ISBLANK(R501), 0, IF(ISTEXT(R501), VALUE(SUBSTITUTE(R501, "%", ""))/100, IF(OR(R501&lt;0, R501&gt;1), "Invalid", R501)))</f>
        <v>0</v>
      </c>
      <c r="AC501" s="4">
        <f>IF(AB501="Invalid", "Error", P501 * Q501 * (1 - AB501))</f>
        <v>9997.8299999999981</v>
      </c>
      <c r="AD501" s="4">
        <f>IF(AC501="Error", "Error", AC501 - T501)</f>
        <v>3938.7599999999984</v>
      </c>
      <c r="AE501" s="2">
        <f>IF(AC501="Error", "Error", IF(AC501=0, 0, AD501 / AC501))</f>
        <v>0.3939614896432525</v>
      </c>
      <c r="AF501" s="7">
        <f>C501-B501</f>
        <v>4</v>
      </c>
      <c r="AG501" s="2" t="str">
        <f>TEXT(B501, "mmmm")</f>
        <v>December</v>
      </c>
      <c r="AH501" s="4">
        <f>YEAR(B501)</f>
        <v>2024</v>
      </c>
      <c r="AI501" s="2" t="str">
        <f t="shared" si="21"/>
        <v>Excluded from Sales</v>
      </c>
      <c r="AJ501">
        <f>COUNTIFS($A$2:$A$1000,A501,$B$2:$B$1000,B501,$C$2:$C$1000,C501,$D$2:$D$1000,D501,$E$2:$E$1000,E501,$F$2:$F$1000,F501)</f>
        <v>1</v>
      </c>
      <c r="AK501">
        <f>COUNTIF($A$2:$A$1000, A501)</f>
        <v>1</v>
      </c>
    </row>
    <row r="502" spans="1:37">
      <c r="A502" t="s">
        <v>1600</v>
      </c>
      <c r="B502" s="5">
        <v>45429</v>
      </c>
      <c r="C502" s="5">
        <v>45434</v>
      </c>
      <c r="D502" s="6">
        <f>IF(AND(C502&lt;&gt;"",B502&lt;&gt;""), C502-B502, "Missing Date")</f>
        <v>5</v>
      </c>
      <c r="E502" s="6" t="str">
        <f>IF(OR(B502="",C502=""), "Missing Date",
    IF(C502&lt;B502, "Invalid: Ship before Order",
      "OK"))</f>
        <v>OK</v>
      </c>
      <c r="F502" t="s">
        <v>1601</v>
      </c>
      <c r="G502" t="s">
        <v>132</v>
      </c>
      <c r="H502" t="s">
        <v>24</v>
      </c>
      <c r="I502" t="s">
        <v>54</v>
      </c>
      <c r="J502" t="s">
        <v>185</v>
      </c>
      <c r="K502" t="s">
        <v>186</v>
      </c>
      <c r="L502" t="s">
        <v>74</v>
      </c>
      <c r="M502" t="s">
        <v>171</v>
      </c>
      <c r="N502" t="s">
        <v>1602</v>
      </c>
      <c r="O502" t="s">
        <v>44</v>
      </c>
      <c r="P502">
        <v>9</v>
      </c>
      <c r="Q502">
        <v>3795.99</v>
      </c>
      <c r="R502" s="9">
        <v>0.85</v>
      </c>
      <c r="S502">
        <v>34163.910000000003</v>
      </c>
      <c r="T502">
        <v>28577.15</v>
      </c>
      <c r="U502">
        <v>5586.76</v>
      </c>
      <c r="V502" t="s">
        <v>32</v>
      </c>
      <c r="W502" t="s">
        <v>33</v>
      </c>
      <c r="X502" t="str">
        <f>_xlfn.TEXTJOIN("|", TRUE, A502:W502)</f>
        <v>ORD-2024-10501|45429|45434|5|OK|CUST-7661|Sneha Kapoor|Consumer|South|Kerala|Kochi|Technology|Phones|Prime Phones 533|Same Day|9|3795.99|0.85|34163.91|28577.15|5586.76|Paid|Completed</v>
      </c>
      <c r="Y502">
        <f>COUNTIF($X$2:$X$1000, X502)</f>
        <v>1</v>
      </c>
      <c r="Z502">
        <f>COUNTIF($A$2:$A$1000, A502)</f>
        <v>1</v>
      </c>
      <c r="AA502" t="str">
        <f>IF(Y502&gt;1, "Exact Duplicate",
  IF(Z502&gt;1, "Conflicting Duplicate - Review",
    "Unique"))</f>
        <v>Unique</v>
      </c>
      <c r="AB502" s="2">
        <f>IF(ISBLANK(R502), 0, IF(ISTEXT(R502), VALUE(SUBSTITUTE(R502, "%", ""))/100, IF(OR(R502&lt;0, R502&gt;1), "Invalid", R502)))</f>
        <v>0.85</v>
      </c>
      <c r="AC502" s="4">
        <f>IF(AB502="Invalid", "Error", P502 * Q502 * (1 - AB502))</f>
        <v>5124.5865000000003</v>
      </c>
      <c r="AD502" s="4">
        <f>IF(AC502="Error", "Error", AC502 - T502)</f>
        <v>-23452.5635</v>
      </c>
      <c r="AE502" s="2">
        <f>IF(AC502="Error", "Error", IF(AC502=0, 0, AD502 / AC502))</f>
        <v>-4.5764791949555343</v>
      </c>
      <c r="AF502" s="7">
        <f>C502-B502</f>
        <v>5</v>
      </c>
      <c r="AG502" s="2" t="str">
        <f>TEXT(B502, "mmmm")</f>
        <v>May</v>
      </c>
      <c r="AH502" s="4">
        <f>YEAR(B502)</f>
        <v>2024</v>
      </c>
      <c r="AI502" s="2" t="str">
        <f t="shared" si="21"/>
        <v>Clean</v>
      </c>
      <c r="AJ502">
        <f>COUNTIFS($A$2:$A$1000,A502,$B$2:$B$1000,B502,$C$2:$C$1000,C502,$D$2:$D$1000,D502,$E$2:$E$1000,E502,$F$2:$F$1000,F502)</f>
        <v>1</v>
      </c>
      <c r="AK502">
        <f>COUNTIF($A$2:$A$1000, A502)</f>
        <v>1</v>
      </c>
    </row>
    <row r="503" spans="1:37">
      <c r="A503" t="s">
        <v>1603</v>
      </c>
      <c r="B503" s="5">
        <v>45515</v>
      </c>
      <c r="C503" s="5">
        <v>45521</v>
      </c>
      <c r="D503" s="6">
        <f>IF(AND(C503&lt;&gt;"",B503&lt;&gt;""), C503-B503, "Missing Date")</f>
        <v>6</v>
      </c>
      <c r="E503" s="6" t="str">
        <f>IF(OR(B503="",C503=""), "Missing Date",
    IF(C503&lt;B503, "Invalid: Ship before Order",
      "OK"))</f>
        <v>OK</v>
      </c>
      <c r="F503" t="s">
        <v>807</v>
      </c>
      <c r="G503" t="s">
        <v>79</v>
      </c>
      <c r="H503" t="s">
        <v>24</v>
      </c>
      <c r="I503" t="s">
        <v>38</v>
      </c>
      <c r="J503" t="s">
        <v>228</v>
      </c>
      <c r="K503" t="s">
        <v>229</v>
      </c>
      <c r="L503" t="s">
        <v>28</v>
      </c>
      <c r="M503" t="s">
        <v>48</v>
      </c>
      <c r="N503" t="s">
        <v>1604</v>
      </c>
      <c r="O503" t="s">
        <v>31</v>
      </c>
      <c r="P503">
        <v>6</v>
      </c>
      <c r="Q503">
        <v>3497.54</v>
      </c>
      <c r="R503">
        <v>0.15</v>
      </c>
      <c r="S503">
        <v>17837.45</v>
      </c>
      <c r="T503">
        <v>13627.02</v>
      </c>
      <c r="U503">
        <v>4210.43</v>
      </c>
      <c r="V503" t="s">
        <v>32</v>
      </c>
      <c r="W503" t="s">
        <v>33</v>
      </c>
      <c r="X503" t="str">
        <f>_xlfn.TEXTJOIN("|", TRUE, A503:W503)</f>
        <v>ORD-2024-10502|45515|45521|6|OK|CUST-3710|Neha Gupta|Consumer|East|Jharkhand|Ranchi|Office Supplies|Art|Elite Art 325|Second Class|6|3497.54|0.15|17837.45|13627.02|4210.43|Paid|Completed</v>
      </c>
      <c r="Y503">
        <f>COUNTIF($X$2:$X$1000, X503)</f>
        <v>1</v>
      </c>
      <c r="Z503">
        <f>COUNTIF($A$2:$A$1000, A503)</f>
        <v>1</v>
      </c>
      <c r="AA503" t="str">
        <f>IF(Y503&gt;1, "Exact Duplicate",
  IF(Z503&gt;1, "Conflicting Duplicate - Review",
    "Unique"))</f>
        <v>Unique</v>
      </c>
      <c r="AB503" s="2">
        <f>IF(ISBLANK(R503), 0, IF(ISTEXT(R503), VALUE(SUBSTITUTE(R503, "%", ""))/100, IF(OR(R503&lt;0, R503&gt;1), "Invalid", R503)))</f>
        <v>0.15</v>
      </c>
      <c r="AC503" s="4">
        <f>IF(AB503="Invalid", "Error", P503 * Q503 * (1 - AB503))</f>
        <v>17837.453999999998</v>
      </c>
      <c r="AD503" s="4">
        <f>IF(AC503="Error", "Error", AC503 - T503)</f>
        <v>4210.4339999999975</v>
      </c>
      <c r="AE503" s="2">
        <f>IF(AC503="Error", "Error", IF(AC503=0, 0, AD503 / AC503))</f>
        <v>0.23604456106796395</v>
      </c>
      <c r="AF503" s="7">
        <f>C503-B503</f>
        <v>6</v>
      </c>
      <c r="AG503" s="2" t="str">
        <f>TEXT(B503, "mmmm")</f>
        <v>August</v>
      </c>
      <c r="AH503" s="4">
        <f>YEAR(B503)</f>
        <v>2024</v>
      </c>
      <c r="AI503" s="2" t="str">
        <f t="shared" si="21"/>
        <v>Clean</v>
      </c>
      <c r="AJ503">
        <f>COUNTIFS($A$2:$A$1000,A503,$B$2:$B$1000,B503,$C$2:$C$1000,C503,$D$2:$D$1000,D503,$E$2:$E$1000,E503,$F$2:$F$1000,F503)</f>
        <v>1</v>
      </c>
      <c r="AK503">
        <f>COUNTIF($A$2:$A$1000, A503)</f>
        <v>1</v>
      </c>
    </row>
    <row r="504" spans="1:37">
      <c r="A504" t="s">
        <v>1605</v>
      </c>
      <c r="B504" s="5">
        <v>45295</v>
      </c>
      <c r="C504" s="5">
        <v>45391</v>
      </c>
      <c r="D504" s="6">
        <f>IF(AND(C504&lt;&gt;"",B504&lt;&gt;""), C504-B504, "Missing Date")</f>
        <v>96</v>
      </c>
      <c r="E504" s="6" t="str">
        <f>IF(OR(B504="",C504=""), "Missing Date",
    IF(C504&lt;B504, "Invalid: Ship before Order",
      "OK"))</f>
        <v>OK</v>
      </c>
      <c r="F504" t="s">
        <v>1606</v>
      </c>
      <c r="G504" t="s">
        <v>114</v>
      </c>
      <c r="H504" t="s">
        <v>37</v>
      </c>
      <c r="I504" t="s">
        <v>38</v>
      </c>
      <c r="J504" t="s">
        <v>39</v>
      </c>
      <c r="K504" t="s">
        <v>40</v>
      </c>
      <c r="L504" t="s">
        <v>74</v>
      </c>
      <c r="M504" t="s">
        <v>80</v>
      </c>
      <c r="N504" t="s">
        <v>1607</v>
      </c>
      <c r="O504" t="s">
        <v>31</v>
      </c>
      <c r="P504">
        <v>6</v>
      </c>
      <c r="Q504">
        <v>826.93</v>
      </c>
      <c r="R504">
        <v>0.1</v>
      </c>
      <c r="S504">
        <v>4465.42</v>
      </c>
      <c r="T504">
        <v>3377.1</v>
      </c>
      <c r="U504">
        <v>1088.32</v>
      </c>
      <c r="V504" t="s">
        <v>32</v>
      </c>
      <c r="W504" t="s">
        <v>33</v>
      </c>
      <c r="X504" t="str">
        <f>_xlfn.TEXTJOIN("|", TRUE, A504:W504)</f>
        <v>ORD-2024-10503|45295|45391|96|OK|CUST-1534|Priya Menon|Small Business|East|Odisha|Bhubaneswar|Technology|Copiers|Prime Copiers 557|Second Class|6|826.93|0.1|4465.42|3377.1|1088.32|Paid|Completed</v>
      </c>
      <c r="Y504">
        <f>COUNTIF($X$2:$X$1000, X504)</f>
        <v>1</v>
      </c>
      <c r="Z504">
        <f>COUNTIF($A$2:$A$1000, A504)</f>
        <v>2</v>
      </c>
      <c r="AA504" t="str">
        <f>IF(Y504&gt;1, "Exact Duplicate",
  IF(Z504&gt;1, "Conflicting Duplicate - Review",
    "Unique"))</f>
        <v>Conflicting Duplicate - Review</v>
      </c>
      <c r="AB504" s="2">
        <f>IF(ISBLANK(R504), 0, IF(ISTEXT(R504), VALUE(SUBSTITUTE(R504, "%", ""))/100, IF(OR(R504&lt;0, R504&gt;1), "Invalid", R504)))</f>
        <v>0.1</v>
      </c>
      <c r="AC504" s="4">
        <f>IF(AB504="Invalid", "Error", P504 * Q504 * (1 - AB504))</f>
        <v>4465.4220000000005</v>
      </c>
      <c r="AD504" s="4">
        <f>IF(AC504="Error", "Error", AC504 - T504)</f>
        <v>1088.3220000000006</v>
      </c>
      <c r="AE504" s="2">
        <f>IF(AC504="Error", "Error", IF(AC504=0, 0, AD504 / AC504))</f>
        <v>0.24372209390288319</v>
      </c>
      <c r="AF504" s="7">
        <f>C504-B504</f>
        <v>96</v>
      </c>
      <c r="AG504" s="2" t="str">
        <f>TEXT(B504, "mmmm")</f>
        <v>January</v>
      </c>
      <c r="AH504" s="4">
        <f>YEAR(B504)</f>
        <v>2024</v>
      </c>
      <c r="AI504" s="2" t="str">
        <f t="shared" si="21"/>
        <v>Clean</v>
      </c>
      <c r="AJ504">
        <f>COUNTIFS($A$2:$A$1000,A504,$B$2:$B$1000,B504,$C$2:$C$1000,C504,$D$2:$D$1000,D504,$E$2:$E$1000,E504,$F$2:$F$1000,F504)</f>
        <v>2</v>
      </c>
      <c r="AK504">
        <f>COUNTIF($A$2:$A$1000, A504)</f>
        <v>2</v>
      </c>
    </row>
    <row r="505" spans="1:37">
      <c r="A505" t="s">
        <v>1608</v>
      </c>
      <c r="B505" s="5">
        <v>45563</v>
      </c>
      <c r="C505" s="5">
        <v>45570</v>
      </c>
      <c r="D505" s="6">
        <f>IF(AND(C505&lt;&gt;"",B505&lt;&gt;""), C505-B505, "Missing Date")</f>
        <v>7</v>
      </c>
      <c r="E505" s="6" t="str">
        <f>IF(OR(B505="",C505=""), "Missing Date",
    IF(C505&lt;B505, "Invalid: Ship before Order",
      "OK"))</f>
        <v>OK</v>
      </c>
      <c r="F505" t="s">
        <v>1609</v>
      </c>
      <c r="G505" t="s">
        <v>128</v>
      </c>
      <c r="H505" t="s">
        <v>24</v>
      </c>
      <c r="I505" t="s">
        <v>54</v>
      </c>
      <c r="J505" t="s">
        <v>247</v>
      </c>
      <c r="K505" t="s">
        <v>248</v>
      </c>
      <c r="L505" t="s">
        <v>74</v>
      </c>
      <c r="M505" t="s">
        <v>171</v>
      </c>
      <c r="N505" t="s">
        <v>1610</v>
      </c>
      <c r="O505" t="s">
        <v>59</v>
      </c>
      <c r="P505">
        <v>7</v>
      </c>
      <c r="Q505">
        <v>1681.6</v>
      </c>
      <c r="R505">
        <v>0.1</v>
      </c>
      <c r="S505">
        <v>10594.08</v>
      </c>
      <c r="T505">
        <v>7160.31</v>
      </c>
      <c r="U505">
        <v>3433.77</v>
      </c>
      <c r="V505" t="s">
        <v>32</v>
      </c>
      <c r="W505" t="s">
        <v>33</v>
      </c>
      <c r="X505" t="str">
        <f>_xlfn.TEXTJOIN("|", TRUE, A505:W505)</f>
        <v>ORD-2024-10504|45563|45570|7|OK|CUST-7422|Aarav Sharma|Consumer|South|Tamil Nadu|Chennai|Technology|Phones|Smart Phones 674|Standard Class|7|1681.6|0.1|10594.08|7160.31|3433.77|Paid|Completed</v>
      </c>
      <c r="Y505">
        <f>COUNTIF($X$2:$X$1000, X505)</f>
        <v>1</v>
      </c>
      <c r="Z505">
        <f>COUNTIF($A$2:$A$1000, A505)</f>
        <v>1</v>
      </c>
      <c r="AA505" t="str">
        <f>IF(Y505&gt;1, "Exact Duplicate",
  IF(Z505&gt;1, "Conflicting Duplicate - Review",
    "Unique"))</f>
        <v>Unique</v>
      </c>
      <c r="AB505" s="2">
        <f>IF(ISBLANK(R505), 0, IF(ISTEXT(R505), VALUE(SUBSTITUTE(R505, "%", ""))/100, IF(OR(R505&lt;0, R505&gt;1), "Invalid", R505)))</f>
        <v>0.1</v>
      </c>
      <c r="AC505" s="4">
        <f>IF(AB505="Invalid", "Error", P505 * Q505 * (1 - AB505))</f>
        <v>10594.08</v>
      </c>
      <c r="AD505" s="4">
        <f>IF(AC505="Error", "Error", AC505 - T505)</f>
        <v>3433.7699999999995</v>
      </c>
      <c r="AE505" s="2">
        <f>IF(AC505="Error", "Error", IF(AC505=0, 0, AD505 / AC505))</f>
        <v>0.32412158488514337</v>
      </c>
      <c r="AF505" s="7">
        <f>C505-B505</f>
        <v>7</v>
      </c>
      <c r="AG505" s="2" t="str">
        <f>TEXT(B505, "mmmm")</f>
        <v>September</v>
      </c>
      <c r="AH505" s="4">
        <f>YEAR(B505)</f>
        <v>2024</v>
      </c>
      <c r="AI505" s="2" t="str">
        <f t="shared" si="21"/>
        <v>Clean</v>
      </c>
      <c r="AJ505">
        <f>COUNTIFS($A$2:$A$1000,A505,$B$2:$B$1000,B505,$C$2:$C$1000,C505,$D$2:$D$1000,D505,$E$2:$E$1000,E505,$F$2:$F$1000,F505)</f>
        <v>1</v>
      </c>
      <c r="AK505">
        <f>COUNTIF($A$2:$A$1000, A505)</f>
        <v>1</v>
      </c>
    </row>
    <row r="506" spans="1:37">
      <c r="A506" t="s">
        <v>1611</v>
      </c>
      <c r="B506" s="5">
        <v>45700</v>
      </c>
      <c r="C506" s="5">
        <v>45705</v>
      </c>
      <c r="D506" s="6">
        <f>IF(AND(C506&lt;&gt;"",B506&lt;&gt;""), C506-B506, "Missing Date")</f>
        <v>5</v>
      </c>
      <c r="E506" s="6" t="str">
        <f>IF(OR(B506="",C506=""), "Missing Date",
    IF(C506&lt;B506, "Invalid: Ship before Order",
      "OK"))</f>
        <v>OK</v>
      </c>
      <c r="F506" t="s">
        <v>1612</v>
      </c>
      <c r="G506" t="s">
        <v>53</v>
      </c>
      <c r="H506" t="s">
        <v>90</v>
      </c>
      <c r="I506" t="s">
        <v>63</v>
      </c>
      <c r="J506" t="s">
        <v>180</v>
      </c>
      <c r="K506" t="s">
        <v>181</v>
      </c>
      <c r="L506" t="s">
        <v>28</v>
      </c>
      <c r="M506" t="s">
        <v>48</v>
      </c>
      <c r="N506" t="s">
        <v>1613</v>
      </c>
      <c r="O506" t="s">
        <v>59</v>
      </c>
      <c r="P506">
        <v>4</v>
      </c>
      <c r="Q506">
        <v>4328.12</v>
      </c>
      <c r="R506">
        <v>0</v>
      </c>
      <c r="S506">
        <v>17312.48</v>
      </c>
      <c r="T506">
        <v>14424.22</v>
      </c>
      <c r="U506">
        <v>2888.26</v>
      </c>
      <c r="V506" t="s">
        <v>32</v>
      </c>
      <c r="W506" t="s">
        <v>33</v>
      </c>
      <c r="X506" t="str">
        <f>_xlfn.TEXTJOIN("|", TRUE, A506:W506)</f>
        <v>ORD-2025-10505|45700|45705|5|OK|CUST-9693|Arjun Bose|Corporate|West|Gujarat|Ahmedabad|Office Supplies|Art|Elite Art 553|Standard Class|4|4328.12|0|17312.48|14424.22|2888.26|Paid|Completed</v>
      </c>
      <c r="Y506">
        <f>COUNTIF($X$2:$X$1000, X506)</f>
        <v>1</v>
      </c>
      <c r="Z506">
        <f>COUNTIF($A$2:$A$1000, A506)</f>
        <v>1</v>
      </c>
      <c r="AA506" t="str">
        <f>IF(Y506&gt;1, "Exact Duplicate",
  IF(Z506&gt;1, "Conflicting Duplicate - Review",
    "Unique"))</f>
        <v>Unique</v>
      </c>
      <c r="AB506" s="2">
        <f>IF(ISBLANK(R506), 0, IF(ISTEXT(R506), VALUE(SUBSTITUTE(R506, "%", ""))/100, IF(OR(R506&lt;0, R506&gt;1), "Invalid", R506)))</f>
        <v>0</v>
      </c>
      <c r="AC506" s="4">
        <f>IF(AB506="Invalid", "Error", P506 * Q506 * (1 - AB506))</f>
        <v>17312.48</v>
      </c>
      <c r="AD506" s="4">
        <f>IF(AC506="Error", "Error", AC506 - T506)</f>
        <v>2888.26</v>
      </c>
      <c r="AE506" s="2">
        <f>IF(AC506="Error", "Error", IF(AC506=0, 0, AD506 / AC506))</f>
        <v>0.16683109525613893</v>
      </c>
      <c r="AF506" s="7">
        <f>C506-B506</f>
        <v>5</v>
      </c>
      <c r="AG506" s="2" t="str">
        <f>TEXT(B506, "mmmm")</f>
        <v>February</v>
      </c>
      <c r="AH506" s="4">
        <f>YEAR(B506)</f>
        <v>2025</v>
      </c>
      <c r="AI506" s="2" t="str">
        <f t="shared" si="21"/>
        <v>Clean</v>
      </c>
      <c r="AJ506">
        <f>COUNTIFS($A$2:$A$1000,A506,$B$2:$B$1000,B506,$C$2:$C$1000,C506,$D$2:$D$1000,D506,$E$2:$E$1000,E506,$F$2:$F$1000,F506)</f>
        <v>1</v>
      </c>
      <c r="AK506">
        <f>COUNTIF($A$2:$A$1000, A506)</f>
        <v>1</v>
      </c>
    </row>
    <row r="507" spans="1:37">
      <c r="A507" t="s">
        <v>1614</v>
      </c>
      <c r="B507" s="5">
        <v>45605</v>
      </c>
      <c r="C507" s="5">
        <v>45610</v>
      </c>
      <c r="D507" s="6">
        <f>IF(AND(C507&lt;&gt;"",B507&lt;&gt;""), C507-B507, "Missing Date")</f>
        <v>5</v>
      </c>
      <c r="E507" s="6" t="str">
        <f>IF(OR(B507="",C507=""), "Missing Date",
    IF(C507&lt;B507, "Invalid: Ship before Order",
      "OK"))</f>
        <v>OK</v>
      </c>
      <c r="F507" t="s">
        <v>1615</v>
      </c>
      <c r="G507" t="s">
        <v>79</v>
      </c>
      <c r="H507" t="s">
        <v>90</v>
      </c>
      <c r="I507" t="s">
        <v>63</v>
      </c>
      <c r="J507" t="s">
        <v>72</v>
      </c>
      <c r="K507" t="s">
        <v>73</v>
      </c>
      <c r="L507" t="s">
        <v>28</v>
      </c>
      <c r="M507" t="s">
        <v>48</v>
      </c>
      <c r="N507" t="s">
        <v>1616</v>
      </c>
      <c r="O507" t="s">
        <v>50</v>
      </c>
      <c r="P507">
        <v>9</v>
      </c>
      <c r="Q507">
        <v>2438.29</v>
      </c>
      <c r="R507">
        <v>0.2</v>
      </c>
      <c r="S507">
        <v>17555.689999999999</v>
      </c>
      <c r="T507">
        <v>13293.2</v>
      </c>
      <c r="U507">
        <v>4262.49</v>
      </c>
      <c r="V507" t="s">
        <v>32</v>
      </c>
      <c r="W507" t="s">
        <v>68</v>
      </c>
      <c r="X507" t="str">
        <f>_xlfn.TEXTJOIN("|", TRUE, A507:W507)</f>
        <v>ORD-2024-10506|45605|45610|5|OK|CUST-5458|Neha Gupta|Corporate|West|Madhya Pradesh|Indore|Office Supplies|Art|Classic Art 339|First Class|9|2438.29|0.2|17555.69|13293.2|4262.49|Paid|Cancelled</v>
      </c>
      <c r="Y507">
        <f>COUNTIF($X$2:$X$1000, X507)</f>
        <v>1</v>
      </c>
      <c r="Z507">
        <f>COUNTIF($A$2:$A$1000, A507)</f>
        <v>1</v>
      </c>
      <c r="AA507" t="str">
        <f>IF(Y507&gt;1, "Exact Duplicate",
  IF(Z507&gt;1, "Conflicting Duplicate - Review",
    "Unique"))</f>
        <v>Unique</v>
      </c>
      <c r="AB507" s="2">
        <f>IF(ISBLANK(R507), 0, IF(ISTEXT(R507), VALUE(SUBSTITUTE(R507, "%", ""))/100, IF(OR(R507&lt;0, R507&gt;1), "Invalid", R507)))</f>
        <v>0.2</v>
      </c>
      <c r="AC507" s="4">
        <f>IF(AB507="Invalid", "Error", P507 * Q507 * (1 - AB507))</f>
        <v>17555.688000000002</v>
      </c>
      <c r="AD507" s="4">
        <f>IF(AC507="Error", "Error", AC507 - T507)</f>
        <v>4262.4880000000012</v>
      </c>
      <c r="AE507" s="2">
        <f>IF(AC507="Error", "Error", IF(AC507=0, 0, AD507 / AC507))</f>
        <v>0.24279811762432785</v>
      </c>
      <c r="AF507" s="7">
        <f>C507-B507</f>
        <v>5</v>
      </c>
      <c r="AG507" s="2" t="str">
        <f>TEXT(B507, "mmmm")</f>
        <v>November</v>
      </c>
      <c r="AH507" s="4">
        <f>YEAR(B507)</f>
        <v>2024</v>
      </c>
      <c r="AI507" s="2" t="str">
        <f t="shared" si="21"/>
        <v>Excluded from Sales</v>
      </c>
      <c r="AJ507">
        <f>COUNTIFS($A$2:$A$1000,A507,$B$2:$B$1000,B507,$C$2:$C$1000,C507,$D$2:$D$1000,D507,$E$2:$E$1000,E507,$F$2:$F$1000,F507)</f>
        <v>1</v>
      </c>
      <c r="AK507">
        <f>COUNTIF($A$2:$A$1000, A507)</f>
        <v>1</v>
      </c>
    </row>
    <row r="508" spans="1:37">
      <c r="A508" t="s">
        <v>1617</v>
      </c>
      <c r="B508" s="5">
        <v>45641</v>
      </c>
      <c r="C508" s="5">
        <v>45641</v>
      </c>
      <c r="D508" s="6">
        <f>IF(AND(C508&lt;&gt;"",B508&lt;&gt;""), C508-B508, "Missing Date")</f>
        <v>0</v>
      </c>
      <c r="E508" s="6" t="str">
        <f>IF(OR(B508="",C508=""), "Missing Date",
    IF(C508&lt;B508, "Invalid: Ship before Order",
      "OK"))</f>
        <v>OK</v>
      </c>
      <c r="F508" t="s">
        <v>1618</v>
      </c>
      <c r="G508" t="s">
        <v>128</v>
      </c>
      <c r="H508" t="s">
        <v>37</v>
      </c>
      <c r="I508" t="s">
        <v>25</v>
      </c>
      <c r="J508" t="s">
        <v>122</v>
      </c>
      <c r="K508" t="s">
        <v>123</v>
      </c>
      <c r="L508" t="s">
        <v>41</v>
      </c>
      <c r="M508" t="s">
        <v>57</v>
      </c>
      <c r="N508" t="s">
        <v>1619</v>
      </c>
      <c r="O508" t="s">
        <v>50</v>
      </c>
      <c r="P508">
        <v>2</v>
      </c>
      <c r="Q508">
        <v>669.8</v>
      </c>
      <c r="R508">
        <v>0.1</v>
      </c>
      <c r="S508">
        <v>1205.6400000000001</v>
      </c>
      <c r="T508">
        <v>842.07</v>
      </c>
      <c r="U508">
        <v>363.57</v>
      </c>
      <c r="V508" t="s">
        <v>102</v>
      </c>
      <c r="W508" t="s">
        <v>103</v>
      </c>
      <c r="X508" t="str">
        <f>_xlfn.TEXTJOIN("|", TRUE, A508:W508)</f>
        <v>ORD-2024-10507|45641|45641|0|OK|CUST-3011|Aarav Sharma|Small Business|North|Punjab|Ludhiana|Furniture|Furnishings|Smart Furnishings 352|First Class|2|669.8|0.1|1205.64|842.07|363.57|Refunded|Returned</v>
      </c>
      <c r="Y508">
        <f>COUNTIF($X$2:$X$1000, X508)</f>
        <v>1</v>
      </c>
      <c r="Z508">
        <f>COUNTIF($A$2:$A$1000, A508)</f>
        <v>1</v>
      </c>
      <c r="AA508" t="str">
        <f>IF(Y508&gt;1, "Exact Duplicate",
  IF(Z508&gt;1, "Conflicting Duplicate - Review",
    "Unique"))</f>
        <v>Unique</v>
      </c>
      <c r="AB508" s="2">
        <f>IF(ISBLANK(R508), 0, IF(ISTEXT(R508), VALUE(SUBSTITUTE(R508, "%", ""))/100, IF(OR(R508&lt;0, R508&gt;1), "Invalid", R508)))</f>
        <v>0.1</v>
      </c>
      <c r="AC508" s="4">
        <f>IF(AB508="Invalid", "Error", P508 * Q508 * (1 - AB508))</f>
        <v>1205.6399999999999</v>
      </c>
      <c r="AD508" s="4">
        <f>IF(AC508="Error", "Error", AC508 - T508)</f>
        <v>363.56999999999982</v>
      </c>
      <c r="AE508" s="2">
        <f>IF(AC508="Error", "Error", IF(AC508=0, 0, AD508 / AC508))</f>
        <v>0.30155767890912699</v>
      </c>
      <c r="AF508" s="7">
        <f>C508-B508</f>
        <v>0</v>
      </c>
      <c r="AG508" s="2" t="str">
        <f>TEXT(B508, "mmmm")</f>
        <v>December</v>
      </c>
      <c r="AH508" s="4">
        <f>YEAR(B508)</f>
        <v>2024</v>
      </c>
      <c r="AI508" s="2" t="str">
        <f t="shared" si="21"/>
        <v>Clean</v>
      </c>
      <c r="AJ508">
        <f>COUNTIFS($A$2:$A$1000,A508,$B$2:$B$1000,B508,$C$2:$C$1000,C508,$D$2:$D$1000,D508,$E$2:$E$1000,E508,$F$2:$F$1000,F508)</f>
        <v>1</v>
      </c>
      <c r="AK508">
        <f>COUNTIF($A$2:$A$1000, A508)</f>
        <v>1</v>
      </c>
    </row>
    <row r="509" spans="1:37">
      <c r="A509" t="s">
        <v>1620</v>
      </c>
      <c r="B509" s="5">
        <v>45762</v>
      </c>
      <c r="C509" s="5">
        <v>45769</v>
      </c>
      <c r="D509" s="6">
        <f>IF(AND(C509&lt;&gt;"",B509&lt;&gt;""), C509-B509, "Missing Date")</f>
        <v>7</v>
      </c>
      <c r="E509" s="6" t="str">
        <f>IF(OR(B509="",C509=""), "Missing Date",
    IF(C509&lt;B509, "Invalid: Ship before Order",
      "OK"))</f>
        <v>OK</v>
      </c>
      <c r="F509" t="s">
        <v>1621</v>
      </c>
      <c r="G509" t="s">
        <v>47</v>
      </c>
      <c r="H509" t="s">
        <v>37</v>
      </c>
      <c r="I509" t="s">
        <v>25</v>
      </c>
      <c r="J509" t="s">
        <v>236</v>
      </c>
      <c r="K509" t="s">
        <v>237</v>
      </c>
      <c r="L509" t="s">
        <v>28</v>
      </c>
      <c r="M509" t="s">
        <v>153</v>
      </c>
      <c r="N509" t="s">
        <v>1622</v>
      </c>
      <c r="O509" t="s">
        <v>44</v>
      </c>
      <c r="P509">
        <v>4</v>
      </c>
      <c r="Q509">
        <v>2990.42</v>
      </c>
      <c r="R509">
        <v>0.25</v>
      </c>
      <c r="S509">
        <v>8971.26</v>
      </c>
      <c r="T509">
        <v>6814.35</v>
      </c>
      <c r="U509">
        <v>2156.91</v>
      </c>
      <c r="V509" t="s">
        <v>32</v>
      </c>
      <c r="W509" t="s">
        <v>33</v>
      </c>
      <c r="X509" t="str">
        <f>_xlfn.TEXTJOIN("|", TRUE, A509:W509)</f>
        <v>ORD-2025-10508|45762|45769|7|OK|CUST-1826|Isha Nair|Small Business|North|Haryana|Gurugram|Office Supplies|Binders|Classic Binders 602|Same Day|4|2990.42|0.25|8971.26|6814.35|2156.91|Paid|Completed</v>
      </c>
      <c r="Y509">
        <f>COUNTIF($X$2:$X$1000, X509)</f>
        <v>1</v>
      </c>
      <c r="Z509">
        <f>COUNTIF($A$2:$A$1000, A509)</f>
        <v>1</v>
      </c>
      <c r="AA509" t="str">
        <f>IF(Y509&gt;1, "Exact Duplicate",
  IF(Z509&gt;1, "Conflicting Duplicate - Review",
    "Unique"))</f>
        <v>Unique</v>
      </c>
      <c r="AB509" s="2">
        <f>IF(ISBLANK(R509), 0, IF(ISTEXT(R509), VALUE(SUBSTITUTE(R509, "%", ""))/100, IF(OR(R509&lt;0, R509&gt;1), "Invalid", R509)))</f>
        <v>0.25</v>
      </c>
      <c r="AC509" s="4">
        <f>IF(AB509="Invalid", "Error", P509 * Q509 * (1 - AB509))</f>
        <v>8971.26</v>
      </c>
      <c r="AD509" s="4">
        <f>IF(AC509="Error", "Error", AC509 - T509)</f>
        <v>2156.91</v>
      </c>
      <c r="AE509" s="2">
        <f>IF(AC509="Error", "Error", IF(AC509=0, 0, AD509 / AC509))</f>
        <v>0.24042442198754688</v>
      </c>
      <c r="AF509" s="7">
        <f>C509-B509</f>
        <v>7</v>
      </c>
      <c r="AG509" s="2" t="str">
        <f>TEXT(B509, "mmmm")</f>
        <v>April</v>
      </c>
      <c r="AH509" s="4">
        <f>YEAR(B509)</f>
        <v>2025</v>
      </c>
      <c r="AI509" s="2" t="str">
        <f t="shared" si="21"/>
        <v>Clean</v>
      </c>
      <c r="AJ509">
        <f>COUNTIFS($A$2:$A$1000,A509,$B$2:$B$1000,B509,$C$2:$C$1000,C509,$D$2:$D$1000,D509,$E$2:$E$1000,E509,$F$2:$F$1000,F509)</f>
        <v>1</v>
      </c>
      <c r="AK509">
        <f>COUNTIF($A$2:$A$1000, A509)</f>
        <v>1</v>
      </c>
    </row>
    <row r="510" spans="1:37">
      <c r="A510" t="s">
        <v>1623</v>
      </c>
      <c r="B510" s="5">
        <v>45382</v>
      </c>
      <c r="C510" s="5">
        <v>45389</v>
      </c>
      <c r="D510" s="6">
        <f>IF(AND(C510&lt;&gt;"",B510&lt;&gt;""), C510-B510, "Missing Date")</f>
        <v>7</v>
      </c>
      <c r="E510" s="6" t="str">
        <f>IF(OR(B510="",C510=""), "Missing Date",
    IF(C510&lt;B510, "Invalid: Ship before Order",
      "OK"))</f>
        <v>OK</v>
      </c>
      <c r="F510" t="s">
        <v>1624</v>
      </c>
      <c r="G510" t="s">
        <v>47</v>
      </c>
      <c r="H510" t="s">
        <v>37</v>
      </c>
      <c r="I510" t="s">
        <v>25</v>
      </c>
      <c r="J510" t="s">
        <v>236</v>
      </c>
      <c r="K510" t="s">
        <v>237</v>
      </c>
      <c r="L510" t="s">
        <v>74</v>
      </c>
      <c r="M510" t="s">
        <v>274</v>
      </c>
      <c r="N510" t="s">
        <v>1625</v>
      </c>
      <c r="O510" t="s">
        <v>31</v>
      </c>
      <c r="P510">
        <v>4</v>
      </c>
      <c r="Q510">
        <v>1831</v>
      </c>
      <c r="R510">
        <v>0</v>
      </c>
      <c r="S510">
        <v>7324</v>
      </c>
      <c r="T510">
        <v>4179.63</v>
      </c>
      <c r="U510">
        <v>3144.37</v>
      </c>
      <c r="V510" t="s">
        <v>32</v>
      </c>
      <c r="W510" t="s">
        <v>33</v>
      </c>
      <c r="X510" t="str">
        <f>_xlfn.TEXTJOIN("|", TRUE, A510:W510)</f>
        <v>ORD-2024-10509|45382|45389|7|OK|CUST-3333|Isha Nair|Small Business|North|Haryana|Gurugram|Technology|Machines|Smart Machines 853|Second Class|4|1831|0|7324|4179.63|3144.37|Paid|Completed</v>
      </c>
      <c r="Y510">
        <f>COUNTIF($X$2:$X$1000, X510)</f>
        <v>1</v>
      </c>
      <c r="Z510">
        <f>COUNTIF($A$2:$A$1000, A510)</f>
        <v>1</v>
      </c>
      <c r="AA510" t="str">
        <f>IF(Y510&gt;1, "Exact Duplicate",
  IF(Z510&gt;1, "Conflicting Duplicate - Review",
    "Unique"))</f>
        <v>Unique</v>
      </c>
      <c r="AB510" s="2">
        <f>IF(ISBLANK(R510), 0, IF(ISTEXT(R510), VALUE(SUBSTITUTE(R510, "%", ""))/100, IF(OR(R510&lt;0, R510&gt;1), "Invalid", R510)))</f>
        <v>0</v>
      </c>
      <c r="AC510" s="4">
        <f>IF(AB510="Invalid", "Error", P510 * Q510 * (1 - AB510))</f>
        <v>7324</v>
      </c>
      <c r="AD510" s="4">
        <f>IF(AC510="Error", "Error", AC510 - T510)</f>
        <v>3144.37</v>
      </c>
      <c r="AE510" s="2">
        <f>IF(AC510="Error", "Error", IF(AC510=0, 0, AD510 / AC510))</f>
        <v>0.42932413981430911</v>
      </c>
      <c r="AF510" s="7">
        <f>C510-B510</f>
        <v>7</v>
      </c>
      <c r="AG510" s="2" t="str">
        <f>TEXT(B510, "mmmm")</f>
        <v>March</v>
      </c>
      <c r="AH510" s="4">
        <f>YEAR(B510)</f>
        <v>2024</v>
      </c>
      <c r="AI510" s="2" t="str">
        <f t="shared" si="21"/>
        <v>Clean</v>
      </c>
      <c r="AJ510">
        <f>COUNTIFS($A$2:$A$1000,A510,$B$2:$B$1000,B510,$C$2:$C$1000,C510,$D$2:$D$1000,D510,$E$2:$E$1000,E510,$F$2:$F$1000,F510)</f>
        <v>1</v>
      </c>
      <c r="AK510">
        <f>COUNTIF($A$2:$A$1000, A510)</f>
        <v>1</v>
      </c>
    </row>
    <row r="511" spans="1:37">
      <c r="A511" t="s">
        <v>1626</v>
      </c>
      <c r="B511" s="5">
        <v>45789</v>
      </c>
      <c r="C511" s="5">
        <v>45791</v>
      </c>
      <c r="D511" s="6">
        <f>IF(AND(C511&lt;&gt;"",B511&lt;&gt;""), C511-B511, "Missing Date")</f>
        <v>2</v>
      </c>
      <c r="E511" s="6" t="str">
        <f>IF(OR(B511="",C511=""), "Missing Date",
    IF(C511&lt;B511, "Invalid: Ship before Order",
      "OK"))</f>
        <v>OK</v>
      </c>
      <c r="F511" t="s">
        <v>1627</v>
      </c>
      <c r="G511" t="s">
        <v>79</v>
      </c>
      <c r="H511" t="s">
        <v>24</v>
      </c>
      <c r="I511" t="s">
        <v>63</v>
      </c>
      <c r="J511" t="s">
        <v>180</v>
      </c>
      <c r="K511" t="s">
        <v>181</v>
      </c>
      <c r="L511" t="s">
        <v>74</v>
      </c>
      <c r="M511" t="s">
        <v>274</v>
      </c>
      <c r="N511" t="s">
        <v>1628</v>
      </c>
      <c r="O511" t="s">
        <v>44</v>
      </c>
      <c r="P511">
        <v>8</v>
      </c>
      <c r="Q511">
        <v>3631.44</v>
      </c>
      <c r="R511">
        <v>0.2</v>
      </c>
      <c r="S511">
        <v>23241.22</v>
      </c>
      <c r="T511">
        <v>17220.900000000001</v>
      </c>
      <c r="U511">
        <v>6020.32</v>
      </c>
      <c r="V511" t="s">
        <v>32</v>
      </c>
      <c r="W511" t="s">
        <v>33</v>
      </c>
      <c r="X511" t="str">
        <f>_xlfn.TEXTJOIN("|", TRUE, A511:W511)</f>
        <v>ORD-2025-10510|45789|45791|2|OK|CUST-7901|Neha Gupta|Consumer|West|Gujarat|Ahmedabad|Technology|Machines|Classic Machines 599|Same Day|8|3631.44|0.2|23241.22|17220.9|6020.32|Paid|Completed</v>
      </c>
      <c r="Y511">
        <f>COUNTIF($X$2:$X$1000, X511)</f>
        <v>1</v>
      </c>
      <c r="Z511">
        <f>COUNTIF($A$2:$A$1000, A511)</f>
        <v>1</v>
      </c>
      <c r="AA511" t="str">
        <f>IF(Y511&gt;1, "Exact Duplicate",
  IF(Z511&gt;1, "Conflicting Duplicate - Review",
    "Unique"))</f>
        <v>Unique</v>
      </c>
      <c r="AB511" s="2">
        <f>IF(ISBLANK(R511), 0, IF(ISTEXT(R511), VALUE(SUBSTITUTE(R511, "%", ""))/100, IF(OR(R511&lt;0, R511&gt;1), "Invalid", R511)))</f>
        <v>0.2</v>
      </c>
      <c r="AC511" s="4">
        <f>IF(AB511="Invalid", "Error", P511 * Q511 * (1 - AB511))</f>
        <v>23241.216</v>
      </c>
      <c r="AD511" s="4">
        <f>IF(AC511="Error", "Error", AC511 - T511)</f>
        <v>6020.3159999999989</v>
      </c>
      <c r="AE511" s="2">
        <f>IF(AC511="Error", "Error", IF(AC511=0, 0, AD511 / AC511))</f>
        <v>0.25903618812371948</v>
      </c>
      <c r="AF511" s="7">
        <f>C511-B511</f>
        <v>2</v>
      </c>
      <c r="AG511" s="2" t="str">
        <f>TEXT(B511, "mmmm")</f>
        <v>May</v>
      </c>
      <c r="AH511" s="4">
        <f>YEAR(B511)</f>
        <v>2025</v>
      </c>
      <c r="AI511" s="2" t="str">
        <f t="shared" si="21"/>
        <v>Clean</v>
      </c>
      <c r="AJ511">
        <f>COUNTIFS($A$2:$A$1000,A511,$B$2:$B$1000,B511,$C$2:$C$1000,C511,$D$2:$D$1000,D511,$E$2:$E$1000,E511,$F$2:$F$1000,F511)</f>
        <v>1</v>
      </c>
      <c r="AK511">
        <f>COUNTIF($A$2:$A$1000, A511)</f>
        <v>1</v>
      </c>
    </row>
    <row r="512" spans="1:37">
      <c r="A512" t="s">
        <v>1629</v>
      </c>
      <c r="B512" s="5">
        <v>45583</v>
      </c>
      <c r="C512" s="5">
        <v>45586</v>
      </c>
      <c r="D512" s="6">
        <f>IF(AND(C512&lt;&gt;"",B512&lt;&gt;""), C512-B512, "Missing Date")</f>
        <v>3</v>
      </c>
      <c r="E512" s="6" t="str">
        <f>IF(OR(B512="",C512=""), "Missing Date",
    IF(C512&lt;B512, "Invalid: Ship before Order",
      "OK"))</f>
        <v>OK</v>
      </c>
      <c r="F512" t="s">
        <v>1630</v>
      </c>
      <c r="G512" t="s">
        <v>128</v>
      </c>
      <c r="H512" t="s">
        <v>24</v>
      </c>
      <c r="I512" t="s">
        <v>54</v>
      </c>
      <c r="J512" t="s">
        <v>175</v>
      </c>
      <c r="K512" t="s">
        <v>176</v>
      </c>
      <c r="L512" t="s">
        <v>28</v>
      </c>
      <c r="M512" t="s">
        <v>124</v>
      </c>
      <c r="N512" t="s">
        <v>1631</v>
      </c>
      <c r="O512" t="s">
        <v>31</v>
      </c>
      <c r="P512">
        <v>2</v>
      </c>
      <c r="Q512">
        <v>4238.51</v>
      </c>
      <c r="R512">
        <v>0</v>
      </c>
      <c r="S512">
        <v>8477.02</v>
      </c>
      <c r="T512">
        <v>6884.96</v>
      </c>
      <c r="U512">
        <v>1592.06</v>
      </c>
      <c r="V512" t="s">
        <v>32</v>
      </c>
      <c r="W512" t="s">
        <v>33</v>
      </c>
      <c r="X512" t="str">
        <f>_xlfn.TEXTJOIN("|", TRUE, A512:W512)</f>
        <v>ORD-2024-10511|45583|45586|3|OK|CUST-9759|Aarav Sharma|Consumer|South|Karnataka|Bengaluru|Office Supplies|Storage|Pro Storage 373|Second Class|2|4238.51|0|8477.02|6884.96|1592.06|Paid|Completed</v>
      </c>
      <c r="Y512">
        <f>COUNTIF($X$2:$X$1000, X512)</f>
        <v>1</v>
      </c>
      <c r="Z512">
        <f>COUNTIF($A$2:$A$1000, A512)</f>
        <v>1</v>
      </c>
      <c r="AA512" t="str">
        <f>IF(Y512&gt;1, "Exact Duplicate",
  IF(Z512&gt;1, "Conflicting Duplicate - Review",
    "Unique"))</f>
        <v>Unique</v>
      </c>
      <c r="AB512" s="2">
        <f>IF(ISBLANK(R512), 0, IF(ISTEXT(R512), VALUE(SUBSTITUTE(R512, "%", ""))/100, IF(OR(R512&lt;0, R512&gt;1), "Invalid", R512)))</f>
        <v>0</v>
      </c>
      <c r="AC512" s="4">
        <f>IF(AB512="Invalid", "Error", P512 * Q512 * (1 - AB512))</f>
        <v>8477.02</v>
      </c>
      <c r="AD512" s="4">
        <f>IF(AC512="Error", "Error", AC512 - T512)</f>
        <v>1592.0600000000004</v>
      </c>
      <c r="AE512" s="2">
        <f>IF(AC512="Error", "Error", IF(AC512=0, 0, AD512 / AC512))</f>
        <v>0.18780892341884298</v>
      </c>
      <c r="AF512" s="7">
        <f>C512-B512</f>
        <v>3</v>
      </c>
      <c r="AG512" s="2" t="str">
        <f>TEXT(B512, "mmmm")</f>
        <v>October</v>
      </c>
      <c r="AH512" s="4">
        <f>YEAR(B512)</f>
        <v>2024</v>
      </c>
      <c r="AI512" s="2" t="str">
        <f t="shared" si="21"/>
        <v>Clean</v>
      </c>
      <c r="AJ512">
        <f>COUNTIFS($A$2:$A$1000,A512,$B$2:$B$1000,B512,$C$2:$C$1000,C512,$D$2:$D$1000,D512,$E$2:$E$1000,E512,$F$2:$F$1000,F512)</f>
        <v>1</v>
      </c>
      <c r="AK512">
        <f>COUNTIF($A$2:$A$1000, A512)</f>
        <v>1</v>
      </c>
    </row>
    <row r="513" spans="1:37">
      <c r="A513" t="s">
        <v>1632</v>
      </c>
      <c r="B513" s="5">
        <v>45588</v>
      </c>
      <c r="C513" s="5">
        <v>45591</v>
      </c>
      <c r="D513" s="6">
        <f>IF(AND(C513&lt;&gt;"",B513&lt;&gt;""), C513-B513, "Missing Date")</f>
        <v>3</v>
      </c>
      <c r="E513" s="6" t="str">
        <f>IF(OR(B513="",C513=""), "Missing Date",
    IF(C513&lt;B513, "Invalid: Ship before Order",
      "OK"))</f>
        <v>OK</v>
      </c>
      <c r="F513" t="s">
        <v>1633</v>
      </c>
      <c r="G513" t="s">
        <v>132</v>
      </c>
      <c r="H513" t="s">
        <v>24</v>
      </c>
      <c r="I513" t="s">
        <v>63</v>
      </c>
      <c r="J513" t="s">
        <v>72</v>
      </c>
      <c r="K513" t="s">
        <v>73</v>
      </c>
      <c r="L513" t="s">
        <v>41</v>
      </c>
      <c r="M513" t="s">
        <v>158</v>
      </c>
      <c r="N513" t="s">
        <v>1634</v>
      </c>
      <c r="O513" t="s">
        <v>59</v>
      </c>
      <c r="P513">
        <v>9</v>
      </c>
      <c r="Q513">
        <v>544.27</v>
      </c>
      <c r="R513">
        <v>0.25</v>
      </c>
      <c r="S513">
        <v>3673.82</v>
      </c>
      <c r="T513">
        <v>2088.15</v>
      </c>
      <c r="U513">
        <v>1585.67</v>
      </c>
      <c r="V513" t="s">
        <v>32</v>
      </c>
      <c r="W513" t="s">
        <v>33</v>
      </c>
      <c r="X513" t="str">
        <f>_xlfn.TEXTJOIN("|", TRUE, A513:W513)</f>
        <v>ORD-2024-10512|45588|45591|3|OK|CUST-7232|Sneha Kapoor|Consumer|West|Madhya Pradesh|Indore|Furniture|Bookcases|Smart Bookcases 920|Standard Class|9|544.27|0.25|3673.82|2088.15|1585.67|Paid|Completed</v>
      </c>
      <c r="Y513">
        <f>COUNTIF($X$2:$X$1000, X513)</f>
        <v>1</v>
      </c>
      <c r="Z513">
        <f>COUNTIF($A$2:$A$1000, A513)</f>
        <v>1</v>
      </c>
      <c r="AA513" t="str">
        <f>IF(Y513&gt;1, "Exact Duplicate",
  IF(Z513&gt;1, "Conflicting Duplicate - Review",
    "Unique"))</f>
        <v>Unique</v>
      </c>
      <c r="AB513" s="2">
        <f>IF(ISBLANK(R513), 0, IF(ISTEXT(R513), VALUE(SUBSTITUTE(R513, "%", ""))/100, IF(OR(R513&lt;0, R513&gt;1), "Invalid", R513)))</f>
        <v>0.25</v>
      </c>
      <c r="AC513" s="4">
        <f>IF(AB513="Invalid", "Error", P513 * Q513 * (1 - AB513))</f>
        <v>3673.8225000000002</v>
      </c>
      <c r="AD513" s="4">
        <f>IF(AC513="Error", "Error", AC513 - T513)</f>
        <v>1585.6725000000001</v>
      </c>
      <c r="AE513" s="2">
        <f>IF(AC513="Error", "Error", IF(AC513=0, 0, AD513 / AC513))</f>
        <v>0.43161380278987349</v>
      </c>
      <c r="AF513" s="7">
        <f>C513-B513</f>
        <v>3</v>
      </c>
      <c r="AG513" s="2" t="str">
        <f>TEXT(B513, "mmmm")</f>
        <v>October</v>
      </c>
      <c r="AH513" s="4">
        <f>YEAR(B513)</f>
        <v>2024</v>
      </c>
      <c r="AI513" s="2" t="str">
        <f t="shared" si="21"/>
        <v>Clean</v>
      </c>
      <c r="AJ513">
        <f>COUNTIFS($A$2:$A$1000,A513,$B$2:$B$1000,B513,$C$2:$C$1000,C513,$D$2:$D$1000,D513,$E$2:$E$1000,E513,$F$2:$F$1000,F513)</f>
        <v>1</v>
      </c>
      <c r="AK513">
        <f>COUNTIF($A$2:$A$1000, A513)</f>
        <v>1</v>
      </c>
    </row>
    <row r="514" spans="1:37">
      <c r="A514" t="s">
        <v>1635</v>
      </c>
      <c r="B514" s="5">
        <v>45691</v>
      </c>
      <c r="C514" s="5">
        <v>45719</v>
      </c>
      <c r="D514" s="6">
        <f>IF(AND(C514&lt;&gt;"",B514&lt;&gt;""), C514-B514, "Missing Date")</f>
        <v>28</v>
      </c>
      <c r="E514" s="6" t="str">
        <f>IF(OR(B514="",C514=""), "Missing Date",
    IF(C514&lt;B514, "Invalid: Ship before Order",
      "OK"))</f>
        <v>OK</v>
      </c>
      <c r="F514" t="s">
        <v>1247</v>
      </c>
      <c r="G514" t="s">
        <v>47</v>
      </c>
      <c r="H514" t="s">
        <v>90</v>
      </c>
      <c r="I514" t="s">
        <v>54</v>
      </c>
      <c r="J514" t="s">
        <v>185</v>
      </c>
      <c r="K514" t="s">
        <v>186</v>
      </c>
      <c r="L514" t="s">
        <v>28</v>
      </c>
      <c r="M514" t="s">
        <v>91</v>
      </c>
      <c r="N514" t="s">
        <v>1636</v>
      </c>
      <c r="O514" t="s">
        <v>31</v>
      </c>
      <c r="P514">
        <v>2</v>
      </c>
      <c r="Q514">
        <v>4031.45</v>
      </c>
      <c r="R514">
        <v>0.25</v>
      </c>
      <c r="S514">
        <v>6047.17</v>
      </c>
      <c r="T514">
        <v>3368.79</v>
      </c>
      <c r="U514">
        <v>2678.38</v>
      </c>
      <c r="V514" t="s">
        <v>32</v>
      </c>
      <c r="W514" t="s">
        <v>33</v>
      </c>
      <c r="X514" t="str">
        <f>_xlfn.TEXTJOIN("|", TRUE, A514:W514)</f>
        <v>ORD-2025-10513|45691|45719|28|OK|CUST-9943|Isha Nair|Corporate|South|Kerala|Kochi|Office Supplies|Labels|Pro Labels 849|Second Class|2|4031.45|0.25|6047.17|3368.79|2678.38|Paid|Completed</v>
      </c>
      <c r="Y514">
        <f>COUNTIF($X$2:$X$1000, X514)</f>
        <v>1</v>
      </c>
      <c r="Z514">
        <f>COUNTIF($A$2:$A$1000, A514)</f>
        <v>1</v>
      </c>
      <c r="AA514" t="str">
        <f>IF(Y514&gt;1, "Exact Duplicate",
  IF(Z514&gt;1, "Conflicting Duplicate - Review",
    "Unique"))</f>
        <v>Unique</v>
      </c>
      <c r="AB514" s="2">
        <f>IF(ISBLANK(R514), 0, IF(ISTEXT(R514), VALUE(SUBSTITUTE(R514, "%", ""))/100, IF(OR(R514&lt;0, R514&gt;1), "Invalid", R514)))</f>
        <v>0.25</v>
      </c>
      <c r="AC514" s="4">
        <f>IF(AB514="Invalid", "Error", P514 * Q514 * (1 - AB514))</f>
        <v>6047.1749999999993</v>
      </c>
      <c r="AD514" s="4">
        <f>IF(AC514="Error", "Error", AC514 - T514)</f>
        <v>2678.3849999999993</v>
      </c>
      <c r="AE514" s="2">
        <f>IF(AC514="Error", "Error", IF(AC514=0, 0, AD514 / AC514))</f>
        <v>0.44291508018206843</v>
      </c>
      <c r="AF514" s="7">
        <f>C514-B514</f>
        <v>28</v>
      </c>
      <c r="AG514" s="2" t="str">
        <f>TEXT(B514, "mmmm")</f>
        <v>February</v>
      </c>
      <c r="AH514" s="4">
        <f>YEAR(B514)</f>
        <v>2025</v>
      </c>
      <c r="AI514" s="2" t="str">
        <f t="shared" si="21"/>
        <v>Clean</v>
      </c>
      <c r="AJ514">
        <f>COUNTIFS($A$2:$A$1000,A514,$B$2:$B$1000,B514,$C$2:$C$1000,C514,$D$2:$D$1000,D514,$E$2:$E$1000,E514,$F$2:$F$1000,F514)</f>
        <v>1</v>
      </c>
      <c r="AK514">
        <f>COUNTIF($A$2:$A$1000, A514)</f>
        <v>1</v>
      </c>
    </row>
    <row r="515" spans="1:37">
      <c r="A515" t="s">
        <v>1637</v>
      </c>
      <c r="B515" s="5">
        <v>45835</v>
      </c>
      <c r="C515" s="5">
        <v>45695</v>
      </c>
      <c r="D515" s="6">
        <f>IF(AND(C515&lt;&gt;"",B515&lt;&gt;""), C515-B515, "Missing Date")</f>
        <v>-140</v>
      </c>
      <c r="E515" s="6" t="str">
        <f>IF(OR(B515="",C515=""), "Missing Date",
    IF(C515&lt;B515, "Invalid: Ship before Order",
      "OK"))</f>
        <v>Invalid: Ship before Order</v>
      </c>
      <c r="F515" t="s">
        <v>1638</v>
      </c>
      <c r="G515" t="s">
        <v>128</v>
      </c>
      <c r="H515" t="s">
        <v>90</v>
      </c>
      <c r="I515" t="s">
        <v>54</v>
      </c>
      <c r="J515" t="s">
        <v>185</v>
      </c>
      <c r="K515" t="s">
        <v>186</v>
      </c>
      <c r="L515" t="s">
        <v>74</v>
      </c>
      <c r="M515" t="s">
        <v>75</v>
      </c>
      <c r="N515" t="s">
        <v>1639</v>
      </c>
      <c r="O515" t="s">
        <v>50</v>
      </c>
      <c r="P515">
        <v>6</v>
      </c>
      <c r="Q515">
        <v>1099.49</v>
      </c>
      <c r="R515">
        <v>0.1</v>
      </c>
      <c r="S515">
        <v>6212.38</v>
      </c>
      <c r="T515">
        <v>4088.46</v>
      </c>
      <c r="U515">
        <v>1848.79</v>
      </c>
      <c r="V515" t="s">
        <v>32</v>
      </c>
      <c r="W515" t="s">
        <v>33</v>
      </c>
      <c r="X515" t="str">
        <f>_xlfn.TEXTJOIN("|", TRUE, A515:W515)</f>
        <v>ORD-2025-10514|45835|45695|-140|Invalid: Ship before Order|CUST-8993|Aarav Sharma|Corporate|South|Kerala|Kochi|Technology|Accessories|Prime Accessories 849|First Class|6|1099.49|0.1|6212.38|4088.46|1848.79|Paid|Completed</v>
      </c>
      <c r="Y515">
        <f>COUNTIF($X$2:$X$1000, X515)</f>
        <v>1</v>
      </c>
      <c r="Z515">
        <f>COUNTIF($A$2:$A$1000, A515)</f>
        <v>1</v>
      </c>
      <c r="AA515" t="str">
        <f>IF(Y515&gt;1, "Exact Duplicate",
  IF(Z515&gt;1, "Conflicting Duplicate - Review",
    "Unique"))</f>
        <v>Unique</v>
      </c>
      <c r="AB515" s="2">
        <f>IF(ISBLANK(R515), 0, IF(ISTEXT(R515), VALUE(SUBSTITUTE(R515, "%", ""))/100, IF(OR(R515&lt;0, R515&gt;1), "Invalid", R515)))</f>
        <v>0.1</v>
      </c>
      <c r="AC515" s="4">
        <f>IF(AB515="Invalid", "Error", P515 * Q515 * (1 - AB515))</f>
        <v>5937.246000000001</v>
      </c>
      <c r="AD515" s="4">
        <f>IF(AC515="Error", "Error", AC515 - T515)</f>
        <v>1848.786000000001</v>
      </c>
      <c r="AE515" s="2">
        <f>IF(AC515="Error", "Error", IF(AC515=0, 0, AD515 / AC515))</f>
        <v>0.31138780505304997</v>
      </c>
      <c r="AF515" s="7">
        <f>C515-B515</f>
        <v>-140</v>
      </c>
      <c r="AG515" s="2" t="str">
        <f>TEXT(B515, "mmmm")</f>
        <v>June</v>
      </c>
      <c r="AH515" s="4">
        <f>YEAR(B515)</f>
        <v>2025</v>
      </c>
      <c r="AI515" s="2" t="str">
        <f t="shared" ref="AI515:AI578" si="22">IF(OR(R515&lt;0,R515&gt;1),"Invalid: Discount",
IF(AND(I515="Unknown",J515&lt;&gt;""),"Warning: Missing Region",
IF(W515="Cancelled","Excluded from Sales",
IF(V515="Failed","Excluded from Sales",
IF(O515="Unknown","Warning: Missing Shipping Mode",
IF(W515="Refunded","Refund – Separate Summary",
IF(C515&lt;B515,"Invalid Shipping Record",
"Clean")))))))</f>
        <v>Invalid Shipping Record</v>
      </c>
      <c r="AJ515">
        <f>COUNTIFS($A$2:$A$1000,A515,$B$2:$B$1000,B515,$C$2:$C$1000,C515,$D$2:$D$1000,D515,$E$2:$E$1000,E515,$F$2:$F$1000,F515)</f>
        <v>1</v>
      </c>
      <c r="AK515">
        <f>COUNTIF($A$2:$A$1000, A515)</f>
        <v>1</v>
      </c>
    </row>
    <row r="516" spans="1:37">
      <c r="A516" t="s">
        <v>1640</v>
      </c>
      <c r="B516" s="5">
        <v>45614</v>
      </c>
      <c r="C516" s="5">
        <v>45618</v>
      </c>
      <c r="D516" s="6">
        <f>IF(AND(C516&lt;&gt;"",B516&lt;&gt;""), C516-B516, "Missing Date")</f>
        <v>4</v>
      </c>
      <c r="E516" s="6" t="str">
        <f>IF(OR(B516="",C516=""), "Missing Date",
    IF(C516&lt;B516, "Invalid: Ship before Order",
      "OK"))</f>
        <v>OK</v>
      </c>
      <c r="F516" t="s">
        <v>1641</v>
      </c>
      <c r="G516" t="s">
        <v>23</v>
      </c>
      <c r="H516" t="s">
        <v>95</v>
      </c>
      <c r="I516" t="s">
        <v>54</v>
      </c>
      <c r="J516" t="s">
        <v>185</v>
      </c>
      <c r="K516" t="s">
        <v>186</v>
      </c>
      <c r="L516" t="s">
        <v>74</v>
      </c>
      <c r="M516" t="s">
        <v>75</v>
      </c>
      <c r="N516" t="s">
        <v>1642</v>
      </c>
      <c r="O516" t="s">
        <v>59</v>
      </c>
      <c r="P516">
        <v>6</v>
      </c>
      <c r="Q516">
        <v>3872.94</v>
      </c>
      <c r="R516">
        <v>0.1</v>
      </c>
      <c r="S516">
        <v>20913.88</v>
      </c>
      <c r="T516">
        <v>11684.68</v>
      </c>
      <c r="U516">
        <v>9229.2000000000007</v>
      </c>
      <c r="V516" t="s">
        <v>32</v>
      </c>
      <c r="W516" t="s">
        <v>33</v>
      </c>
      <c r="X516" t="str">
        <f>_xlfn.TEXTJOIN("|", TRUE, A516:W516)</f>
        <v>ORD-2024-10515|45614|45618|4|OK|CUST-7729|Karan Malhotra|Home Office|South|Kerala|Kochi|Technology|Accessories|Smart Accessories 388|Standard Class|6|3872.94|0.1|20913.88|11684.68|9229.2|Paid|Completed</v>
      </c>
      <c r="Y516">
        <f>COUNTIF($X$2:$X$1000, X516)</f>
        <v>1</v>
      </c>
      <c r="Z516">
        <f>COUNTIF($A$2:$A$1000, A516)</f>
        <v>1</v>
      </c>
      <c r="AA516" t="str">
        <f>IF(Y516&gt;1, "Exact Duplicate",
  IF(Z516&gt;1, "Conflicting Duplicate - Review",
    "Unique"))</f>
        <v>Unique</v>
      </c>
      <c r="AB516" s="2">
        <f>IF(ISBLANK(R516), 0, IF(ISTEXT(R516), VALUE(SUBSTITUTE(R516, "%", ""))/100, IF(OR(R516&lt;0, R516&gt;1), "Invalid", R516)))</f>
        <v>0.1</v>
      </c>
      <c r="AC516" s="4">
        <f>IF(AB516="Invalid", "Error", P516 * Q516 * (1 - AB516))</f>
        <v>20913.876</v>
      </c>
      <c r="AD516" s="4">
        <f>IF(AC516="Error", "Error", AC516 - T516)</f>
        <v>9229.1959999999999</v>
      </c>
      <c r="AE516" s="2">
        <f>IF(AC516="Error", "Error", IF(AC516=0, 0, AD516 / AC516))</f>
        <v>0.44129533903710627</v>
      </c>
      <c r="AF516" s="7">
        <f>C516-B516</f>
        <v>4</v>
      </c>
      <c r="AG516" s="2" t="str">
        <f>TEXT(B516, "mmmm")</f>
        <v>November</v>
      </c>
      <c r="AH516" s="4">
        <f>YEAR(B516)</f>
        <v>2024</v>
      </c>
      <c r="AI516" s="2" t="str">
        <f t="shared" si="22"/>
        <v>Clean</v>
      </c>
      <c r="AJ516">
        <f>COUNTIFS($A$2:$A$1000,A516,$B$2:$B$1000,B516,$C$2:$C$1000,C516,$D$2:$D$1000,D516,$E$2:$E$1000,E516,$F$2:$F$1000,F516)</f>
        <v>1</v>
      </c>
      <c r="AK516">
        <f>COUNTIF($A$2:$A$1000, A516)</f>
        <v>1</v>
      </c>
    </row>
    <row r="517" spans="1:37">
      <c r="A517" t="s">
        <v>1643</v>
      </c>
      <c r="B517" s="5">
        <v>45965</v>
      </c>
      <c r="C517" s="5">
        <v>45758</v>
      </c>
      <c r="D517" s="6">
        <f>IF(AND(C517&lt;&gt;"",B517&lt;&gt;""), C517-B517, "Missing Date")</f>
        <v>-207</v>
      </c>
      <c r="E517" s="6" t="str">
        <f>IF(OR(B517="",C517=""), "Missing Date",
    IF(C517&lt;B517, "Invalid: Ship before Order",
      "OK"))</f>
        <v>Invalid: Ship before Order</v>
      </c>
      <c r="F517" t="s">
        <v>1644</v>
      </c>
      <c r="G517" t="s">
        <v>118</v>
      </c>
      <c r="H517" t="s">
        <v>90</v>
      </c>
      <c r="I517" t="s">
        <v>25</v>
      </c>
      <c r="J517" t="s">
        <v>350</v>
      </c>
      <c r="K517" t="s">
        <v>351</v>
      </c>
      <c r="L517" t="s">
        <v>28</v>
      </c>
      <c r="M517" t="s">
        <v>29</v>
      </c>
      <c r="N517" t="s">
        <v>1645</v>
      </c>
      <c r="O517" t="s">
        <v>59</v>
      </c>
      <c r="P517">
        <v>1</v>
      </c>
      <c r="Q517">
        <v>4458.49</v>
      </c>
      <c r="R517">
        <v>-7.0000000000000007E-2</v>
      </c>
      <c r="S517">
        <v>3566.79</v>
      </c>
      <c r="T517">
        <v>2083.41</v>
      </c>
      <c r="U517">
        <v>1483.38</v>
      </c>
      <c r="V517" t="s">
        <v>32</v>
      </c>
      <c r="W517" t="s">
        <v>33</v>
      </c>
      <c r="X517" t="str">
        <f>_xlfn.TEXTJOIN("|", TRUE, A517:W517)</f>
        <v>ORD-2025-10516|45965|45758|-207|Invalid: Ship before Order|CUST-9986|Rahul Verma|Corporate|North|Delhi|New Delhi|Office Supplies|Paper|Classic Paper 752|Standard Class|1|4458.49|-0.07|3566.79|2083.41|1483.38|Paid|Completed</v>
      </c>
      <c r="Y517">
        <f>COUNTIF($X$2:$X$1000, X517)</f>
        <v>1</v>
      </c>
      <c r="Z517">
        <f>COUNTIF($A$2:$A$1000, A517)</f>
        <v>1</v>
      </c>
      <c r="AA517" t="str">
        <f>IF(Y517&gt;1, "Exact Duplicate",
  IF(Z517&gt;1, "Conflicting Duplicate - Review",
    "Unique"))</f>
        <v>Unique</v>
      </c>
      <c r="AB517" s="2" t="str">
        <f>IF(ISBLANK(R517), 0, IF(ISTEXT(R517), VALUE(SUBSTITUTE(R517, "%", ""))/100, IF(OR(R517&lt;0, R517&gt;1), "Invalid", R517)))</f>
        <v>Invalid</v>
      </c>
      <c r="AC517" s="4" t="str">
        <f>IF(AB517="Invalid", "Error", P517 * Q517 * (1 - AB517))</f>
        <v>Error</v>
      </c>
      <c r="AD517" s="4" t="str">
        <f>IF(AC517="Error", "Error", AC517 - T517)</f>
        <v>Error</v>
      </c>
      <c r="AE517" s="2" t="str">
        <f>IF(AC517="Error", "Error", IF(AC517=0, 0, AD517 / AC517))</f>
        <v>Error</v>
      </c>
      <c r="AF517" s="7">
        <f>C517-B517</f>
        <v>-207</v>
      </c>
      <c r="AG517" s="2" t="str">
        <f>TEXT(B517, "mmmm")</f>
        <v>November</v>
      </c>
      <c r="AH517" s="4">
        <f>YEAR(B517)</f>
        <v>2025</v>
      </c>
      <c r="AI517" s="2" t="str">
        <f t="shared" si="22"/>
        <v>Invalid: Discount</v>
      </c>
      <c r="AJ517">
        <f>COUNTIFS($A$2:$A$1000,A517,$B$2:$B$1000,B517,$C$2:$C$1000,C517,$D$2:$D$1000,D517,$E$2:$E$1000,E517,$F$2:$F$1000,F517)</f>
        <v>1</v>
      </c>
      <c r="AK517">
        <f>COUNTIF($A$2:$A$1000, A517)</f>
        <v>1</v>
      </c>
    </row>
    <row r="518" spans="1:37">
      <c r="A518" t="s">
        <v>1646</v>
      </c>
      <c r="B518" s="5">
        <v>45563</v>
      </c>
      <c r="C518" s="5">
        <v>45569</v>
      </c>
      <c r="D518" s="6">
        <f>IF(AND(C518&lt;&gt;"",B518&lt;&gt;""), C518-B518, "Missing Date")</f>
        <v>6</v>
      </c>
      <c r="E518" s="6" t="str">
        <f>IF(OR(B518="",C518=""), "Missing Date",
    IF(C518&lt;B518, "Invalid: Ship before Order",
      "OK"))</f>
        <v>OK</v>
      </c>
      <c r="F518" t="s">
        <v>1647</v>
      </c>
      <c r="G518" t="s">
        <v>264</v>
      </c>
      <c r="H518" t="s">
        <v>95</v>
      </c>
      <c r="I518" t="s">
        <v>25</v>
      </c>
      <c r="J518" t="s">
        <v>350</v>
      </c>
      <c r="K518" t="s">
        <v>351</v>
      </c>
      <c r="L518" t="s">
        <v>74</v>
      </c>
      <c r="M518" t="s">
        <v>80</v>
      </c>
      <c r="N518" t="s">
        <v>1648</v>
      </c>
      <c r="O518" t="s">
        <v>59</v>
      </c>
      <c r="P518">
        <v>1</v>
      </c>
      <c r="Q518">
        <v>2233.1799999999998</v>
      </c>
      <c r="R518">
        <v>0</v>
      </c>
      <c r="S518">
        <v>2233.1799999999998</v>
      </c>
      <c r="T518">
        <v>1585.82</v>
      </c>
      <c r="U518">
        <v>647.36</v>
      </c>
      <c r="V518" t="s">
        <v>155</v>
      </c>
      <c r="W518" t="s">
        <v>103</v>
      </c>
      <c r="X518" t="str">
        <f>_xlfn.TEXTJOIN("|", TRUE, A518:W518)</f>
        <v>ORD-2024-10517|45563|45569|6|OK|CUST-2731|Kabir Singh|Home Office|North|Delhi|New Delhi|Technology|Copiers|Classic Copiers 143|Standard Class|1|2233.18|0|2233.18|1585.82|647.36|Failed|Returned</v>
      </c>
      <c r="Y518">
        <f>COUNTIF($X$2:$X$1000, X518)</f>
        <v>1</v>
      </c>
      <c r="Z518">
        <f>COUNTIF($A$2:$A$1000, A518)</f>
        <v>1</v>
      </c>
      <c r="AA518" t="str">
        <f>IF(Y518&gt;1, "Exact Duplicate",
  IF(Z518&gt;1, "Conflicting Duplicate - Review",
    "Unique"))</f>
        <v>Unique</v>
      </c>
      <c r="AB518" s="2">
        <f>IF(ISBLANK(R518), 0, IF(ISTEXT(R518), VALUE(SUBSTITUTE(R518, "%", ""))/100, IF(OR(R518&lt;0, R518&gt;1), "Invalid", R518)))</f>
        <v>0</v>
      </c>
      <c r="AC518" s="4">
        <f>IF(AB518="Invalid", "Error", P518 * Q518 * (1 - AB518))</f>
        <v>2233.1799999999998</v>
      </c>
      <c r="AD518" s="4">
        <f>IF(AC518="Error", "Error", AC518 - T518)</f>
        <v>647.3599999999999</v>
      </c>
      <c r="AE518" s="2">
        <f>IF(AC518="Error", "Error", IF(AC518=0, 0, AD518 / AC518))</f>
        <v>0.28988258895386843</v>
      </c>
      <c r="AF518" s="7">
        <f>C518-B518</f>
        <v>6</v>
      </c>
      <c r="AG518" s="2" t="str">
        <f>TEXT(B518, "mmmm")</f>
        <v>September</v>
      </c>
      <c r="AH518" s="4">
        <f>YEAR(B518)</f>
        <v>2024</v>
      </c>
      <c r="AI518" s="2" t="str">
        <f t="shared" si="22"/>
        <v>Excluded from Sales</v>
      </c>
      <c r="AJ518">
        <f>COUNTIFS($A$2:$A$1000,A518,$B$2:$B$1000,B518,$C$2:$C$1000,C518,$D$2:$D$1000,D518,$E$2:$E$1000,E518,$F$2:$F$1000,F518)</f>
        <v>1</v>
      </c>
      <c r="AK518">
        <f>COUNTIF($A$2:$A$1000, A518)</f>
        <v>1</v>
      </c>
    </row>
    <row r="519" spans="1:37">
      <c r="A519" t="s">
        <v>1649</v>
      </c>
      <c r="B519" s="5">
        <v>45802</v>
      </c>
      <c r="C519" s="5">
        <v>45804</v>
      </c>
      <c r="D519" s="6">
        <f>IF(AND(C519&lt;&gt;"",B519&lt;&gt;""), C519-B519, "Missing Date")</f>
        <v>2</v>
      </c>
      <c r="E519" s="6" t="str">
        <f>IF(OR(B519="",C519=""), "Missing Date",
    IF(C519&lt;B519, "Invalid: Ship before Order",
      "OK"))</f>
        <v>OK</v>
      </c>
      <c r="F519" t="s">
        <v>1650</v>
      </c>
      <c r="G519" t="s">
        <v>118</v>
      </c>
      <c r="H519" t="s">
        <v>24</v>
      </c>
      <c r="I519" t="s">
        <v>38</v>
      </c>
      <c r="J519" t="s">
        <v>39</v>
      </c>
      <c r="K519" t="s">
        <v>40</v>
      </c>
      <c r="L519" t="s">
        <v>41</v>
      </c>
      <c r="M519" t="s">
        <v>57</v>
      </c>
      <c r="N519" t="s">
        <v>1651</v>
      </c>
      <c r="O519" t="s">
        <v>31</v>
      </c>
      <c r="P519">
        <v>7</v>
      </c>
      <c r="Q519">
        <v>2123.2800000000002</v>
      </c>
      <c r="R519">
        <v>0.2</v>
      </c>
      <c r="S519">
        <v>11890.37</v>
      </c>
      <c r="T519">
        <v>9234.5300000000007</v>
      </c>
      <c r="U519">
        <v>2655.84</v>
      </c>
      <c r="V519" t="s">
        <v>102</v>
      </c>
      <c r="W519" t="s">
        <v>103</v>
      </c>
      <c r="X519" t="str">
        <f>_xlfn.TEXTJOIN("|", TRUE, A519:W519)</f>
        <v>ORD-2025-10518|45802|45804|2|OK|CUST-4235|Rahul Verma|Consumer|East|Odisha|Bhubaneswar|Furniture|Furnishings|Basic Furnishings 386|Second Class|7|2123.28|0.2|11890.37|9234.53|2655.84|Refunded|Returned</v>
      </c>
      <c r="Y519">
        <f>COUNTIF($X$2:$X$1000, X519)</f>
        <v>1</v>
      </c>
      <c r="Z519">
        <f>COUNTIF($A$2:$A$1000, A519)</f>
        <v>1</v>
      </c>
      <c r="AA519" t="str">
        <f>IF(Y519&gt;1, "Exact Duplicate",
  IF(Z519&gt;1, "Conflicting Duplicate - Review",
    "Unique"))</f>
        <v>Unique</v>
      </c>
      <c r="AB519" s="2">
        <f>IF(ISBLANK(R519), 0, IF(ISTEXT(R519), VALUE(SUBSTITUTE(R519, "%", ""))/100, IF(OR(R519&lt;0, R519&gt;1), "Invalid", R519)))</f>
        <v>0.2</v>
      </c>
      <c r="AC519" s="4">
        <f>IF(AB519="Invalid", "Error", P519 * Q519 * (1 - AB519))</f>
        <v>11890.368000000002</v>
      </c>
      <c r="AD519" s="4">
        <f>IF(AC519="Error", "Error", AC519 - T519)</f>
        <v>2655.8380000000016</v>
      </c>
      <c r="AE519" s="2">
        <f>IF(AC519="Error", "Error", IF(AC519=0, 0, AD519 / AC519))</f>
        <v>0.22336045444514427</v>
      </c>
      <c r="AF519" s="7">
        <f>C519-B519</f>
        <v>2</v>
      </c>
      <c r="AG519" s="2" t="str">
        <f>TEXT(B519, "mmmm")</f>
        <v>May</v>
      </c>
      <c r="AH519" s="4">
        <f>YEAR(B519)</f>
        <v>2025</v>
      </c>
      <c r="AI519" s="2" t="str">
        <f t="shared" si="22"/>
        <v>Clean</v>
      </c>
      <c r="AJ519">
        <f>COUNTIFS($A$2:$A$1000,A519,$B$2:$B$1000,B519,$C$2:$C$1000,C519,$D$2:$D$1000,D519,$E$2:$E$1000,E519,$F$2:$F$1000,F519)</f>
        <v>1</v>
      </c>
      <c r="AK519">
        <f>COUNTIF($A$2:$A$1000, A519)</f>
        <v>1</v>
      </c>
    </row>
    <row r="520" spans="1:37">
      <c r="A520" t="s">
        <v>1652</v>
      </c>
      <c r="B520" s="5">
        <v>45777</v>
      </c>
      <c r="C520" s="5">
        <v>45773</v>
      </c>
      <c r="D520" s="6">
        <f>IF(AND(C520&lt;&gt;"",B520&lt;&gt;""), C520-B520, "Missing Date")</f>
        <v>-4</v>
      </c>
      <c r="E520" s="6" t="str">
        <f>IF(OR(B520="",C520=""), "Missing Date",
    IF(C520&lt;B520, "Invalid: Ship before Order",
      "OK"))</f>
        <v>Invalid: Ship before Order</v>
      </c>
      <c r="F520" t="s">
        <v>1653</v>
      </c>
      <c r="G520" t="s">
        <v>162</v>
      </c>
      <c r="H520" t="s">
        <v>90</v>
      </c>
      <c r="I520" t="s">
        <v>38</v>
      </c>
      <c r="J520" t="s">
        <v>39</v>
      </c>
      <c r="K520" t="s">
        <v>40</v>
      </c>
      <c r="L520" t="s">
        <v>41</v>
      </c>
      <c r="M520" t="s">
        <v>42</v>
      </c>
      <c r="N520" t="s">
        <v>1654</v>
      </c>
      <c r="O520" t="s">
        <v>50</v>
      </c>
      <c r="P520">
        <v>7</v>
      </c>
      <c r="Q520">
        <v>1604.13</v>
      </c>
      <c r="R520">
        <v>0.25</v>
      </c>
      <c r="S520">
        <v>8421.68</v>
      </c>
      <c r="T520">
        <v>6534.47</v>
      </c>
      <c r="U520">
        <v>1887.21</v>
      </c>
      <c r="V520" t="s">
        <v>32</v>
      </c>
      <c r="W520" t="s">
        <v>68</v>
      </c>
      <c r="X520" t="str">
        <f>_xlfn.TEXTJOIN("|", TRUE, A520:W520)</f>
        <v>ORD-2025-10519|45777|45773|-4|Invalid: Ship before Order|CUST-3377|Diya Patel|Corporate|East|Odisha|Bhubaneswar|Furniture|Tables|Classic Tables 592|First Class|7|1604.13|0.25|8421.68|6534.47|1887.21|Paid|Cancelled</v>
      </c>
      <c r="Y520">
        <f>COUNTIF($X$2:$X$1000, X520)</f>
        <v>1</v>
      </c>
      <c r="Z520">
        <f>COUNTIF($A$2:$A$1000, A520)</f>
        <v>1</v>
      </c>
      <c r="AA520" t="str">
        <f>IF(Y520&gt;1, "Exact Duplicate",
  IF(Z520&gt;1, "Conflicting Duplicate - Review",
    "Unique"))</f>
        <v>Unique</v>
      </c>
      <c r="AB520" s="2">
        <f>IF(ISBLANK(R520), 0, IF(ISTEXT(R520), VALUE(SUBSTITUTE(R520, "%", ""))/100, IF(OR(R520&lt;0, R520&gt;1), "Invalid", R520)))</f>
        <v>0.25</v>
      </c>
      <c r="AC520" s="4">
        <f>IF(AB520="Invalid", "Error", P520 * Q520 * (1 - AB520))</f>
        <v>8421.682499999999</v>
      </c>
      <c r="AD520" s="4">
        <f>IF(AC520="Error", "Error", AC520 - T520)</f>
        <v>1887.2124999999987</v>
      </c>
      <c r="AE520" s="2">
        <f>IF(AC520="Error", "Error", IF(AC520=0, 0, AD520 / AC520))</f>
        <v>0.22408972316398759</v>
      </c>
      <c r="AF520" s="7">
        <f>C520-B520</f>
        <v>-4</v>
      </c>
      <c r="AG520" s="2" t="str">
        <f>TEXT(B520, "mmmm")</f>
        <v>April</v>
      </c>
      <c r="AH520" s="4">
        <f>YEAR(B520)</f>
        <v>2025</v>
      </c>
      <c r="AI520" s="2" t="str">
        <f t="shared" si="22"/>
        <v>Excluded from Sales</v>
      </c>
      <c r="AJ520">
        <f>COUNTIFS($A$2:$A$1000,A520,$B$2:$B$1000,B520,$C$2:$C$1000,C520,$D$2:$D$1000,D520,$E$2:$E$1000,E520,$F$2:$F$1000,F520)</f>
        <v>1</v>
      </c>
      <c r="AK520">
        <f>COUNTIF($A$2:$A$1000, A520)</f>
        <v>1</v>
      </c>
    </row>
    <row r="521" spans="1:37">
      <c r="A521" t="s">
        <v>1655</v>
      </c>
      <c r="B521" s="5">
        <v>45841</v>
      </c>
      <c r="C521" s="5">
        <v>45845</v>
      </c>
      <c r="D521" s="6">
        <f>IF(AND(C521&lt;&gt;"",B521&lt;&gt;""), C521-B521, "Missing Date")</f>
        <v>4</v>
      </c>
      <c r="E521" s="6" t="str">
        <f>IF(OR(B521="",C521=""), "Missing Date",
    IF(C521&lt;B521, "Invalid: Ship before Order",
      "OK"))</f>
        <v>OK</v>
      </c>
      <c r="F521" t="s">
        <v>1656</v>
      </c>
      <c r="G521" t="s">
        <v>114</v>
      </c>
      <c r="H521" t="s">
        <v>24</v>
      </c>
      <c r="I521" t="s">
        <v>25</v>
      </c>
      <c r="J521" t="s">
        <v>136</v>
      </c>
      <c r="K521" t="s">
        <v>137</v>
      </c>
      <c r="L521" t="s">
        <v>41</v>
      </c>
      <c r="M521" t="s">
        <v>42</v>
      </c>
      <c r="N521" t="s">
        <v>1657</v>
      </c>
      <c r="O521" t="s">
        <v>59</v>
      </c>
      <c r="P521">
        <v>4</v>
      </c>
      <c r="Q521">
        <v>4365.21</v>
      </c>
      <c r="R521">
        <v>0.2</v>
      </c>
      <c r="S521">
        <v>13968.67</v>
      </c>
      <c r="T521">
        <v>8857.58</v>
      </c>
      <c r="U521">
        <v>5111.09</v>
      </c>
      <c r="V521" t="s">
        <v>111</v>
      </c>
      <c r="W521" t="s">
        <v>68</v>
      </c>
      <c r="X521" t="str">
        <f>_xlfn.TEXTJOIN("|", TRUE, A521:W521)</f>
        <v>ORD-2025-10520|45841|45845|4|OK|CUST-3258|Priya Menon|Consumer|North|Uttar Pradesh|Noida|Furniture|Tables|Pro Tables 412|Standard Class|4|4365.21|0.2|13968.67|8857.58|5111.09|Pending|Cancelled</v>
      </c>
      <c r="Y521">
        <f>COUNTIF($X$2:$X$1000, X521)</f>
        <v>1</v>
      </c>
      <c r="Z521">
        <f>COUNTIF($A$2:$A$1000, A521)</f>
        <v>1</v>
      </c>
      <c r="AA521" t="str">
        <f>IF(Y521&gt;1, "Exact Duplicate",
  IF(Z521&gt;1, "Conflicting Duplicate - Review",
    "Unique"))</f>
        <v>Unique</v>
      </c>
      <c r="AB521" s="2">
        <f>IF(ISBLANK(R521), 0, IF(ISTEXT(R521), VALUE(SUBSTITUTE(R521, "%", ""))/100, IF(OR(R521&lt;0, R521&gt;1), "Invalid", R521)))</f>
        <v>0.2</v>
      </c>
      <c r="AC521" s="4">
        <f>IF(AB521="Invalid", "Error", P521 * Q521 * (1 - AB521))</f>
        <v>13968.672</v>
      </c>
      <c r="AD521" s="4">
        <f>IF(AC521="Error", "Error", AC521 - T521)</f>
        <v>5111.0920000000006</v>
      </c>
      <c r="AE521" s="2">
        <f>IF(AC521="Error", "Error", IF(AC521=0, 0, AD521 / AC521))</f>
        <v>0.36589677243477409</v>
      </c>
      <c r="AF521" s="7">
        <f>C521-B521</f>
        <v>4</v>
      </c>
      <c r="AG521" s="2" t="str">
        <f>TEXT(B521, "mmmm")</f>
        <v>July</v>
      </c>
      <c r="AH521" s="4">
        <f>YEAR(B521)</f>
        <v>2025</v>
      </c>
      <c r="AI521" s="2" t="str">
        <f t="shared" si="22"/>
        <v>Excluded from Sales</v>
      </c>
      <c r="AJ521">
        <f>COUNTIFS($A$2:$A$1000,A521,$B$2:$B$1000,B521,$C$2:$C$1000,C521,$D$2:$D$1000,D521,$E$2:$E$1000,E521,$F$2:$F$1000,F521)</f>
        <v>1</v>
      </c>
      <c r="AK521">
        <f>COUNTIF($A$2:$A$1000, A521)</f>
        <v>1</v>
      </c>
    </row>
    <row r="522" spans="1:37">
      <c r="A522" t="s">
        <v>1658</v>
      </c>
      <c r="B522" s="5">
        <v>45489</v>
      </c>
      <c r="C522" s="5">
        <v>45496</v>
      </c>
      <c r="D522" s="6">
        <f>IF(AND(C522&lt;&gt;"",B522&lt;&gt;""), C522-B522, "Missing Date")</f>
        <v>7</v>
      </c>
      <c r="E522" s="6" t="str">
        <f>IF(OR(B522="",C522=""), "Missing Date",
    IF(C522&lt;B522, "Invalid: Ship before Order",
      "OK"))</f>
        <v>OK</v>
      </c>
      <c r="F522" t="s">
        <v>1659</v>
      </c>
      <c r="G522" t="s">
        <v>128</v>
      </c>
      <c r="H522" t="s">
        <v>95</v>
      </c>
      <c r="I522" t="s">
        <v>54</v>
      </c>
      <c r="J522" t="s">
        <v>175</v>
      </c>
      <c r="K522" t="s">
        <v>176</v>
      </c>
      <c r="L522" t="s">
        <v>74</v>
      </c>
      <c r="M522" t="s">
        <v>274</v>
      </c>
      <c r="N522" t="s">
        <v>1660</v>
      </c>
      <c r="O522" t="s">
        <v>44</v>
      </c>
      <c r="P522">
        <v>1</v>
      </c>
      <c r="Q522">
        <v>1695.91</v>
      </c>
      <c r="R522">
        <v>0.05</v>
      </c>
      <c r="S522">
        <v>1611.11</v>
      </c>
      <c r="T522">
        <v>895.15</v>
      </c>
      <c r="U522">
        <v>715.96</v>
      </c>
      <c r="V522" t="s">
        <v>32</v>
      </c>
      <c r="W522" t="s">
        <v>33</v>
      </c>
      <c r="X522" t="str">
        <f>_xlfn.TEXTJOIN("|", TRUE, A522:W522)</f>
        <v>ORD-2024-10521|45489|45496|7|OK|CUST-2155|Aarav Sharma|Home Office|South|Karnataka|Bengaluru|Technology|Machines|Prime Machines 393|Same Day|1|1695.91|0.05|1611.11|895.15|715.96|Paid|Completed</v>
      </c>
      <c r="Y522">
        <f>COUNTIF($X$2:$X$1000, X522)</f>
        <v>1</v>
      </c>
      <c r="Z522">
        <f>COUNTIF($A$2:$A$1000, A522)</f>
        <v>1</v>
      </c>
      <c r="AA522" t="str">
        <f>IF(Y522&gt;1, "Exact Duplicate",
  IF(Z522&gt;1, "Conflicting Duplicate - Review",
    "Unique"))</f>
        <v>Unique</v>
      </c>
      <c r="AB522" s="2">
        <f>IF(ISBLANK(R522), 0, IF(ISTEXT(R522), VALUE(SUBSTITUTE(R522, "%", ""))/100, IF(OR(R522&lt;0, R522&gt;1), "Invalid", R522)))</f>
        <v>0.05</v>
      </c>
      <c r="AC522" s="4">
        <f>IF(AB522="Invalid", "Error", P522 * Q522 * (1 - AB522))</f>
        <v>1611.1144999999999</v>
      </c>
      <c r="AD522" s="4">
        <f>IF(AC522="Error", "Error", AC522 - T522)</f>
        <v>715.96449999999993</v>
      </c>
      <c r="AE522" s="2">
        <f>IF(AC522="Error", "Error", IF(AC522=0, 0, AD522 / AC522))</f>
        <v>0.44439082386757739</v>
      </c>
      <c r="AF522" s="7">
        <f>C522-B522</f>
        <v>7</v>
      </c>
      <c r="AG522" s="2" t="str">
        <f>TEXT(B522, "mmmm")</f>
        <v>July</v>
      </c>
      <c r="AH522" s="4">
        <f>YEAR(B522)</f>
        <v>2024</v>
      </c>
      <c r="AI522" s="2" t="str">
        <f t="shared" si="22"/>
        <v>Clean</v>
      </c>
      <c r="AJ522">
        <f>COUNTIFS($A$2:$A$1000,A522,$B$2:$B$1000,B522,$C$2:$C$1000,C522,$D$2:$D$1000,D522,$E$2:$E$1000,E522,$F$2:$F$1000,F522)</f>
        <v>1</v>
      </c>
      <c r="AK522">
        <f>COUNTIF($A$2:$A$1000, A522)</f>
        <v>1</v>
      </c>
    </row>
    <row r="523" spans="1:37">
      <c r="A523" t="s">
        <v>1661</v>
      </c>
      <c r="B523" s="5">
        <v>45741</v>
      </c>
      <c r="C523" s="5">
        <v>45748</v>
      </c>
      <c r="D523" s="6">
        <f>IF(AND(C523&lt;&gt;"",B523&lt;&gt;""), C523-B523, "Missing Date")</f>
        <v>7</v>
      </c>
      <c r="E523" s="6" t="str">
        <f>IF(OR(B523="",C523=""), "Missing Date",
    IF(C523&lt;B523, "Invalid: Ship before Order",
      "OK"))</f>
        <v>OK</v>
      </c>
      <c r="F523" t="s">
        <v>1662</v>
      </c>
      <c r="G523" t="s">
        <v>162</v>
      </c>
      <c r="H523" t="s">
        <v>24</v>
      </c>
      <c r="I523" t="s">
        <v>25</v>
      </c>
      <c r="J523" t="s">
        <v>122</v>
      </c>
      <c r="K523" t="s">
        <v>123</v>
      </c>
      <c r="L523" t="s">
        <v>28</v>
      </c>
      <c r="M523" t="s">
        <v>91</v>
      </c>
      <c r="N523" t="s">
        <v>1663</v>
      </c>
      <c r="O523" t="s">
        <v>31</v>
      </c>
      <c r="P523">
        <v>6</v>
      </c>
      <c r="Q523">
        <v>2192.11</v>
      </c>
      <c r="R523">
        <v>0.05</v>
      </c>
      <c r="S523">
        <v>12495.03</v>
      </c>
      <c r="T523">
        <v>9184.52</v>
      </c>
      <c r="U523">
        <v>3310.51</v>
      </c>
      <c r="V523" t="s">
        <v>32</v>
      </c>
      <c r="W523" t="s">
        <v>33</v>
      </c>
      <c r="X523" t="str">
        <f>_xlfn.TEXTJOIN("|", TRUE, A523:W523)</f>
        <v>ORD-2025-10522|45741|45748|7|OK|CUST-8012|Diya Patel|Consumer|North|Punjab|Ludhiana|Office Supplies|Labels|Classic Labels 776|Second Class|6|2192.11|0.05|12495.03|9184.52|3310.51|Paid|Completed</v>
      </c>
      <c r="Y523">
        <f>COUNTIF($X$2:$X$1000, X523)</f>
        <v>1</v>
      </c>
      <c r="Z523">
        <f>COUNTIF($A$2:$A$1000, A523)</f>
        <v>1</v>
      </c>
      <c r="AA523" t="str">
        <f>IF(Y523&gt;1, "Exact Duplicate",
  IF(Z523&gt;1, "Conflicting Duplicate - Review",
    "Unique"))</f>
        <v>Unique</v>
      </c>
      <c r="AB523" s="2">
        <f>IF(ISBLANK(R523), 0, IF(ISTEXT(R523), VALUE(SUBSTITUTE(R523, "%", ""))/100, IF(OR(R523&lt;0, R523&gt;1), "Invalid", R523)))</f>
        <v>0.05</v>
      </c>
      <c r="AC523" s="4">
        <f>IF(AB523="Invalid", "Error", P523 * Q523 * (1 - AB523))</f>
        <v>12495.027</v>
      </c>
      <c r="AD523" s="4">
        <f>IF(AC523="Error", "Error", AC523 - T523)</f>
        <v>3310.5069999999996</v>
      </c>
      <c r="AE523" s="2">
        <f>IF(AC523="Error", "Error", IF(AC523=0, 0, AD523 / AC523))</f>
        <v>0.26494596610315446</v>
      </c>
      <c r="AF523" s="7">
        <f>C523-B523</f>
        <v>7</v>
      </c>
      <c r="AG523" s="2" t="str">
        <f>TEXT(B523, "mmmm")</f>
        <v>March</v>
      </c>
      <c r="AH523" s="4">
        <f>YEAR(B523)</f>
        <v>2025</v>
      </c>
      <c r="AI523" s="2" t="str">
        <f t="shared" si="22"/>
        <v>Clean</v>
      </c>
      <c r="AJ523">
        <f>COUNTIFS($A$2:$A$1000,A523,$B$2:$B$1000,B523,$C$2:$C$1000,C523,$D$2:$D$1000,D523,$E$2:$E$1000,E523,$F$2:$F$1000,F523)</f>
        <v>1</v>
      </c>
      <c r="AK523">
        <f>COUNTIF($A$2:$A$1000, A523)</f>
        <v>1</v>
      </c>
    </row>
    <row r="524" spans="1:37">
      <c r="A524" t="s">
        <v>1664</v>
      </c>
      <c r="B524" s="5">
        <v>45716</v>
      </c>
      <c r="C524" s="5">
        <v>45724</v>
      </c>
      <c r="D524" s="6">
        <f>IF(AND(C524&lt;&gt;"",B524&lt;&gt;""), C524-B524, "Missing Date")</f>
        <v>8</v>
      </c>
      <c r="E524" s="6" t="str">
        <f>IF(OR(B524="",C524=""), "Missing Date",
    IF(C524&lt;B524, "Invalid: Ship before Order",
      "OK"))</f>
        <v>OK</v>
      </c>
      <c r="F524" t="s">
        <v>1665</v>
      </c>
      <c r="G524" t="s">
        <v>79</v>
      </c>
      <c r="H524" t="s">
        <v>37</v>
      </c>
      <c r="I524" t="s">
        <v>38</v>
      </c>
      <c r="J524" t="s">
        <v>228</v>
      </c>
      <c r="K524" t="s">
        <v>229</v>
      </c>
      <c r="L524" t="s">
        <v>74</v>
      </c>
      <c r="M524" t="s">
        <v>171</v>
      </c>
      <c r="N524" t="s">
        <v>1666</v>
      </c>
      <c r="O524" t="s">
        <v>50</v>
      </c>
      <c r="P524">
        <v>9</v>
      </c>
      <c r="Q524">
        <v>3670.54</v>
      </c>
      <c r="R524">
        <v>0</v>
      </c>
      <c r="S524">
        <v>33034.86</v>
      </c>
      <c r="T524">
        <v>24539.83</v>
      </c>
      <c r="U524">
        <v>8495.0300000000007</v>
      </c>
      <c r="V524" t="s">
        <v>32</v>
      </c>
      <c r="W524" t="s">
        <v>33</v>
      </c>
      <c r="X524" t="str">
        <f>_xlfn.TEXTJOIN("|", TRUE, A524:W524)</f>
        <v>ORD-2025-10523|45716|45724|8|OK|CUST-2917|Neha Gupta|Small Business|East|Jharkhand|Ranchi|Technology|Phones|Max Phones 612|First Class|9|3670.54|0|33034.86|24539.83|8495.03|Paid|Completed</v>
      </c>
      <c r="Y524">
        <f>COUNTIF($X$2:$X$1000, X524)</f>
        <v>1</v>
      </c>
      <c r="Z524">
        <f>COUNTIF($A$2:$A$1000, A524)</f>
        <v>1</v>
      </c>
      <c r="AA524" t="str">
        <f>IF(Y524&gt;1, "Exact Duplicate",
  IF(Z524&gt;1, "Conflicting Duplicate - Review",
    "Unique"))</f>
        <v>Unique</v>
      </c>
      <c r="AB524" s="2">
        <f>IF(ISBLANK(R524), 0, IF(ISTEXT(R524), VALUE(SUBSTITUTE(R524, "%", ""))/100, IF(OR(R524&lt;0, R524&gt;1), "Invalid", R524)))</f>
        <v>0</v>
      </c>
      <c r="AC524" s="4">
        <f>IF(AB524="Invalid", "Error", P524 * Q524 * (1 - AB524))</f>
        <v>33034.86</v>
      </c>
      <c r="AD524" s="4">
        <f>IF(AC524="Error", "Error", AC524 - T524)</f>
        <v>8495.0299999999988</v>
      </c>
      <c r="AE524" s="2">
        <f>IF(AC524="Error", "Error", IF(AC524=0, 0, AD524 / AC524))</f>
        <v>0.25715350390466307</v>
      </c>
      <c r="AF524" s="7">
        <f>C524-B524</f>
        <v>8</v>
      </c>
      <c r="AG524" s="2" t="str">
        <f>TEXT(B524, "mmmm")</f>
        <v>February</v>
      </c>
      <c r="AH524" s="4">
        <f>YEAR(B524)</f>
        <v>2025</v>
      </c>
      <c r="AI524" s="2" t="str">
        <f t="shared" si="22"/>
        <v>Clean</v>
      </c>
      <c r="AJ524">
        <f>COUNTIFS($A$2:$A$1000,A524,$B$2:$B$1000,B524,$C$2:$C$1000,C524,$D$2:$D$1000,D524,$E$2:$E$1000,E524,$F$2:$F$1000,F524)</f>
        <v>1</v>
      </c>
      <c r="AK524">
        <f>COUNTIF($A$2:$A$1000, A524)</f>
        <v>1</v>
      </c>
    </row>
    <row r="525" spans="1:37">
      <c r="A525" t="s">
        <v>1667</v>
      </c>
      <c r="B525" s="5">
        <v>45384</v>
      </c>
      <c r="C525" s="5">
        <v>45385</v>
      </c>
      <c r="D525" s="6">
        <f>IF(AND(C525&lt;&gt;"",B525&lt;&gt;""), C525-B525, "Missing Date")</f>
        <v>1</v>
      </c>
      <c r="E525" s="6" t="str">
        <f>IF(OR(B525="",C525=""), "Missing Date",
    IF(C525&lt;B525, "Invalid: Ship before Order",
      "OK"))</f>
        <v>OK</v>
      </c>
      <c r="F525" t="s">
        <v>1668</v>
      </c>
      <c r="G525" t="s">
        <v>264</v>
      </c>
      <c r="H525" t="s">
        <v>95</v>
      </c>
      <c r="I525" t="s">
        <v>63</v>
      </c>
      <c r="J525" t="s">
        <v>190</v>
      </c>
      <c r="K525" t="s">
        <v>191</v>
      </c>
      <c r="L525" t="s">
        <v>28</v>
      </c>
      <c r="M525" t="s">
        <v>29</v>
      </c>
      <c r="N525" t="s">
        <v>1669</v>
      </c>
      <c r="O525" t="s">
        <v>31</v>
      </c>
      <c r="P525">
        <v>2</v>
      </c>
      <c r="Q525">
        <v>2902.63</v>
      </c>
      <c r="R525">
        <v>0</v>
      </c>
      <c r="S525">
        <v>5805.26</v>
      </c>
      <c r="T525">
        <v>4654.3599999999997</v>
      </c>
      <c r="U525">
        <v>1150.9000000000001</v>
      </c>
      <c r="V525" t="s">
        <v>32</v>
      </c>
      <c r="W525" t="s">
        <v>103</v>
      </c>
      <c r="X525" t="str">
        <f>_xlfn.TEXTJOIN("|", TRUE, A525:W525)</f>
        <v>ORD-2024-10524|45384|45385|1|OK|CUST-4653|Kabir Singh|Home Office|West|Goa|Panaji|Office Supplies|Paper|Basic Paper 315|Second Class|2|2902.63|0|5805.26|4654.36|1150.9|Paid|Returned</v>
      </c>
      <c r="Y525">
        <f>COUNTIF($X$2:$X$1000, X525)</f>
        <v>1</v>
      </c>
      <c r="Z525">
        <f>COUNTIF($A$2:$A$1000, A525)</f>
        <v>1</v>
      </c>
      <c r="AA525" t="str">
        <f>IF(Y525&gt;1, "Exact Duplicate",
  IF(Z525&gt;1, "Conflicting Duplicate - Review",
    "Unique"))</f>
        <v>Unique</v>
      </c>
      <c r="AB525" s="2">
        <f>IF(ISBLANK(R525), 0, IF(ISTEXT(R525), VALUE(SUBSTITUTE(R525, "%", ""))/100, IF(OR(R525&lt;0, R525&gt;1), "Invalid", R525)))</f>
        <v>0</v>
      </c>
      <c r="AC525" s="4">
        <f>IF(AB525="Invalid", "Error", P525 * Q525 * (1 - AB525))</f>
        <v>5805.26</v>
      </c>
      <c r="AD525" s="4">
        <f>IF(AC525="Error", "Error", AC525 - T525)</f>
        <v>1150.9000000000005</v>
      </c>
      <c r="AE525" s="2">
        <f>IF(AC525="Error", "Error", IF(AC525=0, 0, AD525 / AC525))</f>
        <v>0.19825124111581574</v>
      </c>
      <c r="AF525" s="7">
        <f>C525-B525</f>
        <v>1</v>
      </c>
      <c r="AG525" s="2" t="str">
        <f>TEXT(B525, "mmmm")</f>
        <v>April</v>
      </c>
      <c r="AH525" s="4">
        <f>YEAR(B525)</f>
        <v>2024</v>
      </c>
      <c r="AI525" s="2" t="str">
        <f t="shared" si="22"/>
        <v>Clean</v>
      </c>
      <c r="AJ525">
        <f>COUNTIFS($A$2:$A$1000,A525,$B$2:$B$1000,B525,$C$2:$C$1000,C525,$D$2:$D$1000,D525,$E$2:$E$1000,E525,$F$2:$F$1000,F525)</f>
        <v>1</v>
      </c>
      <c r="AK525">
        <f>COUNTIF($A$2:$A$1000, A525)</f>
        <v>1</v>
      </c>
    </row>
    <row r="526" spans="1:37">
      <c r="A526" t="s">
        <v>1670</v>
      </c>
      <c r="B526" s="5">
        <v>45626</v>
      </c>
      <c r="C526" s="5">
        <v>45627</v>
      </c>
      <c r="D526" s="6">
        <f>IF(AND(C526&lt;&gt;"",B526&lt;&gt;""), C526-B526, "Missing Date")</f>
        <v>1</v>
      </c>
      <c r="E526" s="6" t="str">
        <f>IF(OR(B526="",C526=""), "Missing Date",
    IF(C526&lt;B526, "Invalid: Ship before Order",
      "OK"))</f>
        <v>OK</v>
      </c>
      <c r="F526" t="s">
        <v>1671</v>
      </c>
      <c r="G526" t="s">
        <v>62</v>
      </c>
      <c r="H526" t="s">
        <v>90</v>
      </c>
      <c r="I526" t="s">
        <v>63</v>
      </c>
      <c r="J526" t="s">
        <v>180</v>
      </c>
      <c r="K526" t="s">
        <v>181</v>
      </c>
      <c r="L526" t="s">
        <v>41</v>
      </c>
      <c r="M526" t="s">
        <v>66</v>
      </c>
      <c r="N526" t="s">
        <v>1672</v>
      </c>
      <c r="O526" t="s">
        <v>50</v>
      </c>
      <c r="P526">
        <v>9</v>
      </c>
      <c r="Q526">
        <v>4207.3599999999997</v>
      </c>
      <c r="R526">
        <v>0.1</v>
      </c>
      <c r="S526">
        <v>34079.620000000003</v>
      </c>
      <c r="T526">
        <v>21871.39</v>
      </c>
      <c r="U526">
        <v>12208.23</v>
      </c>
      <c r="V526" t="s">
        <v>32</v>
      </c>
      <c r="W526" t="s">
        <v>33</v>
      </c>
      <c r="X526" t="str">
        <f>_xlfn.TEXTJOIN("|", TRUE, A526:W526)</f>
        <v>ORD-2024-10525|45626|45627|1|OK|CUST-3311|Ananya Rao|Corporate|West|Gujarat|Ahmedabad|Furniture|Chairs|Basic Chairs 333|First Class|9|4207.36|0.1|34079.62|21871.39|12208.23|Paid|Completed</v>
      </c>
      <c r="Y526">
        <f>COUNTIF($X$2:$X$1000, X526)</f>
        <v>1</v>
      </c>
      <c r="Z526">
        <f>COUNTIF($A$2:$A$1000, A526)</f>
        <v>1</v>
      </c>
      <c r="AA526" t="str">
        <f>IF(Y526&gt;1, "Exact Duplicate",
  IF(Z526&gt;1, "Conflicting Duplicate - Review",
    "Unique"))</f>
        <v>Unique</v>
      </c>
      <c r="AB526" s="2">
        <f>IF(ISBLANK(R526), 0, IF(ISTEXT(R526), VALUE(SUBSTITUTE(R526, "%", ""))/100, IF(OR(R526&lt;0, R526&gt;1), "Invalid", R526)))</f>
        <v>0.1</v>
      </c>
      <c r="AC526" s="4">
        <f>IF(AB526="Invalid", "Error", P526 * Q526 * (1 - AB526))</f>
        <v>34079.616000000002</v>
      </c>
      <c r="AD526" s="4">
        <f>IF(AC526="Error", "Error", AC526 - T526)</f>
        <v>12208.226000000002</v>
      </c>
      <c r="AE526" s="2">
        <f>IF(AC526="Error", "Error", IF(AC526=0, 0, AD526 / AC526))</f>
        <v>0.35822663025311091</v>
      </c>
      <c r="AF526" s="7">
        <f>C526-B526</f>
        <v>1</v>
      </c>
      <c r="AG526" s="2" t="str">
        <f>TEXT(B526, "mmmm")</f>
        <v>November</v>
      </c>
      <c r="AH526" s="4">
        <f>YEAR(B526)</f>
        <v>2024</v>
      </c>
      <c r="AI526" s="2" t="str">
        <f t="shared" si="22"/>
        <v>Clean</v>
      </c>
      <c r="AJ526">
        <f>COUNTIFS($A$2:$A$1000,A526,$B$2:$B$1000,B526,$C$2:$C$1000,C526,$D$2:$D$1000,D526,$E$2:$E$1000,E526,$F$2:$F$1000,F526)</f>
        <v>1</v>
      </c>
      <c r="AK526">
        <f>COUNTIF($A$2:$A$1000, A526)</f>
        <v>1</v>
      </c>
    </row>
    <row r="527" spans="1:37">
      <c r="A527" t="s">
        <v>1673</v>
      </c>
      <c r="B527" s="5">
        <v>45582</v>
      </c>
      <c r="C527" s="5">
        <v>45582</v>
      </c>
      <c r="D527" s="6">
        <f>IF(AND(C527&lt;&gt;"",B527&lt;&gt;""), C527-B527, "Missing Date")</f>
        <v>0</v>
      </c>
      <c r="E527" s="6" t="str">
        <f>IF(OR(B527="",C527=""), "Missing Date",
    IF(C527&lt;B527, "Invalid: Ship before Order",
      "OK"))</f>
        <v>OK</v>
      </c>
      <c r="F527" t="s">
        <v>1674</v>
      </c>
      <c r="G527" t="s">
        <v>114</v>
      </c>
      <c r="H527" t="s">
        <v>95</v>
      </c>
      <c r="I527" t="s">
        <v>38</v>
      </c>
      <c r="J527" t="s">
        <v>99</v>
      </c>
      <c r="K527" t="s">
        <v>100</v>
      </c>
      <c r="L527" t="s">
        <v>41</v>
      </c>
      <c r="M527" t="s">
        <v>66</v>
      </c>
      <c r="N527" t="s">
        <v>1675</v>
      </c>
      <c r="O527" t="s">
        <v>59</v>
      </c>
      <c r="P527">
        <v>5</v>
      </c>
      <c r="Q527">
        <v>2524.4</v>
      </c>
      <c r="R527">
        <v>0.1</v>
      </c>
      <c r="S527">
        <v>11359.8</v>
      </c>
      <c r="T527">
        <v>7062.44</v>
      </c>
      <c r="U527">
        <v>4297.3599999999997</v>
      </c>
      <c r="V527" t="s">
        <v>32</v>
      </c>
      <c r="W527" t="s">
        <v>33</v>
      </c>
      <c r="X527" t="str">
        <f>_xlfn.TEXTJOIN("|", TRUE, A527:W527)</f>
        <v>ORD-2024-10526|45582|45582|0|OK|CUST-2924|Priya Menon|Home Office|East|West Bengal|Kolkata|Furniture|Chairs|Prime Chairs 215|Standard Class|5|2524.4|0.1|11359.8|7062.44|4297.36|Paid|Completed</v>
      </c>
      <c r="Y527">
        <f>COUNTIF($X$2:$X$1000, X527)</f>
        <v>1</v>
      </c>
      <c r="Z527">
        <f>COUNTIF($A$2:$A$1000, A527)</f>
        <v>1</v>
      </c>
      <c r="AA527" t="str">
        <f>IF(Y527&gt;1, "Exact Duplicate",
  IF(Z527&gt;1, "Conflicting Duplicate - Review",
    "Unique"))</f>
        <v>Unique</v>
      </c>
      <c r="AB527" s="2">
        <f>IF(ISBLANK(R527), 0, IF(ISTEXT(R527), VALUE(SUBSTITUTE(R527, "%", ""))/100, IF(OR(R527&lt;0, R527&gt;1), "Invalid", R527)))</f>
        <v>0.1</v>
      </c>
      <c r="AC527" s="4">
        <f>IF(AB527="Invalid", "Error", P527 * Q527 * (1 - AB527))</f>
        <v>11359.800000000001</v>
      </c>
      <c r="AD527" s="4">
        <f>IF(AC527="Error", "Error", AC527 - T527)</f>
        <v>4297.3600000000015</v>
      </c>
      <c r="AE527" s="2">
        <f>IF(AC527="Error", "Error", IF(AC527=0, 0, AD527 / AC527))</f>
        <v>0.37829539252451638</v>
      </c>
      <c r="AF527" s="7">
        <f>C527-B527</f>
        <v>0</v>
      </c>
      <c r="AG527" s="2" t="str">
        <f>TEXT(B527, "mmmm")</f>
        <v>October</v>
      </c>
      <c r="AH527" s="4">
        <f>YEAR(B527)</f>
        <v>2024</v>
      </c>
      <c r="AI527" s="2" t="str">
        <f t="shared" si="22"/>
        <v>Clean</v>
      </c>
      <c r="AJ527">
        <f>COUNTIFS($A$2:$A$1000,A527,$B$2:$B$1000,B527,$C$2:$C$1000,C527,$D$2:$D$1000,D527,$E$2:$E$1000,E527,$F$2:$F$1000,F527)</f>
        <v>1</v>
      </c>
      <c r="AK527">
        <f>COUNTIF($A$2:$A$1000, A527)</f>
        <v>1</v>
      </c>
    </row>
    <row r="528" spans="1:37">
      <c r="A528" t="s">
        <v>1676</v>
      </c>
      <c r="B528" s="5">
        <v>45856</v>
      </c>
      <c r="C528" s="5">
        <v>45859</v>
      </c>
      <c r="D528" s="6">
        <f>IF(AND(C528&lt;&gt;"",B528&lt;&gt;""), C528-B528, "Missing Date")</f>
        <v>3</v>
      </c>
      <c r="E528" s="6" t="str">
        <f>IF(OR(B528="",C528=""), "Missing Date",
    IF(C528&lt;B528, "Invalid: Ship before Order",
      "OK"))</f>
        <v>OK</v>
      </c>
      <c r="F528" t="s">
        <v>1677</v>
      </c>
      <c r="G528" t="s">
        <v>114</v>
      </c>
      <c r="H528" t="s">
        <v>24</v>
      </c>
      <c r="I528" t="s">
        <v>38</v>
      </c>
      <c r="J528" t="s">
        <v>39</v>
      </c>
      <c r="K528" t="s">
        <v>40</v>
      </c>
      <c r="L528" t="s">
        <v>41</v>
      </c>
      <c r="M528" t="s">
        <v>42</v>
      </c>
      <c r="N528" t="s">
        <v>1678</v>
      </c>
      <c r="O528" t="s">
        <v>31</v>
      </c>
      <c r="P528">
        <v>4</v>
      </c>
      <c r="Q528">
        <v>284.04000000000002</v>
      </c>
      <c r="S528">
        <v>908.93</v>
      </c>
      <c r="T528">
        <v>572.08000000000004</v>
      </c>
      <c r="U528">
        <v>336.85</v>
      </c>
      <c r="V528" t="s">
        <v>32</v>
      </c>
      <c r="W528" t="s">
        <v>33</v>
      </c>
      <c r="X528" t="str">
        <f>_xlfn.TEXTJOIN("|", TRUE, A528:W528)</f>
        <v>ORD-2025-10527|45856|45859|3|OK|CUST-7198|Priya Menon|Consumer|East|Odisha|Bhubaneswar|Furniture|Tables|Elite Tables 815|Second Class|4|284.04|908.93|572.08|336.85|Paid|Completed</v>
      </c>
      <c r="Y528">
        <f>COUNTIF($X$2:$X$1000, X528)</f>
        <v>1</v>
      </c>
      <c r="Z528">
        <f>COUNTIF($A$2:$A$1000, A528)</f>
        <v>1</v>
      </c>
      <c r="AA528" t="str">
        <f>IF(Y528&gt;1, "Exact Duplicate",
  IF(Z528&gt;1, "Conflicting Duplicate - Review",
    "Unique"))</f>
        <v>Unique</v>
      </c>
      <c r="AB528" s="2">
        <f>IF(ISBLANK(R528), 0, IF(ISTEXT(R528), VALUE(SUBSTITUTE(R528, "%", ""))/100, IF(OR(R528&lt;0, R528&gt;1), "Invalid", R528)))</f>
        <v>0</v>
      </c>
      <c r="AC528" s="4">
        <f>IF(AB528="Invalid", "Error", P528 * Q528 * (1 - AB528))</f>
        <v>1136.1600000000001</v>
      </c>
      <c r="AD528" s="4">
        <f>IF(AC528="Error", "Error", AC528 - T528)</f>
        <v>564.08000000000004</v>
      </c>
      <c r="AE528" s="2">
        <f>IF(AC528="Error", "Error", IF(AC528=0, 0, AD528 / AC528))</f>
        <v>0.49647936910294327</v>
      </c>
      <c r="AF528" s="7">
        <f>C528-B528</f>
        <v>3</v>
      </c>
      <c r="AG528" s="2" t="str">
        <f>TEXT(B528, "mmmm")</f>
        <v>July</v>
      </c>
      <c r="AH528" s="4">
        <f>YEAR(B528)</f>
        <v>2025</v>
      </c>
      <c r="AI528" s="2" t="str">
        <f t="shared" si="22"/>
        <v>Clean</v>
      </c>
      <c r="AJ528">
        <f>COUNTIFS($A$2:$A$1000,A528,$B$2:$B$1000,B528,$C$2:$C$1000,C528,$D$2:$D$1000,D528,$E$2:$E$1000,E528,$F$2:$F$1000,F528)</f>
        <v>1</v>
      </c>
      <c r="AK528">
        <f>COUNTIF($A$2:$A$1000, A528)</f>
        <v>1</v>
      </c>
    </row>
    <row r="529" spans="1:37">
      <c r="A529" t="s">
        <v>1679</v>
      </c>
      <c r="B529" s="5">
        <v>45931</v>
      </c>
      <c r="C529" s="5">
        <v>45935</v>
      </c>
      <c r="D529" s="6">
        <f>IF(AND(C529&lt;&gt;"",B529&lt;&gt;""), C529-B529, "Missing Date")</f>
        <v>4</v>
      </c>
      <c r="E529" s="6" t="str">
        <f>IF(OR(B529="",C529=""), "Missing Date",
    IF(C529&lt;B529, "Invalid: Ship before Order",
      "OK"))</f>
        <v>OK</v>
      </c>
      <c r="F529" t="s">
        <v>1680</v>
      </c>
      <c r="G529" t="s">
        <v>89</v>
      </c>
      <c r="H529" t="s">
        <v>95</v>
      </c>
      <c r="I529" t="s">
        <v>25</v>
      </c>
      <c r="J529" t="s">
        <v>236</v>
      </c>
      <c r="K529" t="s">
        <v>237</v>
      </c>
      <c r="L529" t="s">
        <v>28</v>
      </c>
      <c r="M529" t="s">
        <v>29</v>
      </c>
      <c r="N529" t="s">
        <v>1681</v>
      </c>
      <c r="O529" t="s">
        <v>50</v>
      </c>
      <c r="P529">
        <v>5</v>
      </c>
      <c r="Q529">
        <v>3247.56</v>
      </c>
      <c r="R529">
        <v>0.15</v>
      </c>
      <c r="S529">
        <v>13802.13</v>
      </c>
      <c r="T529">
        <v>10075.93</v>
      </c>
      <c r="U529">
        <v>3726.2</v>
      </c>
      <c r="V529" t="s">
        <v>32</v>
      </c>
      <c r="W529" t="s">
        <v>33</v>
      </c>
      <c r="X529" t="str">
        <f>_xlfn.TEXTJOIN("|", TRUE, A529:W529)</f>
        <v>ORD-2025-10528|45931|45935|4|OK|CUST-3419|Aditi Sen|Home Office|North|Haryana|Gurugram|Office Supplies|Paper|Basic Paper 388|First Class|5|3247.56|0.15|13802.13|10075.93|3726.2|Paid|Completed</v>
      </c>
      <c r="Y529">
        <f>COUNTIF($X$2:$X$1000, X529)</f>
        <v>1</v>
      </c>
      <c r="Z529">
        <f>COUNTIF($A$2:$A$1000, A529)</f>
        <v>1</v>
      </c>
      <c r="AA529" t="str">
        <f>IF(Y529&gt;1, "Exact Duplicate",
  IF(Z529&gt;1, "Conflicting Duplicate - Review",
    "Unique"))</f>
        <v>Unique</v>
      </c>
      <c r="AB529" s="2">
        <f>IF(ISBLANK(R529), 0, IF(ISTEXT(R529), VALUE(SUBSTITUTE(R529, "%", ""))/100, IF(OR(R529&lt;0, R529&gt;1), "Invalid", R529)))</f>
        <v>0.15</v>
      </c>
      <c r="AC529" s="4">
        <f>IF(AB529="Invalid", "Error", P529 * Q529 * (1 - AB529))</f>
        <v>13802.13</v>
      </c>
      <c r="AD529" s="4">
        <f>IF(AC529="Error", "Error", AC529 - T529)</f>
        <v>3726.1999999999989</v>
      </c>
      <c r="AE529" s="2">
        <f>IF(AC529="Error", "Error", IF(AC529=0, 0, AD529 / AC529))</f>
        <v>0.26997282303528508</v>
      </c>
      <c r="AF529" s="7">
        <f>C529-B529</f>
        <v>4</v>
      </c>
      <c r="AG529" s="2" t="str">
        <f>TEXT(B529, "mmmm")</f>
        <v>October</v>
      </c>
      <c r="AH529" s="4">
        <f>YEAR(B529)</f>
        <v>2025</v>
      </c>
      <c r="AI529" s="2" t="str">
        <f t="shared" si="22"/>
        <v>Clean</v>
      </c>
      <c r="AJ529">
        <f>COUNTIFS($A$2:$A$1000,A529,$B$2:$B$1000,B529,$C$2:$C$1000,C529,$D$2:$D$1000,D529,$E$2:$E$1000,E529,$F$2:$F$1000,F529)</f>
        <v>1</v>
      </c>
      <c r="AK529">
        <f>COUNTIF($A$2:$A$1000, A529)</f>
        <v>1</v>
      </c>
    </row>
    <row r="530" spans="1:37">
      <c r="A530" t="s">
        <v>1682</v>
      </c>
      <c r="B530" s="5">
        <v>45572</v>
      </c>
      <c r="C530" s="5">
        <v>45574</v>
      </c>
      <c r="D530" s="6">
        <f>IF(AND(C530&lt;&gt;"",B530&lt;&gt;""), C530-B530, "Missing Date")</f>
        <v>2</v>
      </c>
      <c r="E530" s="6" t="str">
        <f>IF(OR(B530="",C530=""), "Missing Date",
    IF(C530&lt;B530, "Invalid: Ship before Order",
      "OK"))</f>
        <v>OK</v>
      </c>
      <c r="F530" t="s">
        <v>1683</v>
      </c>
      <c r="G530" t="s">
        <v>162</v>
      </c>
      <c r="H530" t="s">
        <v>24</v>
      </c>
      <c r="I530" t="s">
        <v>54</v>
      </c>
      <c r="J530" t="s">
        <v>247</v>
      </c>
      <c r="K530" t="s">
        <v>248</v>
      </c>
      <c r="L530" t="s">
        <v>28</v>
      </c>
      <c r="M530" t="s">
        <v>153</v>
      </c>
      <c r="N530" t="s">
        <v>1684</v>
      </c>
      <c r="O530" t="s">
        <v>59</v>
      </c>
      <c r="P530">
        <v>9</v>
      </c>
      <c r="Q530">
        <v>3457.09</v>
      </c>
      <c r="R530">
        <v>0.05</v>
      </c>
      <c r="S530">
        <v>29558.12</v>
      </c>
      <c r="T530">
        <v>21302.13</v>
      </c>
      <c r="U530">
        <v>8255.99</v>
      </c>
      <c r="V530" t="s">
        <v>111</v>
      </c>
      <c r="W530" t="s">
        <v>103</v>
      </c>
      <c r="X530" t="str">
        <f>_xlfn.TEXTJOIN("|", TRUE, A530:W530)</f>
        <v>ORD-2024-10529|45572|45574|2|OK|CUST-2390|Diya Patel|Consumer|South|Tamil Nadu|Chennai|Office Supplies|Binders|Eco Binders 855|Standard Class|9|3457.09|0.05|29558.12|21302.13|8255.99|Pending|Returned</v>
      </c>
      <c r="Y530">
        <f>COUNTIF($X$2:$X$1000, X530)</f>
        <v>1</v>
      </c>
      <c r="Z530">
        <f>COUNTIF($A$2:$A$1000, A530)</f>
        <v>1</v>
      </c>
      <c r="AA530" t="str">
        <f>IF(Y530&gt;1, "Exact Duplicate",
  IF(Z530&gt;1, "Conflicting Duplicate - Review",
    "Unique"))</f>
        <v>Unique</v>
      </c>
      <c r="AB530" s="2">
        <f>IF(ISBLANK(R530), 0, IF(ISTEXT(R530), VALUE(SUBSTITUTE(R530, "%", ""))/100, IF(OR(R530&lt;0, R530&gt;1), "Invalid", R530)))</f>
        <v>0.05</v>
      </c>
      <c r="AC530" s="4">
        <f>IF(AB530="Invalid", "Error", P530 * Q530 * (1 - AB530))</f>
        <v>29558.119500000001</v>
      </c>
      <c r="AD530" s="4">
        <f>IF(AC530="Error", "Error", AC530 - T530)</f>
        <v>8255.9894999999997</v>
      </c>
      <c r="AE530" s="2">
        <f>IF(AC530="Error", "Error", IF(AC530=0, 0, AD530 / AC530))</f>
        <v>0.27931376013281223</v>
      </c>
      <c r="AF530" s="7">
        <f>C530-B530</f>
        <v>2</v>
      </c>
      <c r="AG530" s="2" t="str">
        <f>TEXT(B530, "mmmm")</f>
        <v>October</v>
      </c>
      <c r="AH530" s="4">
        <f>YEAR(B530)</f>
        <v>2024</v>
      </c>
      <c r="AI530" s="2" t="str">
        <f t="shared" si="22"/>
        <v>Clean</v>
      </c>
      <c r="AJ530">
        <f>COUNTIFS($A$2:$A$1000,A530,$B$2:$B$1000,B530,$C$2:$C$1000,C530,$D$2:$D$1000,D530,$E$2:$E$1000,E530,$F$2:$F$1000,F530)</f>
        <v>1</v>
      </c>
      <c r="AK530">
        <f>COUNTIF($A$2:$A$1000, A530)</f>
        <v>1</v>
      </c>
    </row>
    <row r="531" spans="1:37">
      <c r="A531" t="s">
        <v>1685</v>
      </c>
      <c r="B531" s="5">
        <v>45328</v>
      </c>
      <c r="C531" s="5">
        <v>45330</v>
      </c>
      <c r="D531" s="6">
        <f>IF(AND(C531&lt;&gt;"",B531&lt;&gt;""), C531-B531, "Missing Date")</f>
        <v>2</v>
      </c>
      <c r="E531" s="6" t="str">
        <f>IF(OR(B531="",C531=""), "Missing Date",
    IF(C531&lt;B531, "Invalid: Ship before Order",
      "OK"))</f>
        <v>OK</v>
      </c>
      <c r="F531" t="s">
        <v>729</v>
      </c>
      <c r="G531" t="s">
        <v>23</v>
      </c>
      <c r="H531" t="s">
        <v>24</v>
      </c>
      <c r="I531" t="s">
        <v>38</v>
      </c>
      <c r="J531" t="s">
        <v>228</v>
      </c>
      <c r="K531" t="s">
        <v>229</v>
      </c>
      <c r="L531" t="s">
        <v>41</v>
      </c>
      <c r="M531" t="s">
        <v>158</v>
      </c>
      <c r="N531" t="s">
        <v>1686</v>
      </c>
      <c r="O531" t="s">
        <v>31</v>
      </c>
      <c r="P531">
        <v>9</v>
      </c>
      <c r="Q531">
        <v>1822.25</v>
      </c>
      <c r="R531">
        <v>0</v>
      </c>
      <c r="S531">
        <v>16400.25</v>
      </c>
      <c r="T531">
        <v>12146.96</v>
      </c>
      <c r="U531">
        <v>4253.29</v>
      </c>
      <c r="V531" t="s">
        <v>32</v>
      </c>
      <c r="W531" t="s">
        <v>33</v>
      </c>
      <c r="X531" t="str">
        <f>_xlfn.TEXTJOIN("|", TRUE, A531:W531)</f>
        <v>ORD-2024-10530|45328|45330|2|OK|CUST-3362|Karan Malhotra|Consumer|East|Jharkhand|Ranchi|Furniture|Bookcases|Classic Bookcases 947|Second Class|9|1822.25|0|16400.25|12146.96|4253.29|Paid|Completed</v>
      </c>
      <c r="Y531">
        <f>COUNTIF($X$2:$X$1000, X531)</f>
        <v>1</v>
      </c>
      <c r="Z531">
        <f>COUNTIF($A$2:$A$1000, A531)</f>
        <v>1</v>
      </c>
      <c r="AA531" t="str">
        <f>IF(Y531&gt;1, "Exact Duplicate",
  IF(Z531&gt;1, "Conflicting Duplicate - Review",
    "Unique"))</f>
        <v>Unique</v>
      </c>
      <c r="AB531" s="2">
        <f>IF(ISBLANK(R531), 0, IF(ISTEXT(R531), VALUE(SUBSTITUTE(R531, "%", ""))/100, IF(OR(R531&lt;0, R531&gt;1), "Invalid", R531)))</f>
        <v>0</v>
      </c>
      <c r="AC531" s="4">
        <f>IF(AB531="Invalid", "Error", P531 * Q531 * (1 - AB531))</f>
        <v>16400.25</v>
      </c>
      <c r="AD531" s="4">
        <f>IF(AC531="Error", "Error", AC531 - T531)</f>
        <v>4253.2900000000009</v>
      </c>
      <c r="AE531" s="2">
        <f>IF(AC531="Error", "Error", IF(AC531=0, 0, AD531 / AC531))</f>
        <v>0.25934299782015524</v>
      </c>
      <c r="AF531" s="7">
        <f>C531-B531</f>
        <v>2</v>
      </c>
      <c r="AG531" s="2" t="str">
        <f>TEXT(B531, "mmmm")</f>
        <v>February</v>
      </c>
      <c r="AH531" s="4">
        <f>YEAR(B531)</f>
        <v>2024</v>
      </c>
      <c r="AI531" s="2" t="str">
        <f t="shared" si="22"/>
        <v>Clean</v>
      </c>
      <c r="AJ531">
        <f>COUNTIFS($A$2:$A$1000,A531,$B$2:$B$1000,B531,$C$2:$C$1000,C531,$D$2:$D$1000,D531,$E$2:$E$1000,E531,$F$2:$F$1000,F531)</f>
        <v>1</v>
      </c>
      <c r="AK531">
        <f>COUNTIF($A$2:$A$1000, A531)</f>
        <v>1</v>
      </c>
    </row>
    <row r="532" spans="1:37">
      <c r="A532" t="s">
        <v>1687</v>
      </c>
      <c r="B532" s="5">
        <v>45807</v>
      </c>
      <c r="C532" s="5">
        <v>45809</v>
      </c>
      <c r="D532" s="6">
        <f>IF(AND(C532&lt;&gt;"",B532&lt;&gt;""), C532-B532, "Missing Date")</f>
        <v>2</v>
      </c>
      <c r="E532" s="6" t="str">
        <f>IF(OR(B532="",C532=""), "Missing Date",
    IF(C532&lt;B532, "Invalid: Ship before Order",
      "OK"))</f>
        <v>OK</v>
      </c>
      <c r="F532" t="s">
        <v>1688</v>
      </c>
      <c r="G532" t="s">
        <v>118</v>
      </c>
      <c r="H532" t="s">
        <v>95</v>
      </c>
      <c r="I532" t="s">
        <v>54</v>
      </c>
      <c r="J532" t="s">
        <v>247</v>
      </c>
      <c r="K532" t="s">
        <v>248</v>
      </c>
      <c r="L532" t="s">
        <v>28</v>
      </c>
      <c r="M532" t="s">
        <v>153</v>
      </c>
      <c r="N532" t="s">
        <v>1689</v>
      </c>
      <c r="O532" t="s">
        <v>59</v>
      </c>
      <c r="P532">
        <v>9</v>
      </c>
      <c r="Q532">
        <v>1994.51</v>
      </c>
      <c r="R532">
        <v>0.05</v>
      </c>
      <c r="S532">
        <v>17053.060000000001</v>
      </c>
      <c r="T532">
        <v>10742.38</v>
      </c>
      <c r="U532">
        <v>6310.68</v>
      </c>
      <c r="V532" t="s">
        <v>32</v>
      </c>
      <c r="W532" t="s">
        <v>33</v>
      </c>
      <c r="X532" t="str">
        <f>_xlfn.TEXTJOIN("|", TRUE, A532:W532)</f>
        <v>ORD-2025-10531|45807|45809|2|OK|CUST-8177|Rahul Verma|Home Office|South|Tamil Nadu|Chennai|Office Supplies|Binders|Eco Binders 352|Standard Class|9|1994.51|0.05|17053.06|10742.38|6310.68|Paid|Completed</v>
      </c>
      <c r="Y532">
        <f>COUNTIF($X$2:$X$1000, X532)</f>
        <v>1</v>
      </c>
      <c r="Z532">
        <f>COUNTIF($A$2:$A$1000, A532)</f>
        <v>1</v>
      </c>
      <c r="AA532" t="str">
        <f>IF(Y532&gt;1, "Exact Duplicate",
  IF(Z532&gt;1, "Conflicting Duplicate - Review",
    "Unique"))</f>
        <v>Unique</v>
      </c>
      <c r="AB532" s="2">
        <f>IF(ISBLANK(R532), 0, IF(ISTEXT(R532), VALUE(SUBSTITUTE(R532, "%", ""))/100, IF(OR(R532&lt;0, R532&gt;1), "Invalid", R532)))</f>
        <v>0.05</v>
      </c>
      <c r="AC532" s="4">
        <f>IF(AB532="Invalid", "Error", P532 * Q532 * (1 - AB532))</f>
        <v>17053.0605</v>
      </c>
      <c r="AD532" s="4">
        <f>IF(AC532="Error", "Error", AC532 - T532)</f>
        <v>6310.6805000000004</v>
      </c>
      <c r="AE532" s="2">
        <f>IF(AC532="Error", "Error", IF(AC532=0, 0, AD532 / AC532))</f>
        <v>0.37006146198801093</v>
      </c>
      <c r="AF532" s="7">
        <f>C532-B532</f>
        <v>2</v>
      </c>
      <c r="AG532" s="2" t="str">
        <f>TEXT(B532, "mmmm")</f>
        <v>May</v>
      </c>
      <c r="AH532" s="4">
        <f>YEAR(B532)</f>
        <v>2025</v>
      </c>
      <c r="AI532" s="2" t="str">
        <f t="shared" si="22"/>
        <v>Clean</v>
      </c>
      <c r="AJ532">
        <f>COUNTIFS($A$2:$A$1000,A532,$B$2:$B$1000,B532,$C$2:$C$1000,C532,$D$2:$D$1000,D532,$E$2:$E$1000,E532,$F$2:$F$1000,F532)</f>
        <v>1</v>
      </c>
      <c r="AK532">
        <f>COUNTIF($A$2:$A$1000, A532)</f>
        <v>1</v>
      </c>
    </row>
    <row r="533" spans="1:37">
      <c r="A533" t="s">
        <v>1690</v>
      </c>
      <c r="B533" s="5">
        <v>45505</v>
      </c>
      <c r="C533" s="5">
        <v>45512</v>
      </c>
      <c r="D533" s="6">
        <f>IF(AND(C533&lt;&gt;"",B533&lt;&gt;""), C533-B533, "Missing Date")</f>
        <v>7</v>
      </c>
      <c r="E533" s="6" t="str">
        <f>IF(OR(B533="",C533=""), "Missing Date",
    IF(C533&lt;B533, "Invalid: Ship before Order",
      "OK"))</f>
        <v>OK</v>
      </c>
      <c r="F533" t="s">
        <v>1691</v>
      </c>
      <c r="G533" t="s">
        <v>162</v>
      </c>
      <c r="H533" t="s">
        <v>37</v>
      </c>
      <c r="I533" t="s">
        <v>63</v>
      </c>
      <c r="J533" t="s">
        <v>64</v>
      </c>
      <c r="K533" t="s">
        <v>65</v>
      </c>
      <c r="L533" t="s">
        <v>28</v>
      </c>
      <c r="M533" t="s">
        <v>124</v>
      </c>
      <c r="N533" t="s">
        <v>1692</v>
      </c>
      <c r="O533" t="s">
        <v>2762</v>
      </c>
      <c r="P533">
        <v>1</v>
      </c>
      <c r="Q533">
        <v>442.97</v>
      </c>
      <c r="R533">
        <v>0.1</v>
      </c>
      <c r="S533">
        <v>398.67</v>
      </c>
      <c r="T533">
        <v>311.66000000000003</v>
      </c>
      <c r="U533">
        <v>87.01</v>
      </c>
      <c r="V533" t="s">
        <v>32</v>
      </c>
      <c r="W533" t="s">
        <v>33</v>
      </c>
      <c r="X533" t="str">
        <f>_xlfn.TEXTJOIN("|", TRUE, A533:W533)</f>
        <v>ORD-2024-10532|45505|45512|7|OK|CUST-6357|Diya Patel|Small Business|West|Maharashtra|Mumbai|Office Supplies|Storage|Pro Storage 364|Unknown|1|442.97|0.1|398.67|311.66|87.01|Paid|Completed</v>
      </c>
      <c r="Y533">
        <f>COUNTIF($X$2:$X$1000, X533)</f>
        <v>1</v>
      </c>
      <c r="Z533">
        <f>COUNTIF($A$2:$A$1000, A533)</f>
        <v>1</v>
      </c>
      <c r="AA533" t="str">
        <f>IF(Y533&gt;1, "Exact Duplicate",
  IF(Z533&gt;1, "Conflicting Duplicate - Review",
    "Unique"))</f>
        <v>Unique</v>
      </c>
      <c r="AB533" s="2">
        <f>IF(ISBLANK(R533), 0, IF(ISTEXT(R533), VALUE(SUBSTITUTE(R533, "%", ""))/100, IF(OR(R533&lt;0, R533&gt;1), "Invalid", R533)))</f>
        <v>0.1</v>
      </c>
      <c r="AC533" s="4">
        <f>IF(AB533="Invalid", "Error", P533 * Q533 * (1 - AB533))</f>
        <v>398.67300000000006</v>
      </c>
      <c r="AD533" s="4">
        <f>IF(AC533="Error", "Error", AC533 - T533)</f>
        <v>87.013000000000034</v>
      </c>
      <c r="AE533" s="2">
        <f>IF(AC533="Error", "Error", IF(AC533=0, 0, AD533 / AC533))</f>
        <v>0.21825656615822997</v>
      </c>
      <c r="AF533" s="7">
        <f>C533-B533</f>
        <v>7</v>
      </c>
      <c r="AG533" s="2" t="str">
        <f>TEXT(B533, "mmmm")</f>
        <v>August</v>
      </c>
      <c r="AH533" s="4">
        <f>YEAR(B533)</f>
        <v>2024</v>
      </c>
      <c r="AI533" s="2" t="str">
        <f t="shared" si="22"/>
        <v>Warning: Missing Shipping Mode</v>
      </c>
      <c r="AJ533">
        <f>COUNTIFS($A$2:$A$1000,A533,$B$2:$B$1000,B533,$C$2:$C$1000,C533,$D$2:$D$1000,D533,$E$2:$E$1000,E533,$F$2:$F$1000,F533)</f>
        <v>1</v>
      </c>
      <c r="AK533">
        <f>COUNTIF($A$2:$A$1000, A533)</f>
        <v>1</v>
      </c>
    </row>
    <row r="534" spans="1:37">
      <c r="A534" t="s">
        <v>1693</v>
      </c>
      <c r="B534" s="5">
        <v>45935</v>
      </c>
      <c r="C534" s="5">
        <v>45940</v>
      </c>
      <c r="D534" s="6">
        <f>IF(AND(C534&lt;&gt;"",B534&lt;&gt;""), C534-B534, "Missing Date")</f>
        <v>5</v>
      </c>
      <c r="E534" s="6" t="str">
        <f>IF(OR(B534="",C534=""), "Missing Date",
    IF(C534&lt;B534, "Invalid: Ship before Order",
      "OK"))</f>
        <v>OK</v>
      </c>
      <c r="F534" t="s">
        <v>1694</v>
      </c>
      <c r="G534" t="s">
        <v>114</v>
      </c>
      <c r="H534" t="s">
        <v>90</v>
      </c>
      <c r="I534" t="s">
        <v>38</v>
      </c>
      <c r="J534" t="s">
        <v>166</v>
      </c>
      <c r="K534" t="s">
        <v>167</v>
      </c>
      <c r="L534" t="s">
        <v>41</v>
      </c>
      <c r="M534" t="s">
        <v>42</v>
      </c>
      <c r="N534" t="s">
        <v>1695</v>
      </c>
      <c r="O534" t="s">
        <v>31</v>
      </c>
      <c r="P534">
        <v>9</v>
      </c>
      <c r="Q534">
        <v>2089.14</v>
      </c>
      <c r="R534">
        <v>0.05</v>
      </c>
      <c r="S534">
        <v>17862.150000000001</v>
      </c>
      <c r="T534">
        <v>9892.2099999999991</v>
      </c>
      <c r="U534">
        <v>7969.94</v>
      </c>
      <c r="V534" t="s">
        <v>155</v>
      </c>
      <c r="W534" t="s">
        <v>68</v>
      </c>
      <c r="X534" t="str">
        <f>_xlfn.TEXTJOIN("|", TRUE, A534:W534)</f>
        <v>ORD-2025-10533|45935|45940|5|OK|CUST-7690|Priya Menon|Corporate|East|Assam|Guwahati|Furniture|Tables|Classic Tables 213|Second Class|9|2089.14|0.05|17862.15|9892.21|7969.94|Failed|Cancelled</v>
      </c>
      <c r="Y534">
        <f>COUNTIF($X$2:$X$1000, X534)</f>
        <v>1</v>
      </c>
      <c r="Z534">
        <f>COUNTIF($A$2:$A$1000, A534)</f>
        <v>1</v>
      </c>
      <c r="AA534" t="str">
        <f>IF(Y534&gt;1, "Exact Duplicate",
  IF(Z534&gt;1, "Conflicting Duplicate - Review",
    "Unique"))</f>
        <v>Unique</v>
      </c>
      <c r="AB534" s="2">
        <f>IF(ISBLANK(R534), 0, IF(ISTEXT(R534), VALUE(SUBSTITUTE(R534, "%", ""))/100, IF(OR(R534&lt;0, R534&gt;1), "Invalid", R534)))</f>
        <v>0.05</v>
      </c>
      <c r="AC534" s="4">
        <f>IF(AB534="Invalid", "Error", P534 * Q534 * (1 - AB534))</f>
        <v>17862.146999999997</v>
      </c>
      <c r="AD534" s="4">
        <f>IF(AC534="Error", "Error", AC534 - T534)</f>
        <v>7969.9369999999981</v>
      </c>
      <c r="AE534" s="2">
        <f>IF(AC534="Error", "Error", IF(AC534=0, 0, AD534 / AC534))</f>
        <v>0.44619143488182017</v>
      </c>
      <c r="AF534" s="7">
        <f>C534-B534</f>
        <v>5</v>
      </c>
      <c r="AG534" s="2" t="str">
        <f>TEXT(B534, "mmmm")</f>
        <v>October</v>
      </c>
      <c r="AH534" s="4">
        <f>YEAR(B534)</f>
        <v>2025</v>
      </c>
      <c r="AI534" s="2" t="str">
        <f t="shared" si="22"/>
        <v>Excluded from Sales</v>
      </c>
      <c r="AJ534">
        <f>COUNTIFS($A$2:$A$1000,A534,$B$2:$B$1000,B534,$C$2:$C$1000,C534,$D$2:$D$1000,D534,$E$2:$E$1000,E534,$F$2:$F$1000,F534)</f>
        <v>1</v>
      </c>
      <c r="AK534">
        <f>COUNTIF($A$2:$A$1000, A534)</f>
        <v>1</v>
      </c>
    </row>
    <row r="535" spans="1:37">
      <c r="A535" t="s">
        <v>1696</v>
      </c>
      <c r="B535" s="5">
        <v>45529</v>
      </c>
      <c r="C535" s="5">
        <v>45536</v>
      </c>
      <c r="D535" s="6">
        <f>IF(AND(C535&lt;&gt;"",B535&lt;&gt;""), C535-B535, "Missing Date")</f>
        <v>7</v>
      </c>
      <c r="E535" s="6" t="str">
        <f>IF(OR(B535="",C535=""), "Missing Date",
    IF(C535&lt;B535, "Invalid: Ship before Order",
      "OK"))</f>
        <v>OK</v>
      </c>
      <c r="F535" t="s">
        <v>1697</v>
      </c>
      <c r="G535" t="s">
        <v>47</v>
      </c>
      <c r="H535" t="s">
        <v>95</v>
      </c>
      <c r="I535" t="s">
        <v>25</v>
      </c>
      <c r="J535" t="s">
        <v>26</v>
      </c>
      <c r="K535" t="s">
        <v>27</v>
      </c>
      <c r="L535" t="s">
        <v>41</v>
      </c>
      <c r="M535" t="s">
        <v>42</v>
      </c>
      <c r="N535" t="s">
        <v>1698</v>
      </c>
      <c r="O535" t="s">
        <v>44</v>
      </c>
      <c r="P535">
        <v>6</v>
      </c>
      <c r="Q535">
        <v>481.3</v>
      </c>
      <c r="R535">
        <v>0.25</v>
      </c>
      <c r="S535">
        <v>2165.85</v>
      </c>
      <c r="T535">
        <v>2124.48</v>
      </c>
      <c r="U535">
        <v>430.45</v>
      </c>
      <c r="V535" t="s">
        <v>32</v>
      </c>
      <c r="W535" t="s">
        <v>33</v>
      </c>
      <c r="X535" t="str">
        <f>_xlfn.TEXTJOIN("|", TRUE, A535:W535)</f>
        <v>ORD-2024-10534|45529|45536|7|OK|CUST-4487|Isha Nair|Home Office|North|Rajasthan|Jaipur|Furniture|Tables|Smart Tables 659|Same Day|6|481.3|0.25|2165.85|2124.48|430.45|Paid|Completed</v>
      </c>
      <c r="Y535">
        <f>COUNTIF($X$2:$X$1000, X535)</f>
        <v>1</v>
      </c>
      <c r="Z535">
        <f>COUNTIF($A$2:$A$1000, A535)</f>
        <v>1</v>
      </c>
      <c r="AA535" t="str">
        <f>IF(Y535&gt;1, "Exact Duplicate",
  IF(Z535&gt;1, "Conflicting Duplicate - Review",
    "Unique"))</f>
        <v>Unique</v>
      </c>
      <c r="AB535" s="2">
        <f>IF(ISBLANK(R535), 0, IF(ISTEXT(R535), VALUE(SUBSTITUTE(R535, "%", ""))/100, IF(OR(R535&lt;0, R535&gt;1), "Invalid", R535)))</f>
        <v>0.25</v>
      </c>
      <c r="AC535" s="4">
        <f>IF(AB535="Invalid", "Error", P535 * Q535 * (1 - AB535))</f>
        <v>2165.8500000000004</v>
      </c>
      <c r="AD535" s="4">
        <f>IF(AC535="Error", "Error", AC535 - T535)</f>
        <v>41.370000000000346</v>
      </c>
      <c r="AE535" s="2">
        <f>IF(AC535="Error", "Error", IF(AC535=0, 0, AD535 / AC535))</f>
        <v>1.91010457787937E-2</v>
      </c>
      <c r="AF535" s="7">
        <f>C535-B535</f>
        <v>7</v>
      </c>
      <c r="AG535" s="2" t="str">
        <f>TEXT(B535, "mmmm")</f>
        <v>August</v>
      </c>
      <c r="AH535" s="4">
        <f>YEAR(B535)</f>
        <v>2024</v>
      </c>
      <c r="AI535" s="2" t="str">
        <f t="shared" si="22"/>
        <v>Clean</v>
      </c>
      <c r="AJ535">
        <f>COUNTIFS($A$2:$A$1000,A535,$B$2:$B$1000,B535,$C$2:$C$1000,C535,$D$2:$D$1000,D535,$E$2:$E$1000,E535,$F$2:$F$1000,F535)</f>
        <v>1</v>
      </c>
      <c r="AK535">
        <f>COUNTIF($A$2:$A$1000, A535)</f>
        <v>1</v>
      </c>
    </row>
    <row r="536" spans="1:37">
      <c r="A536" t="s">
        <v>1699</v>
      </c>
      <c r="B536" s="5">
        <v>45774</v>
      </c>
      <c r="C536" s="5">
        <v>45782</v>
      </c>
      <c r="D536" s="6">
        <f>IF(AND(C536&lt;&gt;"",B536&lt;&gt;""), C536-B536, "Missing Date")</f>
        <v>8</v>
      </c>
      <c r="E536" s="6" t="str">
        <f>IF(OR(B536="",C536=""), "Missing Date",
    IF(C536&lt;B536, "Invalid: Ship before Order",
      "OK"))</f>
        <v>OK</v>
      </c>
      <c r="F536" t="s">
        <v>1700</v>
      </c>
      <c r="G536" t="s">
        <v>141</v>
      </c>
      <c r="H536" t="s">
        <v>95</v>
      </c>
      <c r="I536" t="s">
        <v>38</v>
      </c>
      <c r="J536" t="s">
        <v>145</v>
      </c>
      <c r="K536" t="s">
        <v>146</v>
      </c>
      <c r="L536" t="s">
        <v>74</v>
      </c>
      <c r="M536" t="s">
        <v>75</v>
      </c>
      <c r="N536" t="s">
        <v>1701</v>
      </c>
      <c r="O536" t="s">
        <v>31</v>
      </c>
      <c r="P536">
        <v>4</v>
      </c>
      <c r="Q536">
        <v>3963.39</v>
      </c>
      <c r="R536">
        <v>0.1</v>
      </c>
      <c r="S536">
        <v>14268.2</v>
      </c>
      <c r="T536">
        <v>11705.3</v>
      </c>
      <c r="U536">
        <v>2562.9</v>
      </c>
      <c r="V536" t="s">
        <v>111</v>
      </c>
      <c r="W536" t="s">
        <v>103</v>
      </c>
      <c r="X536" t="str">
        <f>_xlfn.TEXTJOIN("|", TRUE, A536:W536)</f>
        <v>ORD-2025-10535|45774|45782|8|OK|CUST-8204|Rohan Mehta|Home Office|East|Bihar|Patna|Technology|Accessories|Classic Accessories 325|Second Class|4|3963.39|0.1|14268.2|11705.3|2562.9|Pending|Returned</v>
      </c>
      <c r="Y536">
        <f>COUNTIF($X$2:$X$1000, X536)</f>
        <v>1</v>
      </c>
      <c r="Z536">
        <f>COUNTIF($A$2:$A$1000, A536)</f>
        <v>1</v>
      </c>
      <c r="AA536" t="str">
        <f>IF(Y536&gt;1, "Exact Duplicate",
  IF(Z536&gt;1, "Conflicting Duplicate - Review",
    "Unique"))</f>
        <v>Unique</v>
      </c>
      <c r="AB536" s="2">
        <f>IF(ISBLANK(R536), 0, IF(ISTEXT(R536), VALUE(SUBSTITUTE(R536, "%", ""))/100, IF(OR(R536&lt;0, R536&gt;1), "Invalid", R536)))</f>
        <v>0.1</v>
      </c>
      <c r="AC536" s="4">
        <f>IF(AB536="Invalid", "Error", P536 * Q536 * (1 - AB536))</f>
        <v>14268.204</v>
      </c>
      <c r="AD536" s="4">
        <f>IF(AC536="Error", "Error", AC536 - T536)</f>
        <v>2562.9040000000005</v>
      </c>
      <c r="AE536" s="2">
        <f>IF(AC536="Error", "Error", IF(AC536=0, 0, AD536 / AC536))</f>
        <v>0.17962344805274724</v>
      </c>
      <c r="AF536" s="7">
        <f>C536-B536</f>
        <v>8</v>
      </c>
      <c r="AG536" s="2" t="str">
        <f>TEXT(B536, "mmmm")</f>
        <v>April</v>
      </c>
      <c r="AH536" s="4">
        <f>YEAR(B536)</f>
        <v>2025</v>
      </c>
      <c r="AI536" s="2" t="str">
        <f t="shared" si="22"/>
        <v>Clean</v>
      </c>
      <c r="AJ536">
        <f>COUNTIFS($A$2:$A$1000,A536,$B$2:$B$1000,B536,$C$2:$C$1000,C536,$D$2:$D$1000,D536,$E$2:$E$1000,E536,$F$2:$F$1000,F536)</f>
        <v>1</v>
      </c>
      <c r="AK536">
        <f>COUNTIF($A$2:$A$1000, A536)</f>
        <v>1</v>
      </c>
    </row>
    <row r="537" spans="1:37">
      <c r="A537" t="s">
        <v>1702</v>
      </c>
      <c r="B537" s="5">
        <v>45431</v>
      </c>
      <c r="C537" s="5">
        <v>45433</v>
      </c>
      <c r="D537" s="6">
        <f>IF(AND(C537&lt;&gt;"",B537&lt;&gt;""), C537-B537, "Missing Date")</f>
        <v>2</v>
      </c>
      <c r="E537" s="6" t="str">
        <f>IF(OR(B537="",C537=""), "Missing Date",
    IF(C537&lt;B537, "Invalid: Ship before Order",
      "OK"))</f>
        <v>OK</v>
      </c>
      <c r="F537" t="s">
        <v>1703</v>
      </c>
      <c r="G537" t="s">
        <v>162</v>
      </c>
      <c r="H537" t="s">
        <v>37</v>
      </c>
      <c r="I537" t="s">
        <v>63</v>
      </c>
      <c r="J537" t="s">
        <v>64</v>
      </c>
      <c r="K537" t="s">
        <v>65</v>
      </c>
      <c r="L537" t="s">
        <v>74</v>
      </c>
      <c r="M537" t="s">
        <v>80</v>
      </c>
      <c r="N537" t="s">
        <v>1704</v>
      </c>
      <c r="O537" t="s">
        <v>50</v>
      </c>
      <c r="P537">
        <v>3</v>
      </c>
      <c r="Q537">
        <v>4000.98</v>
      </c>
      <c r="R537">
        <v>0.2</v>
      </c>
      <c r="S537">
        <v>9602.35</v>
      </c>
      <c r="T537">
        <v>7387.57</v>
      </c>
      <c r="U537">
        <v>2214.7800000000002</v>
      </c>
      <c r="V537" t="s">
        <v>32</v>
      </c>
      <c r="W537" t="s">
        <v>33</v>
      </c>
      <c r="X537" t="str">
        <f>_xlfn.TEXTJOIN("|", TRUE, A537:W537)</f>
        <v>ORD-2024-10536|45431|45433|2|OK|CUST-1729|Diya Patel|Small Business|West|Maharashtra|Mumbai|Technology|Copiers|Eco Copiers 243|First Class|3|4000.98|0.2|9602.35|7387.57|2214.78|Paid|Completed</v>
      </c>
      <c r="Y537">
        <f>COUNTIF($X$2:$X$1000, X537)</f>
        <v>1</v>
      </c>
      <c r="Z537">
        <f>COUNTIF($A$2:$A$1000, A537)</f>
        <v>1</v>
      </c>
      <c r="AA537" t="str">
        <f>IF(Y537&gt;1, "Exact Duplicate",
  IF(Z537&gt;1, "Conflicting Duplicate - Review",
    "Unique"))</f>
        <v>Unique</v>
      </c>
      <c r="AB537" s="2">
        <f>IF(ISBLANK(R537), 0, IF(ISTEXT(R537), VALUE(SUBSTITUTE(R537, "%", ""))/100, IF(OR(R537&lt;0, R537&gt;1), "Invalid", R537)))</f>
        <v>0.2</v>
      </c>
      <c r="AC537" s="4">
        <f>IF(AB537="Invalid", "Error", P537 * Q537 * (1 - AB537))</f>
        <v>9602.3520000000008</v>
      </c>
      <c r="AD537" s="4">
        <f>IF(AC537="Error", "Error", AC537 - T537)</f>
        <v>2214.7820000000011</v>
      </c>
      <c r="AE537" s="2">
        <f>IF(AC537="Error", "Error", IF(AC537=0, 0, AD537 / AC537))</f>
        <v>0.23064994909580494</v>
      </c>
      <c r="AF537" s="7">
        <f>C537-B537</f>
        <v>2</v>
      </c>
      <c r="AG537" s="2" t="str">
        <f>TEXT(B537, "mmmm")</f>
        <v>May</v>
      </c>
      <c r="AH537" s="4">
        <f>YEAR(B537)</f>
        <v>2024</v>
      </c>
      <c r="AI537" s="2" t="str">
        <f t="shared" si="22"/>
        <v>Clean</v>
      </c>
      <c r="AJ537">
        <f>COUNTIFS($A$2:$A$1000,A537,$B$2:$B$1000,B537,$C$2:$C$1000,C537,$D$2:$D$1000,D537,$E$2:$E$1000,E537,$F$2:$F$1000,F537)</f>
        <v>1</v>
      </c>
      <c r="AK537">
        <f>COUNTIF($A$2:$A$1000, A537)</f>
        <v>1</v>
      </c>
    </row>
    <row r="538" spans="1:37">
      <c r="A538" t="s">
        <v>1705</v>
      </c>
      <c r="B538" s="5">
        <v>45757</v>
      </c>
      <c r="C538" s="5">
        <v>45764</v>
      </c>
      <c r="D538" s="6">
        <f>IF(AND(C538&lt;&gt;"",B538&lt;&gt;""), C538-B538, "Missing Date")</f>
        <v>7</v>
      </c>
      <c r="E538" s="6" t="str">
        <f>IF(OR(B538="",C538=""), "Missing Date",
    IF(C538&lt;B538, "Invalid: Ship before Order",
      "OK"))</f>
        <v>OK</v>
      </c>
      <c r="F538" t="s">
        <v>1706</v>
      </c>
      <c r="G538" t="s">
        <v>62</v>
      </c>
      <c r="H538" t="s">
        <v>37</v>
      </c>
      <c r="I538" t="s">
        <v>63</v>
      </c>
      <c r="J538" t="s">
        <v>26</v>
      </c>
      <c r="K538" t="s">
        <v>109</v>
      </c>
      <c r="L538" t="s">
        <v>41</v>
      </c>
      <c r="M538" t="s">
        <v>66</v>
      </c>
      <c r="N538" t="s">
        <v>1707</v>
      </c>
      <c r="O538" t="s">
        <v>50</v>
      </c>
      <c r="P538">
        <v>7</v>
      </c>
      <c r="Q538">
        <v>3788.9</v>
      </c>
      <c r="R538">
        <v>0.25</v>
      </c>
      <c r="S538">
        <v>19891.72</v>
      </c>
      <c r="T538">
        <v>12295.76</v>
      </c>
      <c r="U538">
        <v>7595.96</v>
      </c>
      <c r="V538" t="s">
        <v>155</v>
      </c>
      <c r="W538" t="s">
        <v>68</v>
      </c>
      <c r="X538" t="str">
        <f>_xlfn.TEXTJOIN("|", TRUE, A538:W538)</f>
        <v>ORD-2025-10537|45757|45764|7|OK|CUST-4269|Ananya Rao|Small Business|West|Rajasthan|Udaipur|Furniture|Chairs|Elite Chairs 777|First Class|7|3788.9|0.25|19891.72|12295.76|7595.96|Failed|Cancelled</v>
      </c>
      <c r="Y538">
        <f>COUNTIF($X$2:$X$1000, X538)</f>
        <v>1</v>
      </c>
      <c r="Z538">
        <f>COUNTIF($A$2:$A$1000, A538)</f>
        <v>1</v>
      </c>
      <c r="AA538" t="str">
        <f>IF(Y538&gt;1, "Exact Duplicate",
  IF(Z538&gt;1, "Conflicting Duplicate - Review",
    "Unique"))</f>
        <v>Unique</v>
      </c>
      <c r="AB538" s="2">
        <f>IF(ISBLANK(R538), 0, IF(ISTEXT(R538), VALUE(SUBSTITUTE(R538, "%", ""))/100, IF(OR(R538&lt;0, R538&gt;1), "Invalid", R538)))</f>
        <v>0.25</v>
      </c>
      <c r="AC538" s="4">
        <f>IF(AB538="Invalid", "Error", P538 * Q538 * (1 - AB538))</f>
        <v>19891.724999999999</v>
      </c>
      <c r="AD538" s="4">
        <f>IF(AC538="Error", "Error", AC538 - T538)</f>
        <v>7595.9649999999983</v>
      </c>
      <c r="AE538" s="2">
        <f>IF(AC538="Error", "Error", IF(AC538=0, 0, AD538 / AC538))</f>
        <v>0.38186557475533162</v>
      </c>
      <c r="AF538" s="7">
        <f>C538-B538</f>
        <v>7</v>
      </c>
      <c r="AG538" s="2" t="str">
        <f>TEXT(B538, "mmmm")</f>
        <v>April</v>
      </c>
      <c r="AH538" s="4">
        <f>YEAR(B538)</f>
        <v>2025</v>
      </c>
      <c r="AI538" s="2" t="str">
        <f t="shared" si="22"/>
        <v>Excluded from Sales</v>
      </c>
      <c r="AJ538">
        <f>COUNTIFS($A$2:$A$1000,A538,$B$2:$B$1000,B538,$C$2:$C$1000,C538,$D$2:$D$1000,D538,$E$2:$E$1000,E538,$F$2:$F$1000,F538)</f>
        <v>1</v>
      </c>
      <c r="AK538">
        <f>COUNTIF($A$2:$A$1000, A538)</f>
        <v>1</v>
      </c>
    </row>
    <row r="539" spans="1:37">
      <c r="A539" t="s">
        <v>1708</v>
      </c>
      <c r="B539" s="5">
        <v>45313</v>
      </c>
      <c r="C539" s="5">
        <v>45321</v>
      </c>
      <c r="D539" s="6">
        <f>IF(AND(C539&lt;&gt;"",B539&lt;&gt;""), C539-B539, "Missing Date")</f>
        <v>8</v>
      </c>
      <c r="E539" s="6" t="str">
        <f>IF(OR(B539="",C539=""), "Missing Date",
    IF(C539&lt;B539, "Invalid: Ship before Order",
      "OK"))</f>
        <v>OK</v>
      </c>
      <c r="F539" t="s">
        <v>1709</v>
      </c>
      <c r="G539" t="s">
        <v>62</v>
      </c>
      <c r="H539" t="s">
        <v>37</v>
      </c>
      <c r="I539" t="s">
        <v>25</v>
      </c>
      <c r="J539" t="s">
        <v>236</v>
      </c>
      <c r="K539" t="s">
        <v>237</v>
      </c>
      <c r="L539" t="s">
        <v>28</v>
      </c>
      <c r="M539" t="s">
        <v>48</v>
      </c>
      <c r="N539" t="s">
        <v>1710</v>
      </c>
      <c r="O539" t="s">
        <v>44</v>
      </c>
      <c r="P539">
        <v>3</v>
      </c>
      <c r="Q539">
        <v>676.37</v>
      </c>
      <c r="R539">
        <v>0.05</v>
      </c>
      <c r="S539">
        <v>1927.65</v>
      </c>
      <c r="T539">
        <v>1460.6</v>
      </c>
      <c r="U539">
        <v>467.05</v>
      </c>
      <c r="V539" t="s">
        <v>155</v>
      </c>
      <c r="W539" t="s">
        <v>68</v>
      </c>
      <c r="X539" t="str">
        <f>_xlfn.TEXTJOIN("|", TRUE, A539:W539)</f>
        <v>ORD-2024-10538|45313|45321|8|OK|CUST-1370|Ananya Rao|Small Business|North|Haryana|Gurugram|Office Supplies|Art|Classic Art 772|Same Day|3|676.37|0.05|1927.65|1460.6|467.05|Failed|Cancelled</v>
      </c>
      <c r="Y539">
        <f>COUNTIF($X$2:$X$1000, X539)</f>
        <v>1</v>
      </c>
      <c r="Z539">
        <f>COUNTIF($A$2:$A$1000, A539)</f>
        <v>1</v>
      </c>
      <c r="AA539" t="str">
        <f>IF(Y539&gt;1, "Exact Duplicate",
  IF(Z539&gt;1, "Conflicting Duplicate - Review",
    "Unique"))</f>
        <v>Unique</v>
      </c>
      <c r="AB539" s="2">
        <f>IF(ISBLANK(R539), 0, IF(ISTEXT(R539), VALUE(SUBSTITUTE(R539, "%", ""))/100, IF(OR(R539&lt;0, R539&gt;1), "Invalid", R539)))</f>
        <v>0.05</v>
      </c>
      <c r="AC539" s="4">
        <f>IF(AB539="Invalid", "Error", P539 * Q539 * (1 - AB539))</f>
        <v>1927.6545000000001</v>
      </c>
      <c r="AD539" s="4">
        <f>IF(AC539="Error", "Error", AC539 - T539)</f>
        <v>467.05450000000019</v>
      </c>
      <c r="AE539" s="2">
        <f>IF(AC539="Error", "Error", IF(AC539=0, 0, AD539 / AC539))</f>
        <v>0.24229160360427668</v>
      </c>
      <c r="AF539" s="7">
        <f>C539-B539</f>
        <v>8</v>
      </c>
      <c r="AG539" s="2" t="str">
        <f>TEXT(B539, "mmmm")</f>
        <v>January</v>
      </c>
      <c r="AH539" s="4">
        <f>YEAR(B539)</f>
        <v>2024</v>
      </c>
      <c r="AI539" s="2" t="str">
        <f t="shared" si="22"/>
        <v>Excluded from Sales</v>
      </c>
      <c r="AJ539">
        <f>COUNTIFS($A$2:$A$1000,A539,$B$2:$B$1000,B539,$C$2:$C$1000,C539,$D$2:$D$1000,D539,$E$2:$E$1000,E539,$F$2:$F$1000,F539)</f>
        <v>1</v>
      </c>
      <c r="AK539">
        <f>COUNTIF($A$2:$A$1000, A539)</f>
        <v>1</v>
      </c>
    </row>
    <row r="540" spans="1:37">
      <c r="A540" t="s">
        <v>1711</v>
      </c>
      <c r="B540" s="5">
        <v>45560</v>
      </c>
      <c r="C540" s="5">
        <v>45566</v>
      </c>
      <c r="D540" s="6">
        <f>IF(AND(C540&lt;&gt;"",B540&lt;&gt;""), C540-B540, "Missing Date")</f>
        <v>6</v>
      </c>
      <c r="E540" s="6" t="str">
        <f>IF(OR(B540="",C540=""), "Missing Date",
    IF(C540&lt;B540, "Invalid: Ship before Order",
      "OK"))</f>
        <v>OK</v>
      </c>
      <c r="F540" t="s">
        <v>1712</v>
      </c>
      <c r="G540" t="s">
        <v>162</v>
      </c>
      <c r="H540" t="s">
        <v>37</v>
      </c>
      <c r="I540" t="s">
        <v>38</v>
      </c>
      <c r="J540" t="s">
        <v>228</v>
      </c>
      <c r="K540" t="s">
        <v>229</v>
      </c>
      <c r="L540" t="s">
        <v>41</v>
      </c>
      <c r="M540" t="s">
        <v>42</v>
      </c>
      <c r="N540" t="s">
        <v>1713</v>
      </c>
      <c r="O540" t="s">
        <v>31</v>
      </c>
      <c r="P540">
        <v>9</v>
      </c>
      <c r="Q540">
        <v>3908.6</v>
      </c>
      <c r="R540">
        <v>0.15</v>
      </c>
      <c r="S540">
        <v>29900.79</v>
      </c>
      <c r="T540">
        <v>24650.67</v>
      </c>
      <c r="U540">
        <v>5250.12</v>
      </c>
      <c r="V540" t="s">
        <v>32</v>
      </c>
      <c r="W540" t="s">
        <v>33</v>
      </c>
      <c r="X540" t="str">
        <f>_xlfn.TEXTJOIN("|", TRUE, A540:W540)</f>
        <v>ORD-2024-10539|45560|45566|6|OK|CUST-5381|Diya Patel|Small Business|East|Jharkhand|Ranchi|Furniture|Tables|Elite Tables 888|Second Class|9|3908.6|0.15|29900.79|24650.67|5250.12|Paid|Completed</v>
      </c>
      <c r="Y540">
        <f>COUNTIF($X$2:$X$1000, X540)</f>
        <v>1</v>
      </c>
      <c r="Z540">
        <f>COUNTIF($A$2:$A$1000, A540)</f>
        <v>1</v>
      </c>
      <c r="AA540" t="str">
        <f>IF(Y540&gt;1, "Exact Duplicate",
  IF(Z540&gt;1, "Conflicting Duplicate - Review",
    "Unique"))</f>
        <v>Unique</v>
      </c>
      <c r="AB540" s="2">
        <f>IF(ISBLANK(R540), 0, IF(ISTEXT(R540), VALUE(SUBSTITUTE(R540, "%", ""))/100, IF(OR(R540&lt;0, R540&gt;1), "Invalid", R540)))</f>
        <v>0.15</v>
      </c>
      <c r="AC540" s="4">
        <f>IF(AB540="Invalid", "Error", P540 * Q540 * (1 - AB540))</f>
        <v>29900.79</v>
      </c>
      <c r="AD540" s="4">
        <f>IF(AC540="Error", "Error", AC540 - T540)</f>
        <v>5250.1200000000026</v>
      </c>
      <c r="AE540" s="2">
        <f>IF(AC540="Error", "Error", IF(AC540=0, 0, AD540 / AC540))</f>
        <v>0.17558465846554563</v>
      </c>
      <c r="AF540" s="7">
        <f>C540-B540</f>
        <v>6</v>
      </c>
      <c r="AG540" s="2" t="str">
        <f>TEXT(B540, "mmmm")</f>
        <v>September</v>
      </c>
      <c r="AH540" s="4">
        <f>YEAR(B540)</f>
        <v>2024</v>
      </c>
      <c r="AI540" s="2" t="str">
        <f t="shared" si="22"/>
        <v>Clean</v>
      </c>
      <c r="AJ540">
        <f>COUNTIFS($A$2:$A$1000,A540,$B$2:$B$1000,B540,$C$2:$C$1000,C540,$D$2:$D$1000,D540,$E$2:$E$1000,E540,$F$2:$F$1000,F540)</f>
        <v>1</v>
      </c>
      <c r="AK540">
        <f>COUNTIF($A$2:$A$1000, A540)</f>
        <v>1</v>
      </c>
    </row>
    <row r="541" spans="1:37">
      <c r="A541" t="s">
        <v>1714</v>
      </c>
      <c r="B541" s="5">
        <v>45754</v>
      </c>
      <c r="C541" s="5">
        <v>45842</v>
      </c>
      <c r="D541" s="6">
        <f>IF(AND(C541&lt;&gt;"",B541&lt;&gt;""), C541-B541, "Missing Date")</f>
        <v>88</v>
      </c>
      <c r="E541" s="6" t="str">
        <f>IF(OR(B541="",C541=""), "Missing Date",
    IF(C541&lt;B541, "Invalid: Ship before Order",
      "OK"))</f>
        <v>OK</v>
      </c>
      <c r="F541" t="s">
        <v>1715</v>
      </c>
      <c r="G541" t="s">
        <v>36</v>
      </c>
      <c r="H541" t="s">
        <v>37</v>
      </c>
      <c r="I541" t="s">
        <v>54</v>
      </c>
      <c r="J541" t="s">
        <v>247</v>
      </c>
      <c r="K541" t="s">
        <v>248</v>
      </c>
      <c r="L541" t="s">
        <v>41</v>
      </c>
      <c r="M541" t="s">
        <v>66</v>
      </c>
      <c r="N541" t="s">
        <v>1716</v>
      </c>
      <c r="O541" t="s">
        <v>59</v>
      </c>
      <c r="P541">
        <v>3</v>
      </c>
      <c r="Q541">
        <v>705.35</v>
      </c>
      <c r="R541">
        <v>0.1</v>
      </c>
      <c r="S541">
        <v>1904.45</v>
      </c>
      <c r="T541">
        <v>1316.54</v>
      </c>
      <c r="U541">
        <v>587.91</v>
      </c>
      <c r="V541" t="s">
        <v>32</v>
      </c>
      <c r="W541" t="s">
        <v>68</v>
      </c>
      <c r="X541" t="str">
        <f>_xlfn.TEXTJOIN("|", TRUE, A541:W541)</f>
        <v>ORD-2025-10540|45754|45842|88|OK|CUST-3694|Mira Das|Small Business|South|Tamil Nadu|Chennai|Furniture|Chairs|Classic Chairs 666|Standard Class|3|705.35|0.1|1904.45|1316.54|587.91|Paid|Cancelled</v>
      </c>
      <c r="Y541">
        <f>COUNTIF($X$2:$X$1000, X541)</f>
        <v>1</v>
      </c>
      <c r="Z541">
        <f>COUNTIF($A$2:$A$1000, A541)</f>
        <v>1</v>
      </c>
      <c r="AA541" t="str">
        <f>IF(Y541&gt;1, "Exact Duplicate",
  IF(Z541&gt;1, "Conflicting Duplicate - Review",
    "Unique"))</f>
        <v>Unique</v>
      </c>
      <c r="AB541" s="2">
        <f>IF(ISBLANK(R541), 0, IF(ISTEXT(R541), VALUE(SUBSTITUTE(R541, "%", ""))/100, IF(OR(R541&lt;0, R541&gt;1), "Invalid", R541)))</f>
        <v>0.1</v>
      </c>
      <c r="AC541" s="4">
        <f>IF(AB541="Invalid", "Error", P541 * Q541 * (1 - AB541))</f>
        <v>1904.4450000000002</v>
      </c>
      <c r="AD541" s="4">
        <f>IF(AC541="Error", "Error", AC541 - T541)</f>
        <v>587.9050000000002</v>
      </c>
      <c r="AE541" s="2">
        <f>IF(AC541="Error", "Error", IF(AC541=0, 0, AD541 / AC541))</f>
        <v>0.30870148520960183</v>
      </c>
      <c r="AF541" s="7">
        <f>C541-B541</f>
        <v>88</v>
      </c>
      <c r="AG541" s="2" t="str">
        <f>TEXT(B541, "mmmm")</f>
        <v>April</v>
      </c>
      <c r="AH541" s="4">
        <f>YEAR(B541)</f>
        <v>2025</v>
      </c>
      <c r="AI541" s="2" t="str">
        <f t="shared" si="22"/>
        <v>Excluded from Sales</v>
      </c>
      <c r="AJ541">
        <f>COUNTIFS($A$2:$A$1000,A541,$B$2:$B$1000,B541,$C$2:$C$1000,C541,$D$2:$D$1000,D541,$E$2:$E$1000,E541,$F$2:$F$1000,F541)</f>
        <v>1</v>
      </c>
      <c r="AK541">
        <f>COUNTIF($A$2:$A$1000, A541)</f>
        <v>1</v>
      </c>
    </row>
    <row r="542" spans="1:37">
      <c r="A542" t="s">
        <v>1717</v>
      </c>
      <c r="B542" s="5">
        <v>45348</v>
      </c>
      <c r="C542" s="5">
        <v>45345</v>
      </c>
      <c r="D542" s="6">
        <f>IF(AND(C542&lt;&gt;"",B542&lt;&gt;""), C542-B542, "Missing Date")</f>
        <v>-3</v>
      </c>
      <c r="E542" s="6" t="str">
        <f>IF(OR(B542="",C542=""), "Missing Date",
    IF(C542&lt;B542, "Invalid: Ship before Order",
      "OK"))</f>
        <v>Invalid: Ship before Order</v>
      </c>
      <c r="F542" t="s">
        <v>1718</v>
      </c>
      <c r="G542" t="s">
        <v>264</v>
      </c>
      <c r="H542" t="s">
        <v>24</v>
      </c>
      <c r="I542" t="s">
        <v>63</v>
      </c>
      <c r="J542" t="s">
        <v>180</v>
      </c>
      <c r="K542" t="s">
        <v>181</v>
      </c>
      <c r="L542" t="s">
        <v>41</v>
      </c>
      <c r="M542" t="s">
        <v>57</v>
      </c>
      <c r="N542" t="s">
        <v>1719</v>
      </c>
      <c r="O542" t="s">
        <v>59</v>
      </c>
      <c r="P542">
        <v>7</v>
      </c>
      <c r="Q542">
        <v>3852.07</v>
      </c>
      <c r="R542">
        <v>0.2</v>
      </c>
      <c r="S542">
        <v>21571.59</v>
      </c>
      <c r="T542">
        <v>17118.07</v>
      </c>
      <c r="U542">
        <v>4453.5200000000004</v>
      </c>
      <c r="V542" t="s">
        <v>32</v>
      </c>
      <c r="W542" t="s">
        <v>33</v>
      </c>
      <c r="X542" t="str">
        <f>_xlfn.TEXTJOIN("|", TRUE, A542:W542)</f>
        <v>ORD-2024-10541|45348|45345|-3|Invalid: Ship before Order|CUST-7563|Kabir Singh|Consumer|West|Gujarat|Ahmedabad|Furniture|Furnishings|Basic Furnishings 350|Standard Class|7|3852.07|0.2|21571.59|17118.07|4453.52|Paid|Completed</v>
      </c>
      <c r="Y542">
        <f>COUNTIF($X$2:$X$1000, X542)</f>
        <v>1</v>
      </c>
      <c r="Z542">
        <f>COUNTIF($A$2:$A$1000, A542)</f>
        <v>1</v>
      </c>
      <c r="AA542" t="str">
        <f>IF(Y542&gt;1, "Exact Duplicate",
  IF(Z542&gt;1, "Conflicting Duplicate - Review",
    "Unique"))</f>
        <v>Unique</v>
      </c>
      <c r="AB542" s="2">
        <f>IF(ISBLANK(R542), 0, IF(ISTEXT(R542), VALUE(SUBSTITUTE(R542, "%", ""))/100, IF(OR(R542&lt;0, R542&gt;1), "Invalid", R542)))</f>
        <v>0.2</v>
      </c>
      <c r="AC542" s="4">
        <f>IF(AB542="Invalid", "Error", P542 * Q542 * (1 - AB542))</f>
        <v>21571.592000000004</v>
      </c>
      <c r="AD542" s="4">
        <f>IF(AC542="Error", "Error", AC542 - T542)</f>
        <v>4453.5220000000045</v>
      </c>
      <c r="AE542" s="2">
        <f>IF(AC542="Error", "Error", IF(AC542=0, 0, AD542 / AC542))</f>
        <v>0.20645309813017063</v>
      </c>
      <c r="AF542" s="7">
        <f>C542-B542</f>
        <v>-3</v>
      </c>
      <c r="AG542" s="2" t="str">
        <f>TEXT(B542, "mmmm")</f>
        <v>February</v>
      </c>
      <c r="AH542" s="4">
        <f>YEAR(B542)</f>
        <v>2024</v>
      </c>
      <c r="AI542" s="2" t="str">
        <f t="shared" si="22"/>
        <v>Invalid Shipping Record</v>
      </c>
      <c r="AJ542">
        <f>COUNTIFS($A$2:$A$1000,A542,$B$2:$B$1000,B542,$C$2:$C$1000,C542,$D$2:$D$1000,D542,$E$2:$E$1000,E542,$F$2:$F$1000,F542)</f>
        <v>1</v>
      </c>
      <c r="AK542">
        <f>COUNTIF($A$2:$A$1000, A542)</f>
        <v>1</v>
      </c>
    </row>
    <row r="543" spans="1:37">
      <c r="A543" t="s">
        <v>1720</v>
      </c>
      <c r="B543" s="5">
        <v>45846</v>
      </c>
      <c r="C543" s="5">
        <v>45847</v>
      </c>
      <c r="D543" s="6">
        <f>IF(AND(C543&lt;&gt;"",B543&lt;&gt;""), C543-B543, "Missing Date")</f>
        <v>1</v>
      </c>
      <c r="E543" s="6" t="str">
        <f>IF(OR(B543="",C543=""), "Missing Date",
    IF(C543&lt;B543, "Invalid: Ship before Order",
      "OK"))</f>
        <v>OK</v>
      </c>
      <c r="F543" t="s">
        <v>1721</v>
      </c>
      <c r="G543" t="s">
        <v>132</v>
      </c>
      <c r="H543" t="s">
        <v>24</v>
      </c>
      <c r="I543" t="s">
        <v>63</v>
      </c>
      <c r="J543" t="s">
        <v>64</v>
      </c>
      <c r="K543" t="s">
        <v>65</v>
      </c>
      <c r="L543" t="s">
        <v>74</v>
      </c>
      <c r="M543" t="s">
        <v>80</v>
      </c>
      <c r="N543" t="s">
        <v>1722</v>
      </c>
      <c r="O543" t="s">
        <v>44</v>
      </c>
      <c r="P543">
        <v>3</v>
      </c>
      <c r="Q543">
        <v>2880.56</v>
      </c>
      <c r="R543">
        <v>0</v>
      </c>
      <c r="S543">
        <v>8641.68</v>
      </c>
      <c r="T543">
        <v>5747.09</v>
      </c>
      <c r="U543">
        <v>2894.59</v>
      </c>
      <c r="V543" t="s">
        <v>32</v>
      </c>
      <c r="W543" t="s">
        <v>103</v>
      </c>
      <c r="X543" t="str">
        <f>_xlfn.TEXTJOIN("|", TRUE, A543:W543)</f>
        <v>ORD-2025-10542|45846|45847|1|OK|CUST-4188|Sneha Kapoor|Consumer|West|Maharashtra|Mumbai|Technology|Copiers|Elite Copiers 831|Same Day|3|2880.56|0|8641.68|5747.09|2894.59|Paid|Returned</v>
      </c>
      <c r="Y543">
        <f>COUNTIF($X$2:$X$1000, X543)</f>
        <v>1</v>
      </c>
      <c r="Z543">
        <f>COUNTIF($A$2:$A$1000, A543)</f>
        <v>1</v>
      </c>
      <c r="AA543" t="str">
        <f>IF(Y543&gt;1, "Exact Duplicate",
  IF(Z543&gt;1, "Conflicting Duplicate - Review",
    "Unique"))</f>
        <v>Unique</v>
      </c>
      <c r="AB543" s="2">
        <f>IF(ISBLANK(R543), 0, IF(ISTEXT(R543), VALUE(SUBSTITUTE(R543, "%", ""))/100, IF(OR(R543&lt;0, R543&gt;1), "Invalid", R543)))</f>
        <v>0</v>
      </c>
      <c r="AC543" s="4">
        <f>IF(AB543="Invalid", "Error", P543 * Q543 * (1 - AB543))</f>
        <v>8641.68</v>
      </c>
      <c r="AD543" s="4">
        <f>IF(AC543="Error", "Error", AC543 - T543)</f>
        <v>2894.59</v>
      </c>
      <c r="AE543" s="2">
        <f>IF(AC543="Error", "Error", IF(AC543=0, 0, AD543 / AC543))</f>
        <v>0.33495686024013849</v>
      </c>
      <c r="AF543" s="7">
        <f>C543-B543</f>
        <v>1</v>
      </c>
      <c r="AG543" s="2" t="str">
        <f>TEXT(B543, "mmmm")</f>
        <v>July</v>
      </c>
      <c r="AH543" s="4">
        <f>YEAR(B543)</f>
        <v>2025</v>
      </c>
      <c r="AI543" s="2" t="str">
        <f t="shared" si="22"/>
        <v>Clean</v>
      </c>
      <c r="AJ543">
        <f>COUNTIFS($A$2:$A$1000,A543,$B$2:$B$1000,B543,$C$2:$C$1000,C543,$D$2:$D$1000,D543,$E$2:$E$1000,E543,$F$2:$F$1000,F543)</f>
        <v>1</v>
      </c>
      <c r="AK543">
        <f>COUNTIF($A$2:$A$1000, A543)</f>
        <v>1</v>
      </c>
    </row>
    <row r="544" spans="1:37">
      <c r="A544" t="s">
        <v>1723</v>
      </c>
      <c r="B544" s="5">
        <v>45552</v>
      </c>
      <c r="C544" s="5">
        <v>45558</v>
      </c>
      <c r="D544" s="6">
        <f>IF(AND(C544&lt;&gt;"",B544&lt;&gt;""), C544-B544, "Missing Date")</f>
        <v>6</v>
      </c>
      <c r="E544" s="6" t="str">
        <f>IF(OR(B544="",C544=""), "Missing Date",
    IF(C544&lt;B544, "Invalid: Ship before Order",
      "OK"))</f>
        <v>OK</v>
      </c>
      <c r="F544" t="s">
        <v>1724</v>
      </c>
      <c r="G544" t="s">
        <v>118</v>
      </c>
      <c r="H544" t="s">
        <v>95</v>
      </c>
      <c r="I544" t="s">
        <v>54</v>
      </c>
      <c r="J544" t="s">
        <v>185</v>
      </c>
      <c r="K544" t="s">
        <v>186</v>
      </c>
      <c r="L544" t="s">
        <v>41</v>
      </c>
      <c r="M544" t="s">
        <v>158</v>
      </c>
      <c r="N544" t="s">
        <v>1725</v>
      </c>
      <c r="O544" t="s">
        <v>31</v>
      </c>
      <c r="P544">
        <v>3</v>
      </c>
      <c r="Q544">
        <v>4067.62</v>
      </c>
      <c r="R544">
        <v>0.2</v>
      </c>
      <c r="S544">
        <v>9988.5300000000007</v>
      </c>
      <c r="T544">
        <v>8368.24</v>
      </c>
      <c r="U544">
        <v>1394.05</v>
      </c>
      <c r="V544" t="s">
        <v>32</v>
      </c>
      <c r="W544" t="s">
        <v>68</v>
      </c>
      <c r="X544" t="str">
        <f>_xlfn.TEXTJOIN("|", TRUE, A544:W544)</f>
        <v>ORD-2024-10543|45552|45558|6|OK|CUST-9376|Rahul Verma|Home Office|South|Kerala|Kochi|Furniture|Bookcases|Eco Bookcases 759|Second Class|3|4067.62|0.2|9988.53|8368.24|1394.05|Paid|Cancelled</v>
      </c>
      <c r="Y544">
        <f>COUNTIF($X$2:$X$1000, X544)</f>
        <v>1</v>
      </c>
      <c r="Z544">
        <f>COUNTIF($A$2:$A$1000, A544)</f>
        <v>1</v>
      </c>
      <c r="AA544" t="str">
        <f>IF(Y544&gt;1, "Exact Duplicate",
  IF(Z544&gt;1, "Conflicting Duplicate - Review",
    "Unique"))</f>
        <v>Unique</v>
      </c>
      <c r="AB544" s="2">
        <f>IF(ISBLANK(R544), 0, IF(ISTEXT(R544), VALUE(SUBSTITUTE(R544, "%", ""))/100, IF(OR(R544&lt;0, R544&gt;1), "Invalid", R544)))</f>
        <v>0.2</v>
      </c>
      <c r="AC544" s="4">
        <f>IF(AB544="Invalid", "Error", P544 * Q544 * (1 - AB544))</f>
        <v>9762.2880000000005</v>
      </c>
      <c r="AD544" s="4">
        <f>IF(AC544="Error", "Error", AC544 - T544)</f>
        <v>1394.0480000000007</v>
      </c>
      <c r="AE544" s="2">
        <f>IF(AC544="Error", "Error", IF(AC544=0, 0, AD544 / AC544))</f>
        <v>0.14279931098119628</v>
      </c>
      <c r="AF544" s="7">
        <f>C544-B544</f>
        <v>6</v>
      </c>
      <c r="AG544" s="2" t="str">
        <f>TEXT(B544, "mmmm")</f>
        <v>September</v>
      </c>
      <c r="AH544" s="4">
        <f>YEAR(B544)</f>
        <v>2024</v>
      </c>
      <c r="AI544" s="2" t="str">
        <f t="shared" si="22"/>
        <v>Excluded from Sales</v>
      </c>
      <c r="AJ544">
        <f>COUNTIFS($A$2:$A$1000,A544,$B$2:$B$1000,B544,$C$2:$C$1000,C544,$D$2:$D$1000,D544,$E$2:$E$1000,E544,$F$2:$F$1000,F544)</f>
        <v>1</v>
      </c>
      <c r="AK544">
        <f>COUNTIF($A$2:$A$1000, A544)</f>
        <v>1</v>
      </c>
    </row>
    <row r="545" spans="1:37">
      <c r="A545" t="s">
        <v>1726</v>
      </c>
      <c r="B545" s="5">
        <v>45487</v>
      </c>
      <c r="C545" s="5">
        <v>45493</v>
      </c>
      <c r="D545" s="6">
        <f>IF(AND(C545&lt;&gt;"",B545&lt;&gt;""), C545-B545, "Missing Date")</f>
        <v>6</v>
      </c>
      <c r="E545" s="6" t="str">
        <f>IF(OR(B545="",C545=""), "Missing Date",
    IF(C545&lt;B545, "Invalid: Ship before Order",
      "OK"))</f>
        <v>OK</v>
      </c>
      <c r="F545" t="s">
        <v>1727</v>
      </c>
      <c r="G545" t="s">
        <v>36</v>
      </c>
      <c r="H545" t="s">
        <v>24</v>
      </c>
      <c r="I545" t="s">
        <v>38</v>
      </c>
      <c r="J545" t="s">
        <v>145</v>
      </c>
      <c r="K545" t="s">
        <v>146</v>
      </c>
      <c r="L545" t="s">
        <v>74</v>
      </c>
      <c r="M545" t="s">
        <v>80</v>
      </c>
      <c r="N545" t="s">
        <v>1728</v>
      </c>
      <c r="O545" t="s">
        <v>44</v>
      </c>
      <c r="P545">
        <v>1</v>
      </c>
      <c r="Q545">
        <v>492.67</v>
      </c>
      <c r="R545">
        <v>0.15</v>
      </c>
      <c r="S545">
        <v>418.77</v>
      </c>
      <c r="T545">
        <v>313.72000000000003</v>
      </c>
      <c r="U545">
        <v>105.05</v>
      </c>
      <c r="V545" t="s">
        <v>32</v>
      </c>
      <c r="W545" t="s">
        <v>33</v>
      </c>
      <c r="X545" t="str">
        <f>_xlfn.TEXTJOIN("|", TRUE, A545:W545)</f>
        <v>ORD-2024-10544|45487|45493|6|OK|CUST-9094|Mira Das|Consumer|East|Bihar|Patna|Technology|Copiers|Max Copiers 440|Same Day|1|492.67|0.15|418.77|313.72|105.05|Paid|Completed</v>
      </c>
      <c r="Y545">
        <f>COUNTIF($X$2:$X$1000, X545)</f>
        <v>1</v>
      </c>
      <c r="Z545">
        <f>COUNTIF($A$2:$A$1000, A545)</f>
        <v>1</v>
      </c>
      <c r="AA545" t="str">
        <f>IF(Y545&gt;1, "Exact Duplicate",
  IF(Z545&gt;1, "Conflicting Duplicate - Review",
    "Unique"))</f>
        <v>Unique</v>
      </c>
      <c r="AB545" s="2">
        <f>IF(ISBLANK(R545), 0, IF(ISTEXT(R545), VALUE(SUBSTITUTE(R545, "%", ""))/100, IF(OR(R545&lt;0, R545&gt;1), "Invalid", R545)))</f>
        <v>0.15</v>
      </c>
      <c r="AC545" s="4">
        <f>IF(AB545="Invalid", "Error", P545 * Q545 * (1 - AB545))</f>
        <v>418.76949999999999</v>
      </c>
      <c r="AD545" s="4">
        <f>IF(AC545="Error", "Error", AC545 - T545)</f>
        <v>105.04949999999997</v>
      </c>
      <c r="AE545" s="2">
        <f>IF(AC545="Error", "Error", IF(AC545=0, 0, AD545 / AC545))</f>
        <v>0.25085279610859906</v>
      </c>
      <c r="AF545" s="7">
        <f>C545-B545</f>
        <v>6</v>
      </c>
      <c r="AG545" s="2" t="str">
        <f>TEXT(B545, "mmmm")</f>
        <v>July</v>
      </c>
      <c r="AH545" s="4">
        <f>YEAR(B545)</f>
        <v>2024</v>
      </c>
      <c r="AI545" s="2" t="str">
        <f t="shared" si="22"/>
        <v>Clean</v>
      </c>
      <c r="AJ545">
        <f>COUNTIFS($A$2:$A$1000,A545,$B$2:$B$1000,B545,$C$2:$C$1000,C545,$D$2:$D$1000,D545,$E$2:$E$1000,E545,$F$2:$F$1000,F545)</f>
        <v>1</v>
      </c>
      <c r="AK545">
        <f>COUNTIF($A$2:$A$1000, A545)</f>
        <v>1</v>
      </c>
    </row>
    <row r="546" spans="1:37">
      <c r="A546" t="s">
        <v>1729</v>
      </c>
      <c r="B546" s="5">
        <v>45686</v>
      </c>
      <c r="C546" s="5">
        <v>45779</v>
      </c>
      <c r="D546" s="6">
        <f>IF(AND(C546&lt;&gt;"",B546&lt;&gt;""), C546-B546, "Missing Date")</f>
        <v>93</v>
      </c>
      <c r="E546" s="6" t="str">
        <f>IF(OR(B546="",C546=""), "Missing Date",
    IF(C546&lt;B546, "Invalid: Ship before Order",
      "OK"))</f>
        <v>OK</v>
      </c>
      <c r="F546" t="s">
        <v>1730</v>
      </c>
      <c r="G546" t="s">
        <v>62</v>
      </c>
      <c r="H546" t="s">
        <v>24</v>
      </c>
      <c r="I546" t="s">
        <v>54</v>
      </c>
      <c r="J546" t="s">
        <v>185</v>
      </c>
      <c r="K546" t="s">
        <v>186</v>
      </c>
      <c r="L546" t="s">
        <v>28</v>
      </c>
      <c r="M546" t="s">
        <v>48</v>
      </c>
      <c r="N546" t="s">
        <v>1731</v>
      </c>
      <c r="O546" t="s">
        <v>44</v>
      </c>
      <c r="P546">
        <v>8</v>
      </c>
      <c r="Q546">
        <v>3643.62</v>
      </c>
      <c r="R546">
        <v>0.25</v>
      </c>
      <c r="S546">
        <v>21861.72</v>
      </c>
      <c r="T546">
        <v>18464.34</v>
      </c>
      <c r="U546">
        <v>3397.38</v>
      </c>
      <c r="V546" t="s">
        <v>32</v>
      </c>
      <c r="W546" t="s">
        <v>68</v>
      </c>
      <c r="X546" t="str">
        <f>_xlfn.TEXTJOIN("|", TRUE, A546:W546)</f>
        <v>ORD-2025-10545|45686|45779|93|OK|CUST-2366|Ananya Rao|Consumer|South|Kerala|Kochi|Office Supplies|Art|Smart Art 201|Same Day|8|3643.62|0.25|21861.72|18464.34|3397.38|Paid|Cancelled</v>
      </c>
      <c r="Y546">
        <f>COUNTIF($X$2:$X$1000, X546)</f>
        <v>1</v>
      </c>
      <c r="Z546">
        <f>COUNTIF($A$2:$A$1000, A546)</f>
        <v>1</v>
      </c>
      <c r="AA546" t="str">
        <f>IF(Y546&gt;1, "Exact Duplicate",
  IF(Z546&gt;1, "Conflicting Duplicate - Review",
    "Unique"))</f>
        <v>Unique</v>
      </c>
      <c r="AB546" s="2">
        <f>IF(ISBLANK(R546), 0, IF(ISTEXT(R546), VALUE(SUBSTITUTE(R546, "%", ""))/100, IF(OR(R546&lt;0, R546&gt;1), "Invalid", R546)))</f>
        <v>0.25</v>
      </c>
      <c r="AC546" s="4">
        <f>IF(AB546="Invalid", "Error", P546 * Q546 * (1 - AB546))</f>
        <v>21861.72</v>
      </c>
      <c r="AD546" s="4">
        <f>IF(AC546="Error", "Error", AC546 - T546)</f>
        <v>3397.380000000001</v>
      </c>
      <c r="AE546" s="2">
        <f>IF(AC546="Error", "Error", IF(AC546=0, 0, AD546 / AC546))</f>
        <v>0.1554031430280875</v>
      </c>
      <c r="AF546" s="7">
        <f>C546-B546</f>
        <v>93</v>
      </c>
      <c r="AG546" s="2" t="str">
        <f>TEXT(B546, "mmmm")</f>
        <v>January</v>
      </c>
      <c r="AH546" s="4">
        <f>YEAR(B546)</f>
        <v>2025</v>
      </c>
      <c r="AI546" s="2" t="str">
        <f t="shared" si="22"/>
        <v>Excluded from Sales</v>
      </c>
      <c r="AJ546">
        <f>COUNTIFS($A$2:$A$1000,A546,$B$2:$B$1000,B546,$C$2:$C$1000,C546,$D$2:$D$1000,D546,$E$2:$E$1000,E546,$F$2:$F$1000,F546)</f>
        <v>1</v>
      </c>
      <c r="AK546">
        <f>COUNTIF($A$2:$A$1000, A546)</f>
        <v>1</v>
      </c>
    </row>
    <row r="547" spans="1:37">
      <c r="A547" t="s">
        <v>1732</v>
      </c>
      <c r="B547" s="5">
        <v>45439</v>
      </c>
      <c r="C547" s="5">
        <v>45442</v>
      </c>
      <c r="D547" s="6">
        <f>IF(AND(C547&lt;&gt;"",B547&lt;&gt;""), C547-B547, "Missing Date")</f>
        <v>3</v>
      </c>
      <c r="E547" s="6" t="str">
        <f>IF(OR(B547="",C547=""), "Missing Date",
    IF(C547&lt;B547, "Invalid: Ship before Order",
      "OK"))</f>
        <v>OK</v>
      </c>
      <c r="F547" t="s">
        <v>1733</v>
      </c>
      <c r="G547" t="s">
        <v>264</v>
      </c>
      <c r="H547" t="s">
        <v>37</v>
      </c>
      <c r="I547" t="s">
        <v>38</v>
      </c>
      <c r="J547" t="s">
        <v>228</v>
      </c>
      <c r="K547" t="s">
        <v>229</v>
      </c>
      <c r="L547" t="s">
        <v>28</v>
      </c>
      <c r="M547" t="s">
        <v>124</v>
      </c>
      <c r="N547" t="s">
        <v>1734</v>
      </c>
      <c r="O547" t="s">
        <v>44</v>
      </c>
      <c r="P547">
        <v>7</v>
      </c>
      <c r="Q547">
        <v>2900.86</v>
      </c>
      <c r="R547">
        <v>0.15</v>
      </c>
      <c r="S547">
        <v>17260.12</v>
      </c>
      <c r="T547">
        <v>13513.51</v>
      </c>
      <c r="U547">
        <v>3746.61</v>
      </c>
      <c r="V547" t="s">
        <v>32</v>
      </c>
      <c r="W547" t="s">
        <v>33</v>
      </c>
      <c r="X547" t="str">
        <f>_xlfn.TEXTJOIN("|", TRUE, A547:W547)</f>
        <v>ORD-2024-10546|45439|45442|3|OK|CUST-7168|Kabir Singh|Small Business|East|Jharkhand|Ranchi|Office Supplies|Storage|Classic Storage 755|Same Day|7|2900.86|0.15|17260.12|13513.51|3746.61|Paid|Completed</v>
      </c>
      <c r="Y547">
        <f>COUNTIF($X$2:$X$1000, X547)</f>
        <v>1</v>
      </c>
      <c r="Z547">
        <f>COUNTIF($A$2:$A$1000, A547)</f>
        <v>1</v>
      </c>
      <c r="AA547" t="str">
        <f>IF(Y547&gt;1, "Exact Duplicate",
  IF(Z547&gt;1, "Conflicting Duplicate - Review",
    "Unique"))</f>
        <v>Unique</v>
      </c>
      <c r="AB547" s="2">
        <f>IF(ISBLANK(R547), 0, IF(ISTEXT(R547), VALUE(SUBSTITUTE(R547, "%", ""))/100, IF(OR(R547&lt;0, R547&gt;1), "Invalid", R547)))</f>
        <v>0.15</v>
      </c>
      <c r="AC547" s="4">
        <f>IF(AB547="Invalid", "Error", P547 * Q547 * (1 - AB547))</f>
        <v>17260.116999999998</v>
      </c>
      <c r="AD547" s="4">
        <f>IF(AC547="Error", "Error", AC547 - T547)</f>
        <v>3746.6069999999982</v>
      </c>
      <c r="AE547" s="2">
        <f>IF(AC547="Error", "Error", IF(AC547=0, 0, AD547 / AC547))</f>
        <v>0.21706730029697935</v>
      </c>
      <c r="AF547" s="7">
        <f>C547-B547</f>
        <v>3</v>
      </c>
      <c r="AG547" s="2" t="str">
        <f>TEXT(B547, "mmmm")</f>
        <v>May</v>
      </c>
      <c r="AH547" s="4">
        <f>YEAR(B547)</f>
        <v>2024</v>
      </c>
      <c r="AI547" s="2" t="str">
        <f t="shared" si="22"/>
        <v>Clean</v>
      </c>
      <c r="AJ547">
        <f>COUNTIFS($A$2:$A$1000,A547,$B$2:$B$1000,B547,$C$2:$C$1000,C547,$D$2:$D$1000,D547,$E$2:$E$1000,E547,$F$2:$F$1000,F547)</f>
        <v>1</v>
      </c>
      <c r="AK547">
        <f>COUNTIF($A$2:$A$1000, A547)</f>
        <v>1</v>
      </c>
    </row>
    <row r="548" spans="1:37">
      <c r="A548" t="s">
        <v>1735</v>
      </c>
      <c r="B548" s="5">
        <v>45883</v>
      </c>
      <c r="C548" s="5">
        <v>45891</v>
      </c>
      <c r="D548" s="6">
        <f>IF(AND(C548&lt;&gt;"",B548&lt;&gt;""), C548-B548, "Missing Date")</f>
        <v>8</v>
      </c>
      <c r="E548" s="6" t="str">
        <f>IF(OR(B548="",C548=""), "Missing Date",
    IF(C548&lt;B548, "Invalid: Ship before Order",
      "OK"))</f>
        <v>OK</v>
      </c>
      <c r="F548" t="s">
        <v>1736</v>
      </c>
      <c r="G548" t="s">
        <v>53</v>
      </c>
      <c r="H548" t="s">
        <v>90</v>
      </c>
      <c r="I548" t="s">
        <v>63</v>
      </c>
      <c r="J548" t="s">
        <v>180</v>
      </c>
      <c r="K548" t="s">
        <v>181</v>
      </c>
      <c r="L548" t="s">
        <v>28</v>
      </c>
      <c r="M548" t="s">
        <v>29</v>
      </c>
      <c r="N548" t="s">
        <v>1737</v>
      </c>
      <c r="O548" t="s">
        <v>50</v>
      </c>
      <c r="P548">
        <v>5</v>
      </c>
      <c r="Q548">
        <v>2567.37</v>
      </c>
      <c r="R548">
        <v>0.15</v>
      </c>
      <c r="S548">
        <v>10911.32</v>
      </c>
      <c r="T548">
        <v>6966.44</v>
      </c>
      <c r="U548">
        <v>4395.17</v>
      </c>
      <c r="V548" t="s">
        <v>32</v>
      </c>
      <c r="W548" t="s">
        <v>33</v>
      </c>
      <c r="X548" t="str">
        <f>_xlfn.TEXTJOIN("|", TRUE, A548:W548)</f>
        <v>ORD-2025-10547|45883|45891|8|OK|CUST-8157|Arjun Bose|Corporate|West|Gujarat|Ahmedabad|Office Supplies|Paper|Prime Paper 143|First Class|5|2567.37|0.15|10911.32|6966.44|4395.17|Paid|Completed</v>
      </c>
      <c r="Y548">
        <f>COUNTIF($X$2:$X$1000, X548)</f>
        <v>1</v>
      </c>
      <c r="Z548">
        <f>COUNTIF($A$2:$A$1000, A548)</f>
        <v>1</v>
      </c>
      <c r="AA548" t="str">
        <f>IF(Y548&gt;1, "Exact Duplicate",
  IF(Z548&gt;1, "Conflicting Duplicate - Review",
    "Unique"))</f>
        <v>Unique</v>
      </c>
      <c r="AB548" s="2">
        <f>IF(ISBLANK(R548), 0, IF(ISTEXT(R548), VALUE(SUBSTITUTE(R548, "%", ""))/100, IF(OR(R548&lt;0, R548&gt;1), "Invalid", R548)))</f>
        <v>0.15</v>
      </c>
      <c r="AC548" s="4">
        <f>IF(AB548="Invalid", "Error", P548 * Q548 * (1 - AB548))</f>
        <v>10911.322499999998</v>
      </c>
      <c r="AD548" s="4">
        <f>IF(AC548="Error", "Error", AC548 - T548)</f>
        <v>3944.8824999999988</v>
      </c>
      <c r="AE548" s="2">
        <f>IF(AC548="Error", "Error", IF(AC548=0, 0, AD548 / AC548))</f>
        <v>0.36154027158486052</v>
      </c>
      <c r="AF548" s="7">
        <f>C548-B548</f>
        <v>8</v>
      </c>
      <c r="AG548" s="2" t="str">
        <f>TEXT(B548, "mmmm")</f>
        <v>August</v>
      </c>
      <c r="AH548" s="4">
        <f>YEAR(B548)</f>
        <v>2025</v>
      </c>
      <c r="AI548" s="2" t="str">
        <f t="shared" si="22"/>
        <v>Clean</v>
      </c>
      <c r="AJ548">
        <f>COUNTIFS($A$2:$A$1000,A548,$B$2:$B$1000,B548,$C$2:$C$1000,C548,$D$2:$D$1000,D548,$E$2:$E$1000,E548,$F$2:$F$1000,F548)</f>
        <v>1</v>
      </c>
      <c r="AK548">
        <f>COUNTIF($A$2:$A$1000, A548)</f>
        <v>1</v>
      </c>
    </row>
    <row r="549" spans="1:37">
      <c r="A549" t="s">
        <v>1738</v>
      </c>
      <c r="B549" s="5">
        <v>45428</v>
      </c>
      <c r="C549" s="5">
        <v>45435</v>
      </c>
      <c r="D549" s="6">
        <f>IF(AND(C549&lt;&gt;"",B549&lt;&gt;""), C549-B549, "Missing Date")</f>
        <v>7</v>
      </c>
      <c r="E549" s="6" t="str">
        <f>IF(OR(B549="",C549=""), "Missing Date",
    IF(C549&lt;B549, "Invalid: Ship before Order",
      "OK"))</f>
        <v>OK</v>
      </c>
      <c r="F549" t="s">
        <v>1739</v>
      </c>
      <c r="G549" t="s">
        <v>79</v>
      </c>
      <c r="H549" t="s">
        <v>37</v>
      </c>
      <c r="I549" t="s">
        <v>25</v>
      </c>
      <c r="J549" t="s">
        <v>136</v>
      </c>
      <c r="K549" t="s">
        <v>137</v>
      </c>
      <c r="L549" t="s">
        <v>74</v>
      </c>
      <c r="M549" t="s">
        <v>80</v>
      </c>
      <c r="N549" t="s">
        <v>1740</v>
      </c>
      <c r="O549" t="s">
        <v>59</v>
      </c>
      <c r="P549">
        <v>9</v>
      </c>
      <c r="Q549">
        <v>3722.09</v>
      </c>
      <c r="R549">
        <v>0.1</v>
      </c>
      <c r="S549">
        <v>30148.93</v>
      </c>
      <c r="T549">
        <v>25155.07</v>
      </c>
      <c r="U549">
        <v>4993.8599999999997</v>
      </c>
      <c r="V549" t="s">
        <v>32</v>
      </c>
      <c r="W549" t="s">
        <v>33</v>
      </c>
      <c r="X549" t="str">
        <f>_xlfn.TEXTJOIN("|", TRUE, A549:W549)</f>
        <v>ORD-2024-10548|45428|45435|7|OK|CUST-9146|Neha Gupta|Small Business|North|Uttar Pradesh|Noida|Technology|Copiers|Max Copiers 607|Standard Class|9|3722.09|0.1|30148.93|25155.07|4993.86|Paid|Completed</v>
      </c>
      <c r="Y549">
        <f>COUNTIF($X$2:$X$1000, X549)</f>
        <v>1</v>
      </c>
      <c r="Z549">
        <f>COUNTIF($A$2:$A$1000, A549)</f>
        <v>1</v>
      </c>
      <c r="AA549" t="str">
        <f>IF(Y549&gt;1, "Exact Duplicate",
  IF(Z549&gt;1, "Conflicting Duplicate - Review",
    "Unique"))</f>
        <v>Unique</v>
      </c>
      <c r="AB549" s="2">
        <f>IF(ISBLANK(R549), 0, IF(ISTEXT(R549), VALUE(SUBSTITUTE(R549, "%", ""))/100, IF(OR(R549&lt;0, R549&gt;1), "Invalid", R549)))</f>
        <v>0.1</v>
      </c>
      <c r="AC549" s="4">
        <f>IF(AB549="Invalid", "Error", P549 * Q549 * (1 - AB549))</f>
        <v>30148.929</v>
      </c>
      <c r="AD549" s="4">
        <f>IF(AC549="Error", "Error", AC549 - T549)</f>
        <v>4993.8590000000004</v>
      </c>
      <c r="AE549" s="2">
        <f>IF(AC549="Error", "Error", IF(AC549=0, 0, AD549 / AC549))</f>
        <v>0.16563968159532302</v>
      </c>
      <c r="AF549" s="7">
        <f>C549-B549</f>
        <v>7</v>
      </c>
      <c r="AG549" s="2" t="str">
        <f>TEXT(B549, "mmmm")</f>
        <v>May</v>
      </c>
      <c r="AH549" s="4">
        <f>YEAR(B549)</f>
        <v>2024</v>
      </c>
      <c r="AI549" s="2" t="str">
        <f t="shared" si="22"/>
        <v>Clean</v>
      </c>
      <c r="AJ549">
        <f>COUNTIFS($A$2:$A$1000,A549,$B$2:$B$1000,B549,$C$2:$C$1000,C549,$D$2:$D$1000,D549,$E$2:$E$1000,E549,$F$2:$F$1000,F549)</f>
        <v>1</v>
      </c>
      <c r="AK549">
        <f>COUNTIF($A$2:$A$1000, A549)</f>
        <v>1</v>
      </c>
    </row>
    <row r="550" spans="1:37">
      <c r="A550" t="s">
        <v>1741</v>
      </c>
      <c r="B550" s="5">
        <v>45441</v>
      </c>
      <c r="C550" s="5">
        <v>45441</v>
      </c>
      <c r="D550" s="6">
        <f>IF(AND(C550&lt;&gt;"",B550&lt;&gt;""), C550-B550, "Missing Date")</f>
        <v>0</v>
      </c>
      <c r="E550" s="6" t="str">
        <f>IF(OR(B550="",C550=""), "Missing Date",
    IF(C550&lt;B550, "Invalid: Ship before Order",
      "OK"))</f>
        <v>OK</v>
      </c>
      <c r="F550" t="s">
        <v>1742</v>
      </c>
      <c r="G550" t="s">
        <v>141</v>
      </c>
      <c r="H550" t="s">
        <v>90</v>
      </c>
      <c r="I550" t="s">
        <v>38</v>
      </c>
      <c r="J550" t="s">
        <v>145</v>
      </c>
      <c r="K550" t="s">
        <v>146</v>
      </c>
      <c r="L550" t="s">
        <v>41</v>
      </c>
      <c r="M550" t="s">
        <v>158</v>
      </c>
      <c r="N550" t="s">
        <v>1743</v>
      </c>
      <c r="O550" t="s">
        <v>44</v>
      </c>
      <c r="P550">
        <v>1</v>
      </c>
      <c r="Q550">
        <v>1072.01</v>
      </c>
      <c r="R550">
        <v>0</v>
      </c>
      <c r="S550">
        <v>1072.01</v>
      </c>
      <c r="T550">
        <v>852.62</v>
      </c>
      <c r="U550">
        <v>219.39</v>
      </c>
      <c r="V550" t="s">
        <v>111</v>
      </c>
      <c r="W550" t="s">
        <v>68</v>
      </c>
      <c r="X550" t="str">
        <f>_xlfn.TEXTJOIN("|", TRUE, A550:W550)</f>
        <v>ORD-2024-10549|45441|45441|0|OK|CUST-5129|Rohan Mehta|Corporate|East|Bihar|Patna|Furniture|Bookcases|Prime Bookcases 402|Same Day|1|1072.01|0|1072.01|852.62|219.39|Pending|Cancelled</v>
      </c>
      <c r="Y550">
        <f>COUNTIF($X$2:$X$1000, X550)</f>
        <v>1</v>
      </c>
      <c r="Z550">
        <f>COUNTIF($A$2:$A$1000, A550)</f>
        <v>1</v>
      </c>
      <c r="AA550" t="str">
        <f>IF(Y550&gt;1, "Exact Duplicate",
  IF(Z550&gt;1, "Conflicting Duplicate - Review",
    "Unique"))</f>
        <v>Unique</v>
      </c>
      <c r="AB550" s="2">
        <f>IF(ISBLANK(R550), 0, IF(ISTEXT(R550), VALUE(SUBSTITUTE(R550, "%", ""))/100, IF(OR(R550&lt;0, R550&gt;1), "Invalid", R550)))</f>
        <v>0</v>
      </c>
      <c r="AC550" s="4">
        <f>IF(AB550="Invalid", "Error", P550 * Q550 * (1 - AB550))</f>
        <v>1072.01</v>
      </c>
      <c r="AD550" s="4">
        <f>IF(AC550="Error", "Error", AC550 - T550)</f>
        <v>219.39</v>
      </c>
      <c r="AE550" s="2">
        <f>IF(AC550="Error", "Error", IF(AC550=0, 0, AD550 / AC550))</f>
        <v>0.20465294167032022</v>
      </c>
      <c r="AF550" s="7">
        <f>C550-B550</f>
        <v>0</v>
      </c>
      <c r="AG550" s="2" t="str">
        <f>TEXT(B550, "mmmm")</f>
        <v>May</v>
      </c>
      <c r="AH550" s="4">
        <f>YEAR(B550)</f>
        <v>2024</v>
      </c>
      <c r="AI550" s="2" t="str">
        <f t="shared" si="22"/>
        <v>Excluded from Sales</v>
      </c>
      <c r="AJ550">
        <f>COUNTIFS($A$2:$A$1000,A550,$B$2:$B$1000,B550,$C$2:$C$1000,C550,$D$2:$D$1000,D550,$E$2:$E$1000,E550,$F$2:$F$1000,F550)</f>
        <v>1</v>
      </c>
      <c r="AK550">
        <f>COUNTIF($A$2:$A$1000, A550)</f>
        <v>1</v>
      </c>
    </row>
    <row r="551" spans="1:37">
      <c r="A551" t="s">
        <v>1744</v>
      </c>
      <c r="B551" s="5">
        <v>45971</v>
      </c>
      <c r="C551" s="5">
        <v>45943</v>
      </c>
      <c r="D551" s="6">
        <f>IF(AND(C551&lt;&gt;"",B551&lt;&gt;""), C551-B551, "Missing Date")</f>
        <v>-28</v>
      </c>
      <c r="E551" s="6" t="str">
        <f>IF(OR(B551="",C551=""), "Missing Date",
    IF(C551&lt;B551, "Invalid: Ship before Order",
      "OK"))</f>
        <v>Invalid: Ship before Order</v>
      </c>
      <c r="F551" t="s">
        <v>1745</v>
      </c>
      <c r="G551" t="s">
        <v>36</v>
      </c>
      <c r="H551" t="s">
        <v>90</v>
      </c>
      <c r="I551" t="s">
        <v>54</v>
      </c>
      <c r="J551" t="s">
        <v>55</v>
      </c>
      <c r="K551" t="s">
        <v>56</v>
      </c>
      <c r="L551" t="s">
        <v>28</v>
      </c>
      <c r="M551" t="s">
        <v>48</v>
      </c>
      <c r="N551" t="s">
        <v>1746</v>
      </c>
      <c r="O551" t="s">
        <v>31</v>
      </c>
      <c r="P551">
        <v>3</v>
      </c>
      <c r="Q551">
        <v>3804.27</v>
      </c>
      <c r="R551">
        <v>0.1</v>
      </c>
      <c r="S551">
        <v>10271.530000000001</v>
      </c>
      <c r="T551">
        <v>8272.24</v>
      </c>
      <c r="U551">
        <v>1999.29</v>
      </c>
      <c r="V551" t="s">
        <v>32</v>
      </c>
      <c r="W551" t="s">
        <v>33</v>
      </c>
      <c r="X551" t="str">
        <f>_xlfn.TEXTJOIN("|", TRUE, A551:W551)</f>
        <v>ORD-2025-10550|45971|45943|-28|Invalid: Ship before Order|CUST-6028|Mira Das|Corporate|South|Telangana|Hyderabad|Office Supplies|Art|Pro Art 287|Second Class|3|3804.27|0.1|10271.53|8272.24|1999.29|Paid|Completed</v>
      </c>
      <c r="Y551">
        <f>COUNTIF($X$2:$X$1000, X551)</f>
        <v>1</v>
      </c>
      <c r="Z551">
        <f>COUNTIF($A$2:$A$1000, A551)</f>
        <v>2</v>
      </c>
      <c r="AA551" t="str">
        <f>IF(Y551&gt;1, "Exact Duplicate",
  IF(Z551&gt;1, "Conflicting Duplicate - Review",
    "Unique"))</f>
        <v>Conflicting Duplicate - Review</v>
      </c>
      <c r="AB551" s="2">
        <f>IF(ISBLANK(R551), 0, IF(ISTEXT(R551), VALUE(SUBSTITUTE(R551, "%", ""))/100, IF(OR(R551&lt;0, R551&gt;1), "Invalid", R551)))</f>
        <v>0.1</v>
      </c>
      <c r="AC551" s="4">
        <f>IF(AB551="Invalid", "Error", P551 * Q551 * (1 - AB551))</f>
        <v>10271.529</v>
      </c>
      <c r="AD551" s="4">
        <f>IF(AC551="Error", "Error", AC551 - T551)</f>
        <v>1999.2890000000007</v>
      </c>
      <c r="AE551" s="2">
        <f>IF(AC551="Error", "Error", IF(AC551=0, 0, AD551 / AC551))</f>
        <v>0.19464375751652949</v>
      </c>
      <c r="AF551" s="7">
        <f>C551-B551</f>
        <v>-28</v>
      </c>
      <c r="AG551" s="2" t="str">
        <f>TEXT(B551, "mmmm")</f>
        <v>November</v>
      </c>
      <c r="AH551" s="4">
        <f>YEAR(B551)</f>
        <v>2025</v>
      </c>
      <c r="AI551" s="2" t="str">
        <f t="shared" si="22"/>
        <v>Invalid Shipping Record</v>
      </c>
      <c r="AJ551">
        <f>COUNTIFS($A$2:$A$1000,A551,$B$2:$B$1000,B551,$C$2:$C$1000,C551,$D$2:$D$1000,D551,$E$2:$E$1000,E551,$F$2:$F$1000,F551)</f>
        <v>2</v>
      </c>
      <c r="AK551">
        <f>COUNTIF($A$2:$A$1000, A551)</f>
        <v>2</v>
      </c>
    </row>
    <row r="552" spans="1:37">
      <c r="A552" t="s">
        <v>1747</v>
      </c>
      <c r="B552" s="5">
        <v>45506</v>
      </c>
      <c r="C552" s="5">
        <v>45573</v>
      </c>
      <c r="D552" s="6">
        <f>IF(AND(C552&lt;&gt;"",B552&lt;&gt;""), C552-B552, "Missing Date")</f>
        <v>67</v>
      </c>
      <c r="E552" s="6" t="str">
        <f>IF(OR(B552="",C552=""), "Missing Date",
    IF(C552&lt;B552, "Invalid: Ship before Order",
      "OK"))</f>
        <v>OK</v>
      </c>
      <c r="F552" t="s">
        <v>1748</v>
      </c>
      <c r="G552" t="s">
        <v>36</v>
      </c>
      <c r="H552" t="s">
        <v>95</v>
      </c>
      <c r="I552" t="s">
        <v>38</v>
      </c>
      <c r="J552" t="s">
        <v>39</v>
      </c>
      <c r="K552" t="s">
        <v>40</v>
      </c>
      <c r="L552" t="s">
        <v>74</v>
      </c>
      <c r="M552" t="s">
        <v>75</v>
      </c>
      <c r="N552" t="s">
        <v>1749</v>
      </c>
      <c r="O552" t="s">
        <v>59</v>
      </c>
      <c r="P552">
        <v>6</v>
      </c>
      <c r="Q552">
        <v>2126.44</v>
      </c>
      <c r="R552">
        <v>0.2</v>
      </c>
      <c r="S552">
        <v>10206.91</v>
      </c>
      <c r="T552">
        <v>6764.53</v>
      </c>
      <c r="U552">
        <v>3442.38</v>
      </c>
      <c r="V552" t="s">
        <v>32</v>
      </c>
      <c r="W552" t="s">
        <v>33</v>
      </c>
      <c r="X552" t="str">
        <f>_xlfn.TEXTJOIN("|", TRUE, A552:W552)</f>
        <v>ORD-2024-10551|45506|45573|67|OK|CUST-8687|Mira Das|Home Office|East|Odisha|Bhubaneswar|Technology|Accessories|Max Accessories 591|Standard Class|6|2126.44|0.2|10206.91|6764.53|3442.38|Paid|Completed</v>
      </c>
      <c r="Y552">
        <f>COUNTIF($X$2:$X$1000, X552)</f>
        <v>1</v>
      </c>
      <c r="Z552">
        <f>COUNTIF($A$2:$A$1000, A552)</f>
        <v>1</v>
      </c>
      <c r="AA552" t="str">
        <f>IF(Y552&gt;1, "Exact Duplicate",
  IF(Z552&gt;1, "Conflicting Duplicate - Review",
    "Unique"))</f>
        <v>Unique</v>
      </c>
      <c r="AB552" s="2">
        <f>IF(ISBLANK(R552), 0, IF(ISTEXT(R552), VALUE(SUBSTITUTE(R552, "%", ""))/100, IF(OR(R552&lt;0, R552&gt;1), "Invalid", R552)))</f>
        <v>0.2</v>
      </c>
      <c r="AC552" s="4">
        <f>IF(AB552="Invalid", "Error", P552 * Q552 * (1 - AB552))</f>
        <v>10206.912</v>
      </c>
      <c r="AD552" s="4">
        <f>IF(AC552="Error", "Error", AC552 - T552)</f>
        <v>3442.3820000000005</v>
      </c>
      <c r="AE552" s="2">
        <f>IF(AC552="Error", "Error", IF(AC552=0, 0, AD552 / AC552))</f>
        <v>0.33725988820125036</v>
      </c>
      <c r="AF552" s="7">
        <f>C552-B552</f>
        <v>67</v>
      </c>
      <c r="AG552" s="2" t="str">
        <f>TEXT(B552, "mmmm")</f>
        <v>August</v>
      </c>
      <c r="AH552" s="4">
        <f>YEAR(B552)</f>
        <v>2024</v>
      </c>
      <c r="AI552" s="2" t="str">
        <f t="shared" si="22"/>
        <v>Clean</v>
      </c>
      <c r="AJ552">
        <f>COUNTIFS($A$2:$A$1000,A552,$B$2:$B$1000,B552,$C$2:$C$1000,C552,$D$2:$D$1000,D552,$E$2:$E$1000,E552,$F$2:$F$1000,F552)</f>
        <v>1</v>
      </c>
      <c r="AK552">
        <f>COUNTIF($A$2:$A$1000, A552)</f>
        <v>1</v>
      </c>
    </row>
    <row r="553" spans="1:37">
      <c r="A553" t="s">
        <v>1750</v>
      </c>
      <c r="B553" s="5">
        <v>45349</v>
      </c>
      <c r="C553" s="5">
        <v>45349</v>
      </c>
      <c r="D553" s="6">
        <f>IF(AND(C553&lt;&gt;"",B553&lt;&gt;""), C553-B553, "Missing Date")</f>
        <v>0</v>
      </c>
      <c r="E553" s="6" t="str">
        <f>IF(OR(B553="",C553=""), "Missing Date",
    IF(C553&lt;B553, "Invalid: Ship before Order",
      "OK"))</f>
        <v>OK</v>
      </c>
      <c r="F553" t="s">
        <v>1751</v>
      </c>
      <c r="G553" t="s">
        <v>132</v>
      </c>
      <c r="H553" t="s">
        <v>24</v>
      </c>
      <c r="I553" t="s">
        <v>38</v>
      </c>
      <c r="J553" t="s">
        <v>228</v>
      </c>
      <c r="K553" t="s">
        <v>229</v>
      </c>
      <c r="L553" t="s">
        <v>41</v>
      </c>
      <c r="M553" t="s">
        <v>66</v>
      </c>
      <c r="N553" t="s">
        <v>1752</v>
      </c>
      <c r="O553" t="s">
        <v>31</v>
      </c>
      <c r="P553">
        <v>3</v>
      </c>
      <c r="Q553">
        <v>3148.09</v>
      </c>
      <c r="R553">
        <v>0.15</v>
      </c>
      <c r="S553">
        <v>8027.63</v>
      </c>
      <c r="T553">
        <v>5496.09</v>
      </c>
      <c r="U553">
        <v>2531.54</v>
      </c>
      <c r="V553" t="s">
        <v>32</v>
      </c>
      <c r="W553" t="s">
        <v>33</v>
      </c>
      <c r="X553" t="str">
        <f>_xlfn.TEXTJOIN("|", TRUE, A553:W553)</f>
        <v>ORD-2024-10552|45349|45349|0|OK|CUST-8172|Sneha Kapoor|Consumer|East|Jharkhand|Ranchi|Furniture|Chairs|Elite Chairs 314|Second Class|3|3148.09|0.15|8027.63|5496.09|2531.54|Paid|Completed</v>
      </c>
      <c r="Y553">
        <f>COUNTIF($X$2:$X$1000, X553)</f>
        <v>1</v>
      </c>
      <c r="Z553">
        <f>COUNTIF($A$2:$A$1000, A553)</f>
        <v>1</v>
      </c>
      <c r="AA553" t="str">
        <f>IF(Y553&gt;1, "Exact Duplicate",
  IF(Z553&gt;1, "Conflicting Duplicate - Review",
    "Unique"))</f>
        <v>Unique</v>
      </c>
      <c r="AB553" s="2">
        <f>IF(ISBLANK(R553), 0, IF(ISTEXT(R553), VALUE(SUBSTITUTE(R553, "%", ""))/100, IF(OR(R553&lt;0, R553&gt;1), "Invalid", R553)))</f>
        <v>0.15</v>
      </c>
      <c r="AC553" s="4">
        <f>IF(AB553="Invalid", "Error", P553 * Q553 * (1 - AB553))</f>
        <v>8027.6295</v>
      </c>
      <c r="AD553" s="4">
        <f>IF(AC553="Error", "Error", AC553 - T553)</f>
        <v>2531.5394999999999</v>
      </c>
      <c r="AE553" s="2">
        <f>IF(AC553="Error", "Error", IF(AC553=0, 0, AD553 / AC553))</f>
        <v>0.31535330572991688</v>
      </c>
      <c r="AF553" s="7">
        <f>C553-B553</f>
        <v>0</v>
      </c>
      <c r="AG553" s="2" t="str">
        <f>TEXT(B553, "mmmm")</f>
        <v>February</v>
      </c>
      <c r="AH553" s="4">
        <f>YEAR(B553)</f>
        <v>2024</v>
      </c>
      <c r="AI553" s="2" t="str">
        <f t="shared" si="22"/>
        <v>Clean</v>
      </c>
      <c r="AJ553">
        <f>COUNTIFS($A$2:$A$1000,A553,$B$2:$B$1000,B553,$C$2:$C$1000,C553,$D$2:$D$1000,D553,$E$2:$E$1000,E553,$F$2:$F$1000,F553)</f>
        <v>1</v>
      </c>
      <c r="AK553">
        <f>COUNTIF($A$2:$A$1000, A553)</f>
        <v>1</v>
      </c>
    </row>
    <row r="554" spans="1:37">
      <c r="A554" t="s">
        <v>1753</v>
      </c>
      <c r="B554" s="5">
        <v>45681</v>
      </c>
      <c r="C554" s="5">
        <v>45687</v>
      </c>
      <c r="D554" s="6">
        <f>IF(AND(C554&lt;&gt;"",B554&lt;&gt;""), C554-B554, "Missing Date")</f>
        <v>6</v>
      </c>
      <c r="E554" s="6" t="str">
        <f>IF(OR(B554="",C554=""), "Missing Date",
    IF(C554&lt;B554, "Invalid: Ship before Order",
      "OK"))</f>
        <v>OK</v>
      </c>
      <c r="F554" t="s">
        <v>1754</v>
      </c>
      <c r="G554" t="s">
        <v>62</v>
      </c>
      <c r="H554" t="s">
        <v>90</v>
      </c>
      <c r="I554" t="s">
        <v>38</v>
      </c>
      <c r="J554" t="s">
        <v>99</v>
      </c>
      <c r="K554" t="s">
        <v>100</v>
      </c>
      <c r="L554" t="s">
        <v>74</v>
      </c>
      <c r="M554" t="s">
        <v>80</v>
      </c>
      <c r="N554" t="s">
        <v>1755</v>
      </c>
      <c r="O554" t="s">
        <v>59</v>
      </c>
      <c r="P554">
        <v>8</v>
      </c>
      <c r="Q554">
        <v>312.52999999999997</v>
      </c>
      <c r="R554" s="9">
        <v>0.7</v>
      </c>
      <c r="S554">
        <v>1875.18</v>
      </c>
      <c r="T554">
        <v>1579.17</v>
      </c>
      <c r="U554">
        <v>296.01</v>
      </c>
      <c r="V554" t="s">
        <v>32</v>
      </c>
      <c r="W554" t="s">
        <v>33</v>
      </c>
      <c r="X554" t="str">
        <f>_xlfn.TEXTJOIN("|", TRUE, A554:W554)</f>
        <v>ORD-2025-10553|45681|45687|6|OK|CUST-8861|Ananya Rao|Corporate|East|West Bengal|Kolkata|Technology|Copiers|Pro Copiers 246|Standard Class|8|312.53|0.7|1875.18|1579.17|296.01|Paid|Completed</v>
      </c>
      <c r="Y554">
        <f>COUNTIF($X$2:$X$1000, X554)</f>
        <v>1</v>
      </c>
      <c r="Z554">
        <f>COUNTIF($A$2:$A$1000, A554)</f>
        <v>1</v>
      </c>
      <c r="AA554" t="str">
        <f>IF(Y554&gt;1, "Exact Duplicate",
  IF(Z554&gt;1, "Conflicting Duplicate - Review",
    "Unique"))</f>
        <v>Unique</v>
      </c>
      <c r="AB554" s="2">
        <f>IF(ISBLANK(R554), 0, IF(ISTEXT(R554), VALUE(SUBSTITUTE(R554, "%", ""))/100, IF(OR(R554&lt;0, R554&gt;1), "Invalid", R554)))</f>
        <v>0.7</v>
      </c>
      <c r="AC554" s="4">
        <f>IF(AB554="Invalid", "Error", P554 * Q554 * (1 - AB554))</f>
        <v>750.072</v>
      </c>
      <c r="AD554" s="4">
        <f>IF(AC554="Error", "Error", AC554 - T554)</f>
        <v>-829.09800000000007</v>
      </c>
      <c r="AE554" s="2">
        <f>IF(AC554="Error", "Error", IF(AC554=0, 0, AD554 / AC554))</f>
        <v>-1.1053578856429784</v>
      </c>
      <c r="AF554" s="7">
        <f>C554-B554</f>
        <v>6</v>
      </c>
      <c r="AG554" s="2" t="str">
        <f>TEXT(B554, "mmmm")</f>
        <v>January</v>
      </c>
      <c r="AH554" s="4">
        <f>YEAR(B554)</f>
        <v>2025</v>
      </c>
      <c r="AI554" s="2" t="str">
        <f t="shared" si="22"/>
        <v>Clean</v>
      </c>
      <c r="AJ554">
        <f>COUNTIFS($A$2:$A$1000,A554,$B$2:$B$1000,B554,$C$2:$C$1000,C554,$D$2:$D$1000,D554,$E$2:$E$1000,E554,$F$2:$F$1000,F554)</f>
        <v>1</v>
      </c>
      <c r="AK554">
        <f>COUNTIF($A$2:$A$1000, A554)</f>
        <v>1</v>
      </c>
    </row>
    <row r="555" spans="1:37">
      <c r="A555" t="s">
        <v>1756</v>
      </c>
      <c r="B555" s="5">
        <v>45772</v>
      </c>
      <c r="C555" s="5">
        <v>45775</v>
      </c>
      <c r="D555" s="6">
        <f>IF(AND(C555&lt;&gt;"",B555&lt;&gt;""), C555-B555, "Missing Date")</f>
        <v>3</v>
      </c>
      <c r="E555" s="6" t="str">
        <f>IF(OR(B555="",C555=""), "Missing Date",
    IF(C555&lt;B555, "Invalid: Ship before Order",
      "OK"))</f>
        <v>OK</v>
      </c>
      <c r="F555" t="s">
        <v>1757</v>
      </c>
      <c r="G555" t="s">
        <v>128</v>
      </c>
      <c r="H555" t="s">
        <v>37</v>
      </c>
      <c r="I555" t="s">
        <v>63</v>
      </c>
      <c r="J555" t="s">
        <v>180</v>
      </c>
      <c r="K555" t="s">
        <v>181</v>
      </c>
      <c r="L555" t="s">
        <v>28</v>
      </c>
      <c r="M555" t="s">
        <v>124</v>
      </c>
      <c r="N555" t="s">
        <v>1758</v>
      </c>
      <c r="O555" t="s">
        <v>50</v>
      </c>
      <c r="P555">
        <v>9</v>
      </c>
      <c r="Q555">
        <v>1294.1099999999999</v>
      </c>
      <c r="R555">
        <v>0.25</v>
      </c>
      <c r="S555">
        <v>8735.24</v>
      </c>
      <c r="T555">
        <v>6620.07</v>
      </c>
      <c r="U555">
        <v>2115.17</v>
      </c>
      <c r="V555" t="s">
        <v>32</v>
      </c>
      <c r="W555" t="s">
        <v>33</v>
      </c>
      <c r="X555" t="str">
        <f>_xlfn.TEXTJOIN("|", TRUE, A555:W555)</f>
        <v>ORD-2025-10554|45772|45775|3|OK|CUST-9241|Aarav Sharma|Small Business|West|Gujarat|Ahmedabad|Office Supplies|Storage|Pro Storage 128|First Class|9|1294.11|0.25|8735.24|6620.07|2115.17|Paid|Completed</v>
      </c>
      <c r="Y555">
        <f>COUNTIF($X$2:$X$1000, X555)</f>
        <v>1</v>
      </c>
      <c r="Z555">
        <f>COUNTIF($A$2:$A$1000, A555)</f>
        <v>1</v>
      </c>
      <c r="AA555" t="str">
        <f>IF(Y555&gt;1, "Exact Duplicate",
  IF(Z555&gt;1, "Conflicting Duplicate - Review",
    "Unique"))</f>
        <v>Unique</v>
      </c>
      <c r="AB555" s="2">
        <f>IF(ISBLANK(R555), 0, IF(ISTEXT(R555), VALUE(SUBSTITUTE(R555, "%", ""))/100, IF(OR(R555&lt;0, R555&gt;1), "Invalid", R555)))</f>
        <v>0.25</v>
      </c>
      <c r="AC555" s="4">
        <f>IF(AB555="Invalid", "Error", P555 * Q555 * (1 - AB555))</f>
        <v>8735.2425000000003</v>
      </c>
      <c r="AD555" s="4">
        <f>IF(AC555="Error", "Error", AC555 - T555)</f>
        <v>2115.1725000000006</v>
      </c>
      <c r="AE555" s="2">
        <f>IF(AC555="Error", "Error", IF(AC555=0, 0, AD555 / AC555))</f>
        <v>0.24214239043735769</v>
      </c>
      <c r="AF555" s="7">
        <f>C555-B555</f>
        <v>3</v>
      </c>
      <c r="AG555" s="2" t="str">
        <f>TEXT(B555, "mmmm")</f>
        <v>April</v>
      </c>
      <c r="AH555" s="4">
        <f>YEAR(B555)</f>
        <v>2025</v>
      </c>
      <c r="AI555" s="2" t="str">
        <f t="shared" si="22"/>
        <v>Clean</v>
      </c>
      <c r="AJ555">
        <f>COUNTIFS($A$2:$A$1000,A555,$B$2:$B$1000,B555,$C$2:$C$1000,C555,$D$2:$D$1000,D555,$E$2:$E$1000,E555,$F$2:$F$1000,F555)</f>
        <v>1</v>
      </c>
      <c r="AK555">
        <f>COUNTIF($A$2:$A$1000, A555)</f>
        <v>1</v>
      </c>
    </row>
    <row r="556" spans="1:37">
      <c r="A556" t="s">
        <v>1759</v>
      </c>
      <c r="B556" s="5">
        <v>45577</v>
      </c>
      <c r="C556" s="5">
        <v>45582</v>
      </c>
      <c r="D556" s="6">
        <f>IF(AND(C556&lt;&gt;"",B556&lt;&gt;""), C556-B556, "Missing Date")</f>
        <v>5</v>
      </c>
      <c r="E556" s="6" t="str">
        <f>IF(OR(B556="",C556=""), "Missing Date",
    IF(C556&lt;B556, "Invalid: Ship before Order",
      "OK"))</f>
        <v>OK</v>
      </c>
      <c r="F556" t="s">
        <v>1760</v>
      </c>
      <c r="G556" t="s">
        <v>53</v>
      </c>
      <c r="H556" t="s">
        <v>24</v>
      </c>
      <c r="I556" t="s">
        <v>2762</v>
      </c>
      <c r="J556" t="s">
        <v>228</v>
      </c>
      <c r="K556" t="s">
        <v>229</v>
      </c>
      <c r="L556" t="s">
        <v>41</v>
      </c>
      <c r="M556" t="s">
        <v>57</v>
      </c>
      <c r="N556" t="s">
        <v>1761</v>
      </c>
      <c r="O556" t="s">
        <v>59</v>
      </c>
      <c r="P556">
        <v>4</v>
      </c>
      <c r="Q556">
        <v>1071.22</v>
      </c>
      <c r="R556">
        <v>0.05</v>
      </c>
      <c r="S556">
        <v>4070.64</v>
      </c>
      <c r="T556">
        <v>2831.62</v>
      </c>
      <c r="U556">
        <v>1239.02</v>
      </c>
      <c r="V556" t="s">
        <v>32</v>
      </c>
      <c r="W556" t="s">
        <v>33</v>
      </c>
      <c r="X556" t="str">
        <f>_xlfn.TEXTJOIN("|", TRUE, A556:W556)</f>
        <v>ORD-2024-10555|45577|45582|5|OK|CUST-2126|Arjun Bose|Consumer|Unknown|Jharkhand|Ranchi|Furniture|Furnishings|Prime Furnishings 892|Standard Class|4|1071.22|0.05|4070.64|2831.62|1239.02|Paid|Completed</v>
      </c>
      <c r="Y556">
        <f>COUNTIF($X$2:$X$1000, X556)</f>
        <v>1</v>
      </c>
      <c r="Z556">
        <f>COUNTIF($A$2:$A$1000, A556)</f>
        <v>1</v>
      </c>
      <c r="AA556" t="str">
        <f>IF(Y556&gt;1, "Exact Duplicate",
  IF(Z556&gt;1, "Conflicting Duplicate - Review",
    "Unique"))</f>
        <v>Unique</v>
      </c>
      <c r="AB556" s="2">
        <f>IF(ISBLANK(R556), 0, IF(ISTEXT(R556), VALUE(SUBSTITUTE(R556, "%", ""))/100, IF(OR(R556&lt;0, R556&gt;1), "Invalid", R556)))</f>
        <v>0.05</v>
      </c>
      <c r="AC556" s="4">
        <f>IF(AB556="Invalid", "Error", P556 * Q556 * (1 - AB556))</f>
        <v>4070.636</v>
      </c>
      <c r="AD556" s="4">
        <f>IF(AC556="Error", "Error", AC556 - T556)</f>
        <v>1239.0160000000001</v>
      </c>
      <c r="AE556" s="2">
        <f>IF(AC556="Error", "Error", IF(AC556=0, 0, AD556 / AC556))</f>
        <v>0.30437897173807732</v>
      </c>
      <c r="AF556" s="7">
        <f>C556-B556</f>
        <v>5</v>
      </c>
      <c r="AG556" s="2" t="str">
        <f>TEXT(B556, "mmmm")</f>
        <v>October</v>
      </c>
      <c r="AH556" s="4">
        <f>YEAR(B556)</f>
        <v>2024</v>
      </c>
      <c r="AI556" s="2" t="str">
        <f t="shared" si="22"/>
        <v>Warning: Missing Region</v>
      </c>
      <c r="AJ556">
        <f>COUNTIFS($A$2:$A$1000,A556,$B$2:$B$1000,B556,$C$2:$C$1000,C556,$D$2:$D$1000,D556,$E$2:$E$1000,E556,$F$2:$F$1000,F556)</f>
        <v>1</v>
      </c>
      <c r="AK556">
        <f>COUNTIF($A$2:$A$1000, A556)</f>
        <v>1</v>
      </c>
    </row>
    <row r="557" spans="1:37">
      <c r="A557" t="s">
        <v>1762</v>
      </c>
      <c r="B557" s="5">
        <v>45692</v>
      </c>
      <c r="C557" s="5">
        <v>45698</v>
      </c>
      <c r="D557" s="6">
        <f>IF(AND(C557&lt;&gt;"",B557&lt;&gt;""), C557-B557, "Missing Date")</f>
        <v>6</v>
      </c>
      <c r="E557" s="6" t="str">
        <f>IF(OR(B557="",C557=""), "Missing Date",
    IF(C557&lt;B557, "Invalid: Ship before Order",
      "OK"))</f>
        <v>OK</v>
      </c>
      <c r="F557" t="s">
        <v>1763</v>
      </c>
      <c r="G557" t="s">
        <v>62</v>
      </c>
      <c r="H557" t="s">
        <v>37</v>
      </c>
      <c r="I557" t="s">
        <v>54</v>
      </c>
      <c r="J557" t="s">
        <v>55</v>
      </c>
      <c r="K557" t="s">
        <v>56</v>
      </c>
      <c r="L557" t="s">
        <v>28</v>
      </c>
      <c r="M557" t="s">
        <v>124</v>
      </c>
      <c r="N557" t="s">
        <v>1764</v>
      </c>
      <c r="O557" t="s">
        <v>59</v>
      </c>
      <c r="P557">
        <v>6</v>
      </c>
      <c r="Q557">
        <v>1042.8</v>
      </c>
      <c r="R557">
        <v>0.05</v>
      </c>
      <c r="S557">
        <v>5943.96</v>
      </c>
      <c r="T557">
        <v>3604.14</v>
      </c>
      <c r="U557">
        <v>2339.8200000000002</v>
      </c>
      <c r="V557" t="s">
        <v>32</v>
      </c>
      <c r="W557" t="s">
        <v>33</v>
      </c>
      <c r="X557" t="str">
        <f>_xlfn.TEXTJOIN("|", TRUE, A557:W557)</f>
        <v>ORD-2025-10556|45692|45698|6|OK|CUST-7513|Ananya Rao|Small Business|South|Telangana|Hyderabad|Office Supplies|Storage|Prime Storage 689|Standard Class|6|1042.8|0.05|5943.96|3604.14|2339.82|Paid|Completed</v>
      </c>
      <c r="Y557">
        <f>COUNTIF($X$2:$X$1000, X557)</f>
        <v>1</v>
      </c>
      <c r="Z557">
        <f>COUNTIF($A$2:$A$1000, A557)</f>
        <v>1</v>
      </c>
      <c r="AA557" t="str">
        <f>IF(Y557&gt;1, "Exact Duplicate",
  IF(Z557&gt;1, "Conflicting Duplicate - Review",
    "Unique"))</f>
        <v>Unique</v>
      </c>
      <c r="AB557" s="2">
        <f>IF(ISBLANK(R557), 0, IF(ISTEXT(R557), VALUE(SUBSTITUTE(R557, "%", ""))/100, IF(OR(R557&lt;0, R557&gt;1), "Invalid", R557)))</f>
        <v>0.05</v>
      </c>
      <c r="AC557" s="4">
        <f>IF(AB557="Invalid", "Error", P557 * Q557 * (1 - AB557))</f>
        <v>5943.9599999999991</v>
      </c>
      <c r="AD557" s="4">
        <f>IF(AC557="Error", "Error", AC557 - T557)</f>
        <v>2339.8199999999993</v>
      </c>
      <c r="AE557" s="2">
        <f>IF(AC557="Error", "Error", IF(AC557=0, 0, AD557 / AC557))</f>
        <v>0.39364665980255581</v>
      </c>
      <c r="AF557" s="7">
        <f>C557-B557</f>
        <v>6</v>
      </c>
      <c r="AG557" s="2" t="str">
        <f>TEXT(B557, "mmmm")</f>
        <v>February</v>
      </c>
      <c r="AH557" s="4">
        <f>YEAR(B557)</f>
        <v>2025</v>
      </c>
      <c r="AI557" s="2" t="str">
        <f t="shared" si="22"/>
        <v>Clean</v>
      </c>
      <c r="AJ557">
        <f>COUNTIFS($A$2:$A$1000,A557,$B$2:$B$1000,B557,$C$2:$C$1000,C557,$D$2:$D$1000,D557,$E$2:$E$1000,E557,$F$2:$F$1000,F557)</f>
        <v>1</v>
      </c>
      <c r="AK557">
        <f>COUNTIF($A$2:$A$1000, A557)</f>
        <v>1</v>
      </c>
    </row>
    <row r="558" spans="1:37">
      <c r="A558" t="s">
        <v>1765</v>
      </c>
      <c r="B558" s="5">
        <v>45466</v>
      </c>
      <c r="C558" s="5">
        <v>45472</v>
      </c>
      <c r="D558" s="6">
        <f>IF(AND(C558&lt;&gt;"",B558&lt;&gt;""), C558-B558, "Missing Date")</f>
        <v>6</v>
      </c>
      <c r="E558" s="6" t="str">
        <f>IF(OR(B558="",C558=""), "Missing Date",
    IF(C558&lt;B558, "Invalid: Ship before Order",
      "OK"))</f>
        <v>OK</v>
      </c>
      <c r="F558" t="s">
        <v>1766</v>
      </c>
      <c r="G558" t="s">
        <v>79</v>
      </c>
      <c r="H558" t="s">
        <v>24</v>
      </c>
      <c r="I558" t="s">
        <v>25</v>
      </c>
      <c r="J558" t="s">
        <v>236</v>
      </c>
      <c r="K558" t="s">
        <v>237</v>
      </c>
      <c r="L558" t="s">
        <v>41</v>
      </c>
      <c r="M558" t="s">
        <v>42</v>
      </c>
      <c r="N558" t="s">
        <v>1767</v>
      </c>
      <c r="O558" t="s">
        <v>50</v>
      </c>
      <c r="P558">
        <v>1</v>
      </c>
      <c r="Q558">
        <v>4426.66</v>
      </c>
      <c r="R558">
        <v>0</v>
      </c>
      <c r="S558">
        <v>4426.66</v>
      </c>
      <c r="T558">
        <v>3035.2</v>
      </c>
      <c r="U558">
        <v>1816.23</v>
      </c>
      <c r="V558" t="s">
        <v>32</v>
      </c>
      <c r="W558" t="s">
        <v>103</v>
      </c>
      <c r="X558" t="str">
        <f>_xlfn.TEXTJOIN("|", TRUE, A558:W558)</f>
        <v>ORD-2024-10557|45466|45472|6|OK|CUST-1992|Neha Gupta|Consumer|North|Haryana|Gurugram|Furniture|Tables|Classic Tables 769|First Class|1|4426.66|0|4426.66|3035.2|1816.23|Paid|Returned</v>
      </c>
      <c r="Y558">
        <f>COUNTIF($X$2:$X$1000, X558)</f>
        <v>1</v>
      </c>
      <c r="Z558">
        <f>COUNTIF($A$2:$A$1000, A558)</f>
        <v>1</v>
      </c>
      <c r="AA558" t="str">
        <f>IF(Y558&gt;1, "Exact Duplicate",
  IF(Z558&gt;1, "Conflicting Duplicate - Review",
    "Unique"))</f>
        <v>Unique</v>
      </c>
      <c r="AB558" s="2">
        <f>IF(ISBLANK(R558), 0, IF(ISTEXT(R558), VALUE(SUBSTITUTE(R558, "%", ""))/100, IF(OR(R558&lt;0, R558&gt;1), "Invalid", R558)))</f>
        <v>0</v>
      </c>
      <c r="AC558" s="4">
        <f>IF(AB558="Invalid", "Error", P558 * Q558 * (1 - AB558))</f>
        <v>4426.66</v>
      </c>
      <c r="AD558" s="4">
        <f>IF(AC558="Error", "Error", AC558 - T558)</f>
        <v>1391.46</v>
      </c>
      <c r="AE558" s="2">
        <f>IF(AC558="Error", "Error", IF(AC558=0, 0, AD558 / AC558))</f>
        <v>0.31433631677156143</v>
      </c>
      <c r="AF558" s="7">
        <f>C558-B558</f>
        <v>6</v>
      </c>
      <c r="AG558" s="2" t="str">
        <f>TEXT(B558, "mmmm")</f>
        <v>June</v>
      </c>
      <c r="AH558" s="4">
        <f>YEAR(B558)</f>
        <v>2024</v>
      </c>
      <c r="AI558" s="2" t="str">
        <f t="shared" si="22"/>
        <v>Clean</v>
      </c>
      <c r="AJ558">
        <f>COUNTIFS($A$2:$A$1000,A558,$B$2:$B$1000,B558,$C$2:$C$1000,C558,$D$2:$D$1000,D558,$E$2:$E$1000,E558,$F$2:$F$1000,F558)</f>
        <v>1</v>
      </c>
      <c r="AK558">
        <f>COUNTIF($A$2:$A$1000, A558)</f>
        <v>1</v>
      </c>
    </row>
    <row r="559" spans="1:37">
      <c r="A559" t="s">
        <v>1768</v>
      </c>
      <c r="B559" s="5">
        <v>45420</v>
      </c>
      <c r="C559" s="5">
        <v>45426</v>
      </c>
      <c r="D559" s="6">
        <f>IF(AND(C559&lt;&gt;"",B559&lt;&gt;""), C559-B559, "Missing Date")</f>
        <v>6</v>
      </c>
      <c r="E559" s="6" t="str">
        <f>IF(OR(B559="",C559=""), "Missing Date",
    IF(C559&lt;B559, "Invalid: Ship before Order",
      "OK"))</f>
        <v>OK</v>
      </c>
      <c r="F559" t="s">
        <v>1769</v>
      </c>
      <c r="G559" t="s">
        <v>71</v>
      </c>
      <c r="H559" t="s">
        <v>95</v>
      </c>
      <c r="I559" t="s">
        <v>25</v>
      </c>
      <c r="J559" t="s">
        <v>236</v>
      </c>
      <c r="K559" t="s">
        <v>237</v>
      </c>
      <c r="L559" t="s">
        <v>74</v>
      </c>
      <c r="M559" t="s">
        <v>171</v>
      </c>
      <c r="N559" t="s">
        <v>1770</v>
      </c>
      <c r="O559" t="s">
        <v>50</v>
      </c>
      <c r="P559">
        <v>9</v>
      </c>
      <c r="Q559">
        <v>3769.46</v>
      </c>
      <c r="R559">
        <v>0.05</v>
      </c>
      <c r="S559">
        <v>32228.880000000001</v>
      </c>
      <c r="T559">
        <v>24971.360000000001</v>
      </c>
      <c r="U559">
        <v>7257.52</v>
      </c>
      <c r="V559" t="s">
        <v>32</v>
      </c>
      <c r="W559" t="s">
        <v>68</v>
      </c>
      <c r="X559" t="str">
        <f>_xlfn.TEXTJOIN("|", TRUE, A559:W559)</f>
        <v>ORD-2024-10558|45420|45426|6|OK|CUST-8848|Vikram Iyer|Home Office|North|Haryana|Gurugram|Technology|Phones|Prime Phones 503|First Class|9|3769.46|0.05|32228.88|24971.36|7257.52|Paid|Cancelled</v>
      </c>
      <c r="Y559">
        <f>COUNTIF($X$2:$X$1000, X559)</f>
        <v>1</v>
      </c>
      <c r="Z559">
        <f>COUNTIF($A$2:$A$1000, A559)</f>
        <v>1</v>
      </c>
      <c r="AA559" t="str">
        <f>IF(Y559&gt;1, "Exact Duplicate",
  IF(Z559&gt;1, "Conflicting Duplicate - Review",
    "Unique"))</f>
        <v>Unique</v>
      </c>
      <c r="AB559" s="2">
        <f>IF(ISBLANK(R559), 0, IF(ISTEXT(R559), VALUE(SUBSTITUTE(R559, "%", ""))/100, IF(OR(R559&lt;0, R559&gt;1), "Invalid", R559)))</f>
        <v>0.05</v>
      </c>
      <c r="AC559" s="4">
        <f>IF(AB559="Invalid", "Error", P559 * Q559 * (1 - AB559))</f>
        <v>32228.882999999998</v>
      </c>
      <c r="AD559" s="4">
        <f>IF(AC559="Error", "Error", AC559 - T559)</f>
        <v>7257.5229999999974</v>
      </c>
      <c r="AE559" s="2">
        <f>IF(AC559="Error", "Error", IF(AC559=0, 0, AD559 / AC559))</f>
        <v>0.22518692317074712</v>
      </c>
      <c r="AF559" s="7">
        <f>C559-B559</f>
        <v>6</v>
      </c>
      <c r="AG559" s="2" t="str">
        <f>TEXT(B559, "mmmm")</f>
        <v>May</v>
      </c>
      <c r="AH559" s="4">
        <f>YEAR(B559)</f>
        <v>2024</v>
      </c>
      <c r="AI559" s="2" t="str">
        <f t="shared" si="22"/>
        <v>Excluded from Sales</v>
      </c>
      <c r="AJ559">
        <f>COUNTIFS($A$2:$A$1000,A559,$B$2:$B$1000,B559,$C$2:$C$1000,C559,$D$2:$D$1000,D559,$E$2:$E$1000,E559,$F$2:$F$1000,F559)</f>
        <v>1</v>
      </c>
      <c r="AK559">
        <f>COUNTIF($A$2:$A$1000, A559)</f>
        <v>1</v>
      </c>
    </row>
    <row r="560" spans="1:37">
      <c r="A560" t="s">
        <v>1771</v>
      </c>
      <c r="B560" s="5">
        <v>45904</v>
      </c>
      <c r="C560" s="5">
        <v>45756</v>
      </c>
      <c r="D560" s="6">
        <f>IF(AND(C560&lt;&gt;"",B560&lt;&gt;""), C560-B560, "Missing Date")</f>
        <v>-148</v>
      </c>
      <c r="E560" s="6" t="str">
        <f>IF(OR(B560="",C560=""), "Missing Date",
    IF(C560&lt;B560, "Invalid: Ship before Order",
      "OK"))</f>
        <v>Invalid: Ship before Order</v>
      </c>
      <c r="F560" t="s">
        <v>1772</v>
      </c>
      <c r="G560" t="s">
        <v>89</v>
      </c>
      <c r="H560" t="s">
        <v>90</v>
      </c>
      <c r="I560" t="s">
        <v>25</v>
      </c>
      <c r="J560" t="s">
        <v>122</v>
      </c>
      <c r="K560" t="s">
        <v>123</v>
      </c>
      <c r="L560" t="s">
        <v>74</v>
      </c>
      <c r="M560" t="s">
        <v>274</v>
      </c>
      <c r="N560" t="s">
        <v>1773</v>
      </c>
      <c r="O560" t="s">
        <v>50</v>
      </c>
      <c r="P560">
        <v>8</v>
      </c>
      <c r="Q560">
        <v>3079.95</v>
      </c>
      <c r="R560">
        <v>0.2</v>
      </c>
      <c r="S560">
        <v>19711.68</v>
      </c>
      <c r="T560">
        <v>14461.8</v>
      </c>
      <c r="U560">
        <v>5249.88</v>
      </c>
      <c r="V560" t="s">
        <v>32</v>
      </c>
      <c r="W560" t="s">
        <v>33</v>
      </c>
      <c r="X560" t="str">
        <f>_xlfn.TEXTJOIN("|", TRUE, A560:W560)</f>
        <v>ORD-2025-10559|45904|45756|-148|Invalid: Ship before Order|CUST-9368|Aditi Sen|Corporate|North|Punjab|Ludhiana|Technology|Machines|Basic Machines 136|First Class|8|3079.95|0.2|19711.68|14461.8|5249.88|Paid|Completed</v>
      </c>
      <c r="Y560">
        <f>COUNTIF($X$2:$X$1000, X560)</f>
        <v>1</v>
      </c>
      <c r="Z560">
        <f>COUNTIF($A$2:$A$1000, A560)</f>
        <v>1</v>
      </c>
      <c r="AA560" t="str">
        <f>IF(Y560&gt;1, "Exact Duplicate",
  IF(Z560&gt;1, "Conflicting Duplicate - Review",
    "Unique"))</f>
        <v>Unique</v>
      </c>
      <c r="AB560" s="2">
        <f>IF(ISBLANK(R560), 0, IF(ISTEXT(R560), VALUE(SUBSTITUTE(R560, "%", ""))/100, IF(OR(R560&lt;0, R560&gt;1), "Invalid", R560)))</f>
        <v>0.2</v>
      </c>
      <c r="AC560" s="4">
        <f>IF(AB560="Invalid", "Error", P560 * Q560 * (1 - AB560))</f>
        <v>19711.68</v>
      </c>
      <c r="AD560" s="4">
        <f>IF(AC560="Error", "Error", AC560 - T560)</f>
        <v>5249.880000000001</v>
      </c>
      <c r="AE560" s="2">
        <f>IF(AC560="Error", "Error", IF(AC560=0, 0, AD560 / AC560))</f>
        <v>0.26633346320557155</v>
      </c>
      <c r="AF560" s="7">
        <f>C560-B560</f>
        <v>-148</v>
      </c>
      <c r="AG560" s="2" t="str">
        <f>TEXT(B560, "mmmm")</f>
        <v>September</v>
      </c>
      <c r="AH560" s="4">
        <f>YEAR(B560)</f>
        <v>2025</v>
      </c>
      <c r="AI560" s="2" t="str">
        <f t="shared" si="22"/>
        <v>Invalid Shipping Record</v>
      </c>
      <c r="AJ560">
        <f>COUNTIFS($A$2:$A$1000,A560,$B$2:$B$1000,B560,$C$2:$C$1000,C560,$D$2:$D$1000,D560,$E$2:$E$1000,E560,$F$2:$F$1000,F560)</f>
        <v>1</v>
      </c>
      <c r="AK560">
        <f>COUNTIF($A$2:$A$1000, A560)</f>
        <v>1</v>
      </c>
    </row>
    <row r="561" spans="1:37">
      <c r="A561" t="s">
        <v>1774</v>
      </c>
      <c r="B561" s="5">
        <v>45930</v>
      </c>
      <c r="C561" s="5">
        <v>45937</v>
      </c>
      <c r="D561" s="6">
        <f>IF(AND(C561&lt;&gt;"",B561&lt;&gt;""), C561-B561, "Missing Date")</f>
        <v>7</v>
      </c>
      <c r="E561" s="6" t="str">
        <f>IF(OR(B561="",C561=""), "Missing Date",
    IF(C561&lt;B561, "Invalid: Ship before Order",
      "OK"))</f>
        <v>OK</v>
      </c>
      <c r="F561" t="s">
        <v>1775</v>
      </c>
      <c r="G561" t="s">
        <v>162</v>
      </c>
      <c r="H561" t="s">
        <v>90</v>
      </c>
      <c r="I561" t="s">
        <v>38</v>
      </c>
      <c r="J561" t="s">
        <v>145</v>
      </c>
      <c r="K561" t="s">
        <v>146</v>
      </c>
      <c r="L561" t="s">
        <v>74</v>
      </c>
      <c r="M561" t="s">
        <v>80</v>
      </c>
      <c r="N561" t="s">
        <v>1776</v>
      </c>
      <c r="O561" t="s">
        <v>31</v>
      </c>
      <c r="P561">
        <v>5</v>
      </c>
      <c r="Q561">
        <v>3277.82</v>
      </c>
      <c r="R561">
        <v>0.1</v>
      </c>
      <c r="S561">
        <v>14750.19</v>
      </c>
      <c r="T561">
        <v>9482.58</v>
      </c>
      <c r="U561">
        <v>5267.61</v>
      </c>
      <c r="V561" t="s">
        <v>32</v>
      </c>
      <c r="W561" t="s">
        <v>103</v>
      </c>
      <c r="X561" t="str">
        <f>_xlfn.TEXTJOIN("|", TRUE, A561:W561)</f>
        <v>ORD-2025-10560|45930|45937|7|OK|CUST-6797|Diya Patel|Corporate|East|Bihar|Patna|Technology|Copiers|Basic Copiers 512|Second Class|5|3277.82|0.1|14750.19|9482.58|5267.61|Paid|Returned</v>
      </c>
      <c r="Y561">
        <f>COUNTIF($X$2:$X$1000, X561)</f>
        <v>1</v>
      </c>
      <c r="Z561">
        <f>COUNTIF($A$2:$A$1000, A561)</f>
        <v>1</v>
      </c>
      <c r="AA561" t="str">
        <f>IF(Y561&gt;1, "Exact Duplicate",
  IF(Z561&gt;1, "Conflicting Duplicate - Review",
    "Unique"))</f>
        <v>Unique</v>
      </c>
      <c r="AB561" s="2">
        <f>IF(ISBLANK(R561), 0, IF(ISTEXT(R561), VALUE(SUBSTITUTE(R561, "%", ""))/100, IF(OR(R561&lt;0, R561&gt;1), "Invalid", R561)))</f>
        <v>0.1</v>
      </c>
      <c r="AC561" s="4">
        <f>IF(AB561="Invalid", "Error", P561 * Q561 * (1 - AB561))</f>
        <v>14750.190000000002</v>
      </c>
      <c r="AD561" s="4">
        <f>IF(AC561="Error", "Error", AC561 - T561)</f>
        <v>5267.6100000000024</v>
      </c>
      <c r="AE561" s="2">
        <f>IF(AC561="Error", "Error", IF(AC561=0, 0, AD561 / AC561))</f>
        <v>0.35712150148574368</v>
      </c>
      <c r="AF561" s="7">
        <f>C561-B561</f>
        <v>7</v>
      </c>
      <c r="AG561" s="2" t="str">
        <f>TEXT(B561, "mmmm")</f>
        <v>September</v>
      </c>
      <c r="AH561" s="4">
        <f>YEAR(B561)</f>
        <v>2025</v>
      </c>
      <c r="AI561" s="2" t="str">
        <f t="shared" si="22"/>
        <v>Clean</v>
      </c>
      <c r="AJ561">
        <f>COUNTIFS($A$2:$A$1000,A561,$B$2:$B$1000,B561,$C$2:$C$1000,C561,$D$2:$D$1000,D561,$E$2:$E$1000,E561,$F$2:$F$1000,F561)</f>
        <v>1</v>
      </c>
      <c r="AK561">
        <f>COUNTIF($A$2:$A$1000, A561)</f>
        <v>1</v>
      </c>
    </row>
    <row r="562" spans="1:37">
      <c r="A562" t="s">
        <v>1777</v>
      </c>
      <c r="B562" s="5">
        <v>45307</v>
      </c>
      <c r="C562" s="5">
        <v>45313</v>
      </c>
      <c r="D562" s="6">
        <f>IF(AND(C562&lt;&gt;"",B562&lt;&gt;""), C562-B562, "Missing Date")</f>
        <v>6</v>
      </c>
      <c r="E562" s="6" t="str">
        <f>IF(OR(B562="",C562=""), "Missing Date",
    IF(C562&lt;B562, "Invalid: Ship before Order",
      "OK"))</f>
        <v>OK</v>
      </c>
      <c r="F562" t="s">
        <v>1778</v>
      </c>
      <c r="G562" t="s">
        <v>53</v>
      </c>
      <c r="H562" t="s">
        <v>24</v>
      </c>
      <c r="I562" t="s">
        <v>63</v>
      </c>
      <c r="J562" t="s">
        <v>190</v>
      </c>
      <c r="K562" t="s">
        <v>191</v>
      </c>
      <c r="L562" t="s">
        <v>28</v>
      </c>
      <c r="M562" t="s">
        <v>124</v>
      </c>
      <c r="N562" t="s">
        <v>1779</v>
      </c>
      <c r="O562" t="s">
        <v>59</v>
      </c>
      <c r="P562">
        <v>4</v>
      </c>
      <c r="Q562">
        <v>282.52999999999997</v>
      </c>
      <c r="R562">
        <v>0</v>
      </c>
      <c r="S562">
        <v>1130.1199999999999</v>
      </c>
      <c r="T562">
        <v>848.62</v>
      </c>
      <c r="U562">
        <v>281.5</v>
      </c>
      <c r="V562" t="s">
        <v>32</v>
      </c>
      <c r="W562" t="s">
        <v>68</v>
      </c>
      <c r="X562" t="str">
        <f>_xlfn.TEXTJOIN("|", TRUE, A562:W562)</f>
        <v>ORD-2024-10561|45307|45313|6|OK|CUST-9333|Arjun Bose|Consumer|West|Goa|Panaji|Office Supplies|Storage|Smart Storage 767|Standard Class|4|282.53|0|1130.12|848.62|281.5|Paid|Cancelled</v>
      </c>
      <c r="Y562">
        <f>COUNTIF($X$2:$X$1000, X562)</f>
        <v>1</v>
      </c>
      <c r="Z562">
        <f>COUNTIF($A$2:$A$1000, A562)</f>
        <v>1</v>
      </c>
      <c r="AA562" t="str">
        <f>IF(Y562&gt;1, "Exact Duplicate",
  IF(Z562&gt;1, "Conflicting Duplicate - Review",
    "Unique"))</f>
        <v>Unique</v>
      </c>
      <c r="AB562" s="2">
        <f>IF(ISBLANK(R562), 0, IF(ISTEXT(R562), VALUE(SUBSTITUTE(R562, "%", ""))/100, IF(OR(R562&lt;0, R562&gt;1), "Invalid", R562)))</f>
        <v>0</v>
      </c>
      <c r="AC562" s="4">
        <f>IF(AB562="Invalid", "Error", P562 * Q562 * (1 - AB562))</f>
        <v>1130.1199999999999</v>
      </c>
      <c r="AD562" s="4">
        <f>IF(AC562="Error", "Error", AC562 - T562)</f>
        <v>281.49999999999989</v>
      </c>
      <c r="AE562" s="2">
        <f>IF(AC562="Error", "Error", IF(AC562=0, 0, AD562 / AC562))</f>
        <v>0.249088592361873</v>
      </c>
      <c r="AF562" s="7">
        <f>C562-B562</f>
        <v>6</v>
      </c>
      <c r="AG562" s="2" t="str">
        <f>TEXT(B562, "mmmm")</f>
        <v>January</v>
      </c>
      <c r="AH562" s="4">
        <f>YEAR(B562)</f>
        <v>2024</v>
      </c>
      <c r="AI562" s="2" t="str">
        <f t="shared" si="22"/>
        <v>Excluded from Sales</v>
      </c>
      <c r="AJ562">
        <f>COUNTIFS($A$2:$A$1000,A562,$B$2:$B$1000,B562,$C$2:$C$1000,C562,$D$2:$D$1000,D562,$E$2:$E$1000,E562,$F$2:$F$1000,F562)</f>
        <v>1</v>
      </c>
      <c r="AK562">
        <f>COUNTIF($A$2:$A$1000, A562)</f>
        <v>1</v>
      </c>
    </row>
    <row r="563" spans="1:37">
      <c r="A563" t="s">
        <v>1780</v>
      </c>
      <c r="B563" s="5">
        <v>45852</v>
      </c>
      <c r="C563" s="5">
        <v>45856</v>
      </c>
      <c r="D563" s="6">
        <f>IF(AND(C563&lt;&gt;"",B563&lt;&gt;""), C563-B563, "Missing Date")</f>
        <v>4</v>
      </c>
      <c r="E563" s="6" t="str">
        <f>IF(OR(B563="",C563=""), "Missing Date",
    IF(C563&lt;B563, "Invalid: Ship before Order",
      "OK"))</f>
        <v>OK</v>
      </c>
      <c r="F563" t="s">
        <v>1781</v>
      </c>
      <c r="G563" t="s">
        <v>89</v>
      </c>
      <c r="H563" t="s">
        <v>24</v>
      </c>
      <c r="I563" t="s">
        <v>25</v>
      </c>
      <c r="J563" t="s">
        <v>122</v>
      </c>
      <c r="K563" t="s">
        <v>123</v>
      </c>
      <c r="L563" t="s">
        <v>74</v>
      </c>
      <c r="M563" t="s">
        <v>80</v>
      </c>
      <c r="N563" t="s">
        <v>1782</v>
      </c>
      <c r="O563" t="s">
        <v>50</v>
      </c>
      <c r="P563">
        <v>4</v>
      </c>
      <c r="Q563">
        <v>725.22</v>
      </c>
      <c r="R563">
        <v>0</v>
      </c>
      <c r="S563">
        <v>2900.88</v>
      </c>
      <c r="T563">
        <v>2391.85</v>
      </c>
      <c r="U563">
        <v>509.03</v>
      </c>
      <c r="V563" t="s">
        <v>111</v>
      </c>
      <c r="W563" t="s">
        <v>103</v>
      </c>
      <c r="X563" t="str">
        <f>_xlfn.TEXTJOIN("|", TRUE, A563:W563)</f>
        <v>ORD-2025-10562|45852|45856|4|OK|CUST-6654|Aditi Sen|Consumer|North|Punjab|Ludhiana|Technology|Copiers|Eco Copiers 954|First Class|4|725.22|0|2900.88|2391.85|509.03|Pending|Returned</v>
      </c>
      <c r="Y563">
        <f>COUNTIF($X$2:$X$1000, X563)</f>
        <v>1</v>
      </c>
      <c r="Z563">
        <f>COUNTIF($A$2:$A$1000, A563)</f>
        <v>1</v>
      </c>
      <c r="AA563" t="str">
        <f>IF(Y563&gt;1, "Exact Duplicate",
  IF(Z563&gt;1, "Conflicting Duplicate - Review",
    "Unique"))</f>
        <v>Unique</v>
      </c>
      <c r="AB563" s="2">
        <f>IF(ISBLANK(R563), 0, IF(ISTEXT(R563), VALUE(SUBSTITUTE(R563, "%", ""))/100, IF(OR(R563&lt;0, R563&gt;1), "Invalid", R563)))</f>
        <v>0</v>
      </c>
      <c r="AC563" s="4">
        <f>IF(AB563="Invalid", "Error", P563 * Q563 * (1 - AB563))</f>
        <v>2900.88</v>
      </c>
      <c r="AD563" s="4">
        <f>IF(AC563="Error", "Error", AC563 - T563)</f>
        <v>509.0300000000002</v>
      </c>
      <c r="AE563" s="2">
        <f>IF(AC563="Error", "Error", IF(AC563=0, 0, AD563 / AC563))</f>
        <v>0.17547433882132324</v>
      </c>
      <c r="AF563" s="7">
        <f>C563-B563</f>
        <v>4</v>
      </c>
      <c r="AG563" s="2" t="str">
        <f>TEXT(B563, "mmmm")</f>
        <v>July</v>
      </c>
      <c r="AH563" s="4">
        <f>YEAR(B563)</f>
        <v>2025</v>
      </c>
      <c r="AI563" s="2" t="str">
        <f t="shared" si="22"/>
        <v>Clean</v>
      </c>
      <c r="AJ563">
        <f>COUNTIFS($A$2:$A$1000,A563,$B$2:$B$1000,B563,$C$2:$C$1000,C563,$D$2:$D$1000,D563,$E$2:$E$1000,E563,$F$2:$F$1000,F563)</f>
        <v>1</v>
      </c>
      <c r="AK563">
        <f>COUNTIF($A$2:$A$1000, A563)</f>
        <v>1</v>
      </c>
    </row>
    <row r="564" spans="1:37">
      <c r="A564" t="s">
        <v>1783</v>
      </c>
      <c r="B564" s="5">
        <v>45422</v>
      </c>
      <c r="C564" s="5">
        <v>45428</v>
      </c>
      <c r="D564" s="6">
        <f>IF(AND(C564&lt;&gt;"",B564&lt;&gt;""), C564-B564, "Missing Date")</f>
        <v>6</v>
      </c>
      <c r="E564" s="6" t="str">
        <f>IF(OR(B564="",C564=""), "Missing Date",
    IF(C564&lt;B564, "Invalid: Ship before Order",
      "OK"))</f>
        <v>OK</v>
      </c>
      <c r="F564" t="s">
        <v>1784</v>
      </c>
      <c r="G564" t="s">
        <v>23</v>
      </c>
      <c r="H564" t="s">
        <v>24</v>
      </c>
      <c r="I564" t="s">
        <v>25</v>
      </c>
      <c r="J564" t="s">
        <v>122</v>
      </c>
      <c r="K564" t="s">
        <v>123</v>
      </c>
      <c r="L564" t="s">
        <v>28</v>
      </c>
      <c r="M564" t="s">
        <v>153</v>
      </c>
      <c r="N564" t="s">
        <v>1785</v>
      </c>
      <c r="O564" t="s">
        <v>44</v>
      </c>
      <c r="P564">
        <v>7</v>
      </c>
      <c r="Q564">
        <v>121.54</v>
      </c>
      <c r="R564">
        <v>0.2</v>
      </c>
      <c r="S564">
        <v>680.62</v>
      </c>
      <c r="T564">
        <v>463.49</v>
      </c>
      <c r="U564">
        <v>217.13</v>
      </c>
      <c r="V564" t="s">
        <v>155</v>
      </c>
      <c r="W564" t="s">
        <v>103</v>
      </c>
      <c r="X564" t="str">
        <f>_xlfn.TEXTJOIN("|", TRUE, A564:W564)</f>
        <v>ORD-2024-10563|45422|45428|6|OK|CUST-8622|Karan Malhotra|Consumer|North|Punjab|Ludhiana|Office Supplies|Binders|Elite Binders 143|Same Day|7|121.54|0.2|680.62|463.49|217.13|Failed|Returned</v>
      </c>
      <c r="Y564">
        <f>COUNTIF($X$2:$X$1000, X564)</f>
        <v>1</v>
      </c>
      <c r="Z564">
        <f>COUNTIF($A$2:$A$1000, A564)</f>
        <v>1</v>
      </c>
      <c r="AA564" t="str">
        <f>IF(Y564&gt;1, "Exact Duplicate",
  IF(Z564&gt;1, "Conflicting Duplicate - Review",
    "Unique"))</f>
        <v>Unique</v>
      </c>
      <c r="AB564" s="2">
        <f>IF(ISBLANK(R564), 0, IF(ISTEXT(R564), VALUE(SUBSTITUTE(R564, "%", ""))/100, IF(OR(R564&lt;0, R564&gt;1), "Invalid", R564)))</f>
        <v>0.2</v>
      </c>
      <c r="AC564" s="4">
        <f>IF(AB564="Invalid", "Error", P564 * Q564 * (1 - AB564))</f>
        <v>680.62400000000014</v>
      </c>
      <c r="AD564" s="4">
        <f>IF(AC564="Error", "Error", AC564 - T564)</f>
        <v>217.13400000000013</v>
      </c>
      <c r="AE564" s="2">
        <f>IF(AC564="Error", "Error", IF(AC564=0, 0, AD564 / AC564))</f>
        <v>0.31902195632243363</v>
      </c>
      <c r="AF564" s="7">
        <f>C564-B564</f>
        <v>6</v>
      </c>
      <c r="AG564" s="2" t="str">
        <f>TEXT(B564, "mmmm")</f>
        <v>May</v>
      </c>
      <c r="AH564" s="4">
        <f>YEAR(B564)</f>
        <v>2024</v>
      </c>
      <c r="AI564" s="2" t="str">
        <f t="shared" si="22"/>
        <v>Excluded from Sales</v>
      </c>
      <c r="AJ564">
        <f>COUNTIFS($A$2:$A$1000,A564,$B$2:$B$1000,B564,$C$2:$C$1000,C564,$D$2:$D$1000,D564,$E$2:$E$1000,E564,$F$2:$F$1000,F564)</f>
        <v>1</v>
      </c>
      <c r="AK564">
        <f>COUNTIF($A$2:$A$1000, A564)</f>
        <v>1</v>
      </c>
    </row>
    <row r="565" spans="1:37">
      <c r="A565" t="s">
        <v>1786</v>
      </c>
      <c r="B565" s="5">
        <v>45448</v>
      </c>
      <c r="C565" s="5">
        <v>45424</v>
      </c>
      <c r="D565" s="6">
        <f>IF(AND(C565&lt;&gt;"",B565&lt;&gt;""), C565-B565, "Missing Date")</f>
        <v>-24</v>
      </c>
      <c r="E565" s="6" t="str">
        <f>IF(OR(B565="",C565=""), "Missing Date",
    IF(C565&lt;B565, "Invalid: Ship before Order",
      "OK"))</f>
        <v>Invalid: Ship before Order</v>
      </c>
      <c r="F565" t="s">
        <v>1787</v>
      </c>
      <c r="G565" t="s">
        <v>53</v>
      </c>
      <c r="H565" t="s">
        <v>90</v>
      </c>
      <c r="I565" t="s">
        <v>63</v>
      </c>
      <c r="J565" t="s">
        <v>190</v>
      </c>
      <c r="K565" t="s">
        <v>191</v>
      </c>
      <c r="L565" t="s">
        <v>41</v>
      </c>
      <c r="M565" t="s">
        <v>42</v>
      </c>
      <c r="N565" t="s">
        <v>1788</v>
      </c>
      <c r="O565" t="s">
        <v>59</v>
      </c>
      <c r="P565">
        <v>9</v>
      </c>
      <c r="Q565">
        <v>790.97</v>
      </c>
      <c r="R565">
        <v>0.2</v>
      </c>
      <c r="S565">
        <v>5694.98</v>
      </c>
      <c r="T565">
        <v>4618.33</v>
      </c>
      <c r="U565">
        <v>1076.6500000000001</v>
      </c>
      <c r="V565" t="s">
        <v>111</v>
      </c>
      <c r="W565" t="s">
        <v>68</v>
      </c>
      <c r="X565" t="str">
        <f>_xlfn.TEXTJOIN("|", TRUE, A565:W565)</f>
        <v>ORD-2024-10564|45448|45424|-24|Invalid: Ship before Order|CUST-8776|Arjun Bose|Corporate|West|Goa|Panaji|Furniture|Tables|Classic Tables 560|Standard Class|9|790.97|0.2|5694.98|4618.33|1076.65|Pending|Cancelled</v>
      </c>
      <c r="Y565">
        <f>COUNTIF($X$2:$X$1000, X565)</f>
        <v>1</v>
      </c>
      <c r="Z565">
        <f>COUNTIF($A$2:$A$1000, A565)</f>
        <v>1</v>
      </c>
      <c r="AA565" t="str">
        <f>IF(Y565&gt;1, "Exact Duplicate",
  IF(Z565&gt;1, "Conflicting Duplicate - Review",
    "Unique"))</f>
        <v>Unique</v>
      </c>
      <c r="AB565" s="2">
        <f>IF(ISBLANK(R565), 0, IF(ISTEXT(R565), VALUE(SUBSTITUTE(R565, "%", ""))/100, IF(OR(R565&lt;0, R565&gt;1), "Invalid", R565)))</f>
        <v>0.2</v>
      </c>
      <c r="AC565" s="4">
        <f>IF(AB565="Invalid", "Error", P565 * Q565 * (1 - AB565))</f>
        <v>5694.9840000000004</v>
      </c>
      <c r="AD565" s="4">
        <f>IF(AC565="Error", "Error", AC565 - T565)</f>
        <v>1076.6540000000005</v>
      </c>
      <c r="AE565" s="2">
        <f>IF(AC565="Error", "Error", IF(AC565=0, 0, AD565 / AC565))</f>
        <v>0.1890530333360024</v>
      </c>
      <c r="AF565" s="7">
        <f>C565-B565</f>
        <v>-24</v>
      </c>
      <c r="AG565" s="2" t="str">
        <f>TEXT(B565, "mmmm")</f>
        <v>June</v>
      </c>
      <c r="AH565" s="4">
        <f>YEAR(B565)</f>
        <v>2024</v>
      </c>
      <c r="AI565" s="2" t="str">
        <f t="shared" si="22"/>
        <v>Excluded from Sales</v>
      </c>
      <c r="AJ565">
        <f>COUNTIFS($A$2:$A$1000,A565,$B$2:$B$1000,B565,$C$2:$C$1000,C565,$D$2:$D$1000,D565,$E$2:$E$1000,E565,$F$2:$F$1000,F565)</f>
        <v>1</v>
      </c>
      <c r="AK565">
        <f>COUNTIF($A$2:$A$1000, A565)</f>
        <v>1</v>
      </c>
    </row>
    <row r="566" spans="1:37">
      <c r="A566" t="s">
        <v>1789</v>
      </c>
      <c r="B566" s="5">
        <v>45576</v>
      </c>
      <c r="C566" s="5">
        <v>45610</v>
      </c>
      <c r="D566" s="6">
        <f>IF(AND(C566&lt;&gt;"",B566&lt;&gt;""), C566-B566, "Missing Date")</f>
        <v>34</v>
      </c>
      <c r="E566" s="6" t="str">
        <f>IF(OR(B566="",C566=""), "Missing Date",
    IF(C566&lt;B566, "Invalid: Ship before Order",
      "OK"))</f>
        <v>OK</v>
      </c>
      <c r="F566" t="s">
        <v>1790</v>
      </c>
      <c r="G566" t="s">
        <v>132</v>
      </c>
      <c r="H566" t="s">
        <v>90</v>
      </c>
      <c r="I566" t="s">
        <v>54</v>
      </c>
      <c r="J566" t="s">
        <v>84</v>
      </c>
      <c r="K566" t="s">
        <v>85</v>
      </c>
      <c r="L566" t="s">
        <v>41</v>
      </c>
      <c r="M566" t="s">
        <v>42</v>
      </c>
      <c r="N566" t="s">
        <v>1791</v>
      </c>
      <c r="O566" t="s">
        <v>50</v>
      </c>
      <c r="P566">
        <v>2</v>
      </c>
      <c r="Q566">
        <v>921.34</v>
      </c>
      <c r="R566">
        <v>0.2</v>
      </c>
      <c r="S566">
        <v>1474.14</v>
      </c>
      <c r="T566">
        <v>968.46</v>
      </c>
      <c r="U566">
        <v>505.68</v>
      </c>
      <c r="V566" t="s">
        <v>32</v>
      </c>
      <c r="W566" t="s">
        <v>33</v>
      </c>
      <c r="X566" t="str">
        <f>_xlfn.TEXTJOIN("|", TRUE, A566:W566)</f>
        <v>ORD-2024-10565|45576|45610|34|OK|CUST-9100|Sneha Kapoor|Corporate|South|Andhra Pradesh|Vijayawada|Furniture|Tables|Basic Tables 759|First Class|2|921.34|0.2|1474.14|968.46|505.68|Paid|Completed</v>
      </c>
      <c r="Y566">
        <f>COUNTIF($X$2:$X$1000, X566)</f>
        <v>1</v>
      </c>
      <c r="Z566">
        <f>COUNTIF($A$2:$A$1000, A566)</f>
        <v>1</v>
      </c>
      <c r="AA566" t="str">
        <f>IF(Y566&gt;1, "Exact Duplicate",
  IF(Z566&gt;1, "Conflicting Duplicate - Review",
    "Unique"))</f>
        <v>Unique</v>
      </c>
      <c r="AB566" s="2">
        <f>IF(ISBLANK(R566), 0, IF(ISTEXT(R566), VALUE(SUBSTITUTE(R566, "%", ""))/100, IF(OR(R566&lt;0, R566&gt;1), "Invalid", R566)))</f>
        <v>0.2</v>
      </c>
      <c r="AC566" s="4">
        <f>IF(AB566="Invalid", "Error", P566 * Q566 * (1 - AB566))</f>
        <v>1474.1440000000002</v>
      </c>
      <c r="AD566" s="4">
        <f>IF(AC566="Error", "Error", AC566 - T566)</f>
        <v>505.6840000000002</v>
      </c>
      <c r="AE566" s="2">
        <f>IF(AC566="Error", "Error", IF(AC566=0, 0, AD566 / AC566))</f>
        <v>0.34303568715132315</v>
      </c>
      <c r="AF566" s="7">
        <f>C566-B566</f>
        <v>34</v>
      </c>
      <c r="AG566" s="2" t="str">
        <f>TEXT(B566, "mmmm")</f>
        <v>October</v>
      </c>
      <c r="AH566" s="4">
        <f>YEAR(B566)</f>
        <v>2024</v>
      </c>
      <c r="AI566" s="2" t="str">
        <f t="shared" si="22"/>
        <v>Clean</v>
      </c>
      <c r="AJ566">
        <f>COUNTIFS($A$2:$A$1000,A566,$B$2:$B$1000,B566,$C$2:$C$1000,C566,$D$2:$D$1000,D566,$E$2:$E$1000,E566,$F$2:$F$1000,F566)</f>
        <v>1</v>
      </c>
      <c r="AK566">
        <f>COUNTIF($A$2:$A$1000, A566)</f>
        <v>1</v>
      </c>
    </row>
    <row r="567" spans="1:37">
      <c r="A567" t="s">
        <v>1792</v>
      </c>
      <c r="B567" s="5">
        <v>45876</v>
      </c>
      <c r="C567" s="5">
        <v>45882</v>
      </c>
      <c r="D567" s="6">
        <f>IF(AND(C567&lt;&gt;"",B567&lt;&gt;""), C567-B567, "Missing Date")</f>
        <v>6</v>
      </c>
      <c r="E567" s="6" t="str">
        <f>IF(OR(B567="",C567=""), "Missing Date",
    IF(C567&lt;B567, "Invalid: Ship before Order",
      "OK"))</f>
        <v>OK</v>
      </c>
      <c r="F567" t="s">
        <v>1793</v>
      </c>
      <c r="G567" t="s">
        <v>36</v>
      </c>
      <c r="H567" t="s">
        <v>90</v>
      </c>
      <c r="I567" t="s">
        <v>25</v>
      </c>
      <c r="J567" t="s">
        <v>350</v>
      </c>
      <c r="K567" t="s">
        <v>351</v>
      </c>
      <c r="L567" t="s">
        <v>74</v>
      </c>
      <c r="M567" t="s">
        <v>171</v>
      </c>
      <c r="N567" t="s">
        <v>1794</v>
      </c>
      <c r="O567" t="s">
        <v>59</v>
      </c>
      <c r="P567">
        <v>6</v>
      </c>
      <c r="Q567">
        <v>1921.86</v>
      </c>
      <c r="R567">
        <v>0.2</v>
      </c>
      <c r="S567">
        <v>9224.93</v>
      </c>
      <c r="T567">
        <v>7005.2</v>
      </c>
      <c r="U567">
        <v>2219.73</v>
      </c>
      <c r="V567" t="s">
        <v>102</v>
      </c>
      <c r="W567" t="s">
        <v>68</v>
      </c>
      <c r="X567" t="str">
        <f>_xlfn.TEXTJOIN("|", TRUE, A567:W567)</f>
        <v>ORD-2025-10566|45876|45882|6|OK|CUST-5601|Mira Das|Corporate|North|Delhi|New Delhi|Technology|Phones|Prime Phones 564|Standard Class|6|1921.86|0.2|9224.93|7005.2|2219.73|Refunded|Cancelled</v>
      </c>
      <c r="Y567">
        <f>COUNTIF($X$2:$X$1000, X567)</f>
        <v>1</v>
      </c>
      <c r="Z567">
        <f>COUNTIF($A$2:$A$1000, A567)</f>
        <v>1</v>
      </c>
      <c r="AA567" t="str">
        <f>IF(Y567&gt;1, "Exact Duplicate",
  IF(Z567&gt;1, "Conflicting Duplicate - Review",
    "Unique"))</f>
        <v>Unique</v>
      </c>
      <c r="AB567" s="2">
        <f>IF(ISBLANK(R567), 0, IF(ISTEXT(R567), VALUE(SUBSTITUTE(R567, "%", ""))/100, IF(OR(R567&lt;0, R567&gt;1), "Invalid", R567)))</f>
        <v>0.2</v>
      </c>
      <c r="AC567" s="4">
        <f>IF(AB567="Invalid", "Error", P567 * Q567 * (1 - AB567))</f>
        <v>9224.9279999999999</v>
      </c>
      <c r="AD567" s="4">
        <f>IF(AC567="Error", "Error", AC567 - T567)</f>
        <v>2219.7280000000001</v>
      </c>
      <c r="AE567" s="2">
        <f>IF(AC567="Error", "Error", IF(AC567=0, 0, AD567 / AC567))</f>
        <v>0.24062279944081949</v>
      </c>
      <c r="AF567" s="7">
        <f>C567-B567</f>
        <v>6</v>
      </c>
      <c r="AG567" s="2" t="str">
        <f>TEXT(B567, "mmmm")</f>
        <v>August</v>
      </c>
      <c r="AH567" s="4">
        <f>YEAR(B567)</f>
        <v>2025</v>
      </c>
      <c r="AI567" s="2" t="str">
        <f t="shared" si="22"/>
        <v>Excluded from Sales</v>
      </c>
      <c r="AJ567">
        <f>COUNTIFS($A$2:$A$1000,A567,$B$2:$B$1000,B567,$C$2:$C$1000,C567,$D$2:$D$1000,D567,$E$2:$E$1000,E567,$F$2:$F$1000,F567)</f>
        <v>1</v>
      </c>
      <c r="AK567">
        <f>COUNTIF($A$2:$A$1000, A567)</f>
        <v>1</v>
      </c>
    </row>
    <row r="568" spans="1:37">
      <c r="A568" t="s">
        <v>1795</v>
      </c>
      <c r="B568" s="5">
        <v>45515</v>
      </c>
      <c r="C568" s="5">
        <v>45523</v>
      </c>
      <c r="D568" s="6">
        <f>IF(AND(C568&lt;&gt;"",B568&lt;&gt;""), C568-B568, "Missing Date")</f>
        <v>8</v>
      </c>
      <c r="E568" s="6" t="str">
        <f>IF(OR(B568="",C568=""), "Missing Date",
    IF(C568&lt;B568, "Invalid: Ship before Order",
      "OK"))</f>
        <v>OK</v>
      </c>
      <c r="F568" t="s">
        <v>1796</v>
      </c>
      <c r="G568" t="s">
        <v>132</v>
      </c>
      <c r="H568" t="s">
        <v>37</v>
      </c>
      <c r="I568" t="s">
        <v>63</v>
      </c>
      <c r="J568" t="s">
        <v>64</v>
      </c>
      <c r="K568" t="s">
        <v>65</v>
      </c>
      <c r="L568" t="s">
        <v>28</v>
      </c>
      <c r="M568" t="s">
        <v>29</v>
      </c>
      <c r="N568" t="s">
        <v>1797</v>
      </c>
      <c r="O568" t="s">
        <v>44</v>
      </c>
      <c r="P568">
        <v>2</v>
      </c>
      <c r="Q568">
        <v>2617.89</v>
      </c>
      <c r="R568">
        <v>0.1</v>
      </c>
      <c r="S568">
        <v>4712.2</v>
      </c>
      <c r="T568">
        <v>3851.91</v>
      </c>
      <c r="U568">
        <v>860.29</v>
      </c>
      <c r="V568" t="s">
        <v>155</v>
      </c>
      <c r="W568" t="s">
        <v>103</v>
      </c>
      <c r="X568" t="str">
        <f>_xlfn.TEXTJOIN("|", TRUE, A568:W568)</f>
        <v>ORD-2024-10567|45515|45523|8|OK|CUST-5246|Sneha Kapoor|Small Business|West|Maharashtra|Mumbai|Office Supplies|Paper|Smart Paper 807|Same Day|2|2617.89|0.1|4712.2|3851.91|860.29|Failed|Returned</v>
      </c>
      <c r="Y568">
        <f>COUNTIF($X$2:$X$1000, X568)</f>
        <v>1</v>
      </c>
      <c r="Z568">
        <f>COUNTIF($A$2:$A$1000, A568)</f>
        <v>1</v>
      </c>
      <c r="AA568" t="str">
        <f>IF(Y568&gt;1, "Exact Duplicate",
  IF(Z568&gt;1, "Conflicting Duplicate - Review",
    "Unique"))</f>
        <v>Unique</v>
      </c>
      <c r="AB568" s="2">
        <f>IF(ISBLANK(R568), 0, IF(ISTEXT(R568), VALUE(SUBSTITUTE(R568, "%", ""))/100, IF(OR(R568&lt;0, R568&gt;1), "Invalid", R568)))</f>
        <v>0.1</v>
      </c>
      <c r="AC568" s="4">
        <f>IF(AB568="Invalid", "Error", P568 * Q568 * (1 - AB568))</f>
        <v>4712.2020000000002</v>
      </c>
      <c r="AD568" s="4">
        <f>IF(AC568="Error", "Error", AC568 - T568)</f>
        <v>860.29200000000037</v>
      </c>
      <c r="AE568" s="2">
        <f>IF(AC568="Error", "Error", IF(AC568=0, 0, AD568 / AC568))</f>
        <v>0.18256687637754077</v>
      </c>
      <c r="AF568" s="7">
        <f>C568-B568</f>
        <v>8</v>
      </c>
      <c r="AG568" s="2" t="str">
        <f>TEXT(B568, "mmmm")</f>
        <v>August</v>
      </c>
      <c r="AH568" s="4">
        <f>YEAR(B568)</f>
        <v>2024</v>
      </c>
      <c r="AI568" s="2" t="str">
        <f t="shared" si="22"/>
        <v>Excluded from Sales</v>
      </c>
      <c r="AJ568">
        <f>COUNTIFS($A$2:$A$1000,A568,$B$2:$B$1000,B568,$C$2:$C$1000,C568,$D$2:$D$1000,D568,$E$2:$E$1000,E568,$F$2:$F$1000,F568)</f>
        <v>1</v>
      </c>
      <c r="AK568">
        <f>COUNTIF($A$2:$A$1000, A568)</f>
        <v>1</v>
      </c>
    </row>
    <row r="569" spans="1:37">
      <c r="A569" t="s">
        <v>1798</v>
      </c>
      <c r="B569" s="5">
        <v>45328</v>
      </c>
      <c r="C569" s="5">
        <v>45332</v>
      </c>
      <c r="D569" s="6">
        <f>IF(AND(C569&lt;&gt;"",B569&lt;&gt;""), C569-B569, "Missing Date")</f>
        <v>4</v>
      </c>
      <c r="E569" s="6" t="str">
        <f>IF(OR(B569="",C569=""), "Missing Date",
    IF(C569&lt;B569, "Invalid: Ship before Order",
      "OK"))</f>
        <v>OK</v>
      </c>
      <c r="F569" t="s">
        <v>1799</v>
      </c>
      <c r="G569" t="s">
        <v>53</v>
      </c>
      <c r="H569" t="s">
        <v>95</v>
      </c>
      <c r="I569" t="s">
        <v>25</v>
      </c>
      <c r="J569" t="s">
        <v>136</v>
      </c>
      <c r="K569" t="s">
        <v>137</v>
      </c>
      <c r="L569" t="s">
        <v>41</v>
      </c>
      <c r="M569" t="s">
        <v>57</v>
      </c>
      <c r="N569" t="s">
        <v>597</v>
      </c>
      <c r="O569" t="s">
        <v>44</v>
      </c>
      <c r="P569">
        <v>1</v>
      </c>
      <c r="Q569">
        <v>1374.06</v>
      </c>
      <c r="R569">
        <v>0.05</v>
      </c>
      <c r="S569">
        <v>1305.3599999999999</v>
      </c>
      <c r="T569">
        <v>731.89</v>
      </c>
      <c r="U569">
        <v>573.47</v>
      </c>
      <c r="V569" t="s">
        <v>32</v>
      </c>
      <c r="W569" t="s">
        <v>33</v>
      </c>
      <c r="X569" t="str">
        <f>_xlfn.TEXTJOIN("|", TRUE, A569:W569)</f>
        <v>ORD-2024-10568|45328|45332|4|OK|CUST-3128|Arjun Bose|Home Office|North|Uttar Pradesh|Noida|Furniture|Furnishings|Pro Furnishings 108|Same Day|1|1374.06|0.05|1305.36|731.89|573.47|Paid|Completed</v>
      </c>
      <c r="Y569">
        <f>COUNTIF($X$2:$X$1000, X569)</f>
        <v>1</v>
      </c>
      <c r="Z569">
        <f>COUNTIF($A$2:$A$1000, A569)</f>
        <v>1</v>
      </c>
      <c r="AA569" t="str">
        <f>IF(Y569&gt;1, "Exact Duplicate",
  IF(Z569&gt;1, "Conflicting Duplicate - Review",
    "Unique"))</f>
        <v>Unique</v>
      </c>
      <c r="AB569" s="2">
        <f>IF(ISBLANK(R569), 0, IF(ISTEXT(R569), VALUE(SUBSTITUTE(R569, "%", ""))/100, IF(OR(R569&lt;0, R569&gt;1), "Invalid", R569)))</f>
        <v>0.05</v>
      </c>
      <c r="AC569" s="4">
        <f>IF(AB569="Invalid", "Error", P569 * Q569 * (1 - AB569))</f>
        <v>1305.357</v>
      </c>
      <c r="AD569" s="4">
        <f>IF(AC569="Error", "Error", AC569 - T569)</f>
        <v>573.46699999999998</v>
      </c>
      <c r="AE569" s="2">
        <f>IF(AC569="Error", "Error", IF(AC569=0, 0, AD569 / AC569))</f>
        <v>0.4393181328939133</v>
      </c>
      <c r="AF569" s="7">
        <f>C569-B569</f>
        <v>4</v>
      </c>
      <c r="AG569" s="2" t="str">
        <f>TEXT(B569, "mmmm")</f>
        <v>February</v>
      </c>
      <c r="AH569" s="4">
        <f>YEAR(B569)</f>
        <v>2024</v>
      </c>
      <c r="AI569" s="2" t="str">
        <f t="shared" si="22"/>
        <v>Clean</v>
      </c>
      <c r="AJ569">
        <f>COUNTIFS($A$2:$A$1000,A569,$B$2:$B$1000,B569,$C$2:$C$1000,C569,$D$2:$D$1000,D569,$E$2:$E$1000,E569,$F$2:$F$1000,F569)</f>
        <v>1</v>
      </c>
      <c r="AK569">
        <f>COUNTIF($A$2:$A$1000, A569)</f>
        <v>1</v>
      </c>
    </row>
    <row r="570" spans="1:37">
      <c r="A570" t="s">
        <v>1800</v>
      </c>
      <c r="B570" s="5">
        <v>45312</v>
      </c>
      <c r="C570" s="5">
        <v>45315</v>
      </c>
      <c r="D570" s="6">
        <f>IF(AND(C570&lt;&gt;"",B570&lt;&gt;""), C570-B570, "Missing Date")</f>
        <v>3</v>
      </c>
      <c r="E570" s="6" t="str">
        <f>IF(OR(B570="",C570=""), "Missing Date",
    IF(C570&lt;B570, "Invalid: Ship before Order",
      "OK"))</f>
        <v>OK</v>
      </c>
      <c r="F570" t="s">
        <v>1801</v>
      </c>
      <c r="G570" t="s">
        <v>264</v>
      </c>
      <c r="H570" t="s">
        <v>90</v>
      </c>
      <c r="I570" t="s">
        <v>25</v>
      </c>
      <c r="J570" t="s">
        <v>122</v>
      </c>
      <c r="K570" t="s">
        <v>123</v>
      </c>
      <c r="L570" t="s">
        <v>74</v>
      </c>
      <c r="M570" t="s">
        <v>274</v>
      </c>
      <c r="N570" t="s">
        <v>1802</v>
      </c>
      <c r="O570" t="s">
        <v>44</v>
      </c>
      <c r="P570">
        <v>1</v>
      </c>
      <c r="Q570">
        <v>3806.3</v>
      </c>
      <c r="R570">
        <v>0.25</v>
      </c>
      <c r="S570">
        <v>2854.73</v>
      </c>
      <c r="T570">
        <v>1968.12</v>
      </c>
      <c r="U570">
        <v>886.61</v>
      </c>
      <c r="V570" t="s">
        <v>32</v>
      </c>
      <c r="W570" t="s">
        <v>33</v>
      </c>
      <c r="X570" t="str">
        <f>_xlfn.TEXTJOIN("|", TRUE, A570:W570)</f>
        <v>ORD-2024-10569|45312|45315|3|OK|CUST-4604|Kabir Singh|Corporate|North|Punjab|Ludhiana|Technology|Machines|Classic Machines 522|Same Day|1|3806.3|0.25|2854.73|1968.12|886.61|Paid|Completed</v>
      </c>
      <c r="Y570">
        <f>COUNTIF($X$2:$X$1000, X570)</f>
        <v>1</v>
      </c>
      <c r="Z570">
        <f>COUNTIF($A$2:$A$1000, A570)</f>
        <v>1</v>
      </c>
      <c r="AA570" t="str">
        <f>IF(Y570&gt;1, "Exact Duplicate",
  IF(Z570&gt;1, "Conflicting Duplicate - Review",
    "Unique"))</f>
        <v>Unique</v>
      </c>
      <c r="AB570" s="2">
        <f>IF(ISBLANK(R570), 0, IF(ISTEXT(R570), VALUE(SUBSTITUTE(R570, "%", ""))/100, IF(OR(R570&lt;0, R570&gt;1), "Invalid", R570)))</f>
        <v>0.25</v>
      </c>
      <c r="AC570" s="4">
        <f>IF(AB570="Invalid", "Error", P570 * Q570 * (1 - AB570))</f>
        <v>2854.7250000000004</v>
      </c>
      <c r="AD570" s="4">
        <f>IF(AC570="Error", "Error", AC570 - T570)</f>
        <v>886.60500000000047</v>
      </c>
      <c r="AE570" s="2">
        <f>IF(AC570="Error", "Error", IF(AC570=0, 0, AD570 / AC570))</f>
        <v>0.31057457373302172</v>
      </c>
      <c r="AF570" s="7">
        <f>C570-B570</f>
        <v>3</v>
      </c>
      <c r="AG570" s="2" t="str">
        <f>TEXT(B570, "mmmm")</f>
        <v>January</v>
      </c>
      <c r="AH570" s="4">
        <f>YEAR(B570)</f>
        <v>2024</v>
      </c>
      <c r="AI570" s="2" t="str">
        <f t="shared" si="22"/>
        <v>Clean</v>
      </c>
      <c r="AJ570">
        <f>COUNTIFS($A$2:$A$1000,A570,$B$2:$B$1000,B570,$C$2:$C$1000,C570,$D$2:$D$1000,D570,$E$2:$E$1000,E570,$F$2:$F$1000,F570)</f>
        <v>1</v>
      </c>
      <c r="AK570">
        <f>COUNTIF($A$2:$A$1000, A570)</f>
        <v>1</v>
      </c>
    </row>
    <row r="571" spans="1:37">
      <c r="A571" t="s">
        <v>1803</v>
      </c>
      <c r="B571" s="5">
        <v>45878</v>
      </c>
      <c r="C571" s="5">
        <v>45910</v>
      </c>
      <c r="D571" s="6">
        <f>IF(AND(C571&lt;&gt;"",B571&lt;&gt;""), C571-B571, "Missing Date")</f>
        <v>32</v>
      </c>
      <c r="E571" s="6" t="str">
        <f>IF(OR(B571="",C571=""), "Missing Date",
    IF(C571&lt;B571, "Invalid: Ship before Order",
      "OK"))</f>
        <v>OK</v>
      </c>
      <c r="F571" t="s">
        <v>1804</v>
      </c>
      <c r="G571" t="s">
        <v>118</v>
      </c>
      <c r="H571" t="s">
        <v>95</v>
      </c>
      <c r="I571" t="s">
        <v>63</v>
      </c>
      <c r="J571" t="s">
        <v>64</v>
      </c>
      <c r="K571" t="s">
        <v>65</v>
      </c>
      <c r="L571" t="s">
        <v>41</v>
      </c>
      <c r="M571" t="s">
        <v>57</v>
      </c>
      <c r="N571" t="s">
        <v>1805</v>
      </c>
      <c r="O571" t="s">
        <v>59</v>
      </c>
      <c r="P571">
        <v>6</v>
      </c>
      <c r="Q571">
        <v>3251.17</v>
      </c>
      <c r="R571">
        <v>0.25</v>
      </c>
      <c r="S571">
        <v>14630.26</v>
      </c>
      <c r="T571">
        <v>11906.36</v>
      </c>
      <c r="U571">
        <v>2723.9</v>
      </c>
      <c r="V571" t="s">
        <v>102</v>
      </c>
      <c r="W571" t="s">
        <v>103</v>
      </c>
      <c r="X571" t="str">
        <f>_xlfn.TEXTJOIN("|", TRUE, A571:W571)</f>
        <v>ORD-2025-10570|45878|45910|32|OK|CUST-2586|Rahul Verma|Home Office|West|Maharashtra|Mumbai|Furniture|Furnishings|Elite Furnishings 822|Standard Class|6|3251.17|0.25|14630.26|11906.36|2723.9|Refunded|Returned</v>
      </c>
      <c r="Y571">
        <f>COUNTIF($X$2:$X$1000, X571)</f>
        <v>1</v>
      </c>
      <c r="Z571">
        <f>COUNTIF($A$2:$A$1000, A571)</f>
        <v>1</v>
      </c>
      <c r="AA571" t="str">
        <f>IF(Y571&gt;1, "Exact Duplicate",
  IF(Z571&gt;1, "Conflicting Duplicate - Review",
    "Unique"))</f>
        <v>Unique</v>
      </c>
      <c r="AB571" s="2">
        <f>IF(ISBLANK(R571), 0, IF(ISTEXT(R571), VALUE(SUBSTITUTE(R571, "%", ""))/100, IF(OR(R571&lt;0, R571&gt;1), "Invalid", R571)))</f>
        <v>0.25</v>
      </c>
      <c r="AC571" s="4">
        <f>IF(AB571="Invalid", "Error", P571 * Q571 * (1 - AB571))</f>
        <v>14630.264999999999</v>
      </c>
      <c r="AD571" s="4">
        <f>IF(AC571="Error", "Error", AC571 - T571)</f>
        <v>2723.9049999999988</v>
      </c>
      <c r="AE571" s="2">
        <f>IF(AC571="Error", "Error", IF(AC571=0, 0, AD571 / AC571))</f>
        <v>0.18618288868998606</v>
      </c>
      <c r="AF571" s="7">
        <f>C571-B571</f>
        <v>32</v>
      </c>
      <c r="AG571" s="2" t="str">
        <f>TEXT(B571, "mmmm")</f>
        <v>August</v>
      </c>
      <c r="AH571" s="4">
        <f>YEAR(B571)</f>
        <v>2025</v>
      </c>
      <c r="AI571" s="2" t="str">
        <f t="shared" si="22"/>
        <v>Clean</v>
      </c>
      <c r="AJ571">
        <f>COUNTIFS($A$2:$A$1000,A571,$B$2:$B$1000,B571,$C$2:$C$1000,C571,$D$2:$D$1000,D571,$E$2:$E$1000,E571,$F$2:$F$1000,F571)</f>
        <v>1</v>
      </c>
      <c r="AK571">
        <f>COUNTIF($A$2:$A$1000, A571)</f>
        <v>1</v>
      </c>
    </row>
    <row r="572" spans="1:37">
      <c r="A572" t="s">
        <v>1806</v>
      </c>
      <c r="B572" s="5">
        <v>45887</v>
      </c>
      <c r="C572" s="5">
        <v>45891</v>
      </c>
      <c r="D572" s="6">
        <f>IF(AND(C572&lt;&gt;"",B572&lt;&gt;""), C572-B572, "Missing Date")</f>
        <v>4</v>
      </c>
      <c r="E572" s="6" t="str">
        <f>IF(OR(B572="",C572=""), "Missing Date",
    IF(C572&lt;B572, "Invalid: Ship before Order",
      "OK"))</f>
        <v>OK</v>
      </c>
      <c r="F572" t="s">
        <v>1807</v>
      </c>
      <c r="G572" t="s">
        <v>53</v>
      </c>
      <c r="H572" t="s">
        <v>24</v>
      </c>
      <c r="I572" t="s">
        <v>38</v>
      </c>
      <c r="J572" t="s">
        <v>228</v>
      </c>
      <c r="K572" t="s">
        <v>229</v>
      </c>
      <c r="L572" t="s">
        <v>41</v>
      </c>
      <c r="M572" t="s">
        <v>57</v>
      </c>
      <c r="N572" t="s">
        <v>1808</v>
      </c>
      <c r="O572" t="s">
        <v>31</v>
      </c>
      <c r="P572">
        <v>3</v>
      </c>
      <c r="Q572">
        <v>3946.44</v>
      </c>
      <c r="R572">
        <v>0.25</v>
      </c>
      <c r="S572">
        <v>8879.49</v>
      </c>
      <c r="T572">
        <v>6344.57</v>
      </c>
      <c r="U572">
        <v>2534.92</v>
      </c>
      <c r="V572" t="s">
        <v>155</v>
      </c>
      <c r="W572" t="s">
        <v>103</v>
      </c>
      <c r="X572" t="str">
        <f>_xlfn.TEXTJOIN("|", TRUE, A572:W572)</f>
        <v>ORD-2025-10571|45887|45891|4|OK|CUST-6585|Arjun Bose|Consumer|East|Jharkhand|Ranchi|Furniture|Furnishings|Max Furnishings 647|Second Class|3|3946.44|0.25|8879.49|6344.57|2534.92|Failed|Returned</v>
      </c>
      <c r="Y572">
        <f>COUNTIF($X$2:$X$1000, X572)</f>
        <v>1</v>
      </c>
      <c r="Z572">
        <f>COUNTIF($A$2:$A$1000, A572)</f>
        <v>1</v>
      </c>
      <c r="AA572" t="str">
        <f>IF(Y572&gt;1, "Exact Duplicate",
  IF(Z572&gt;1, "Conflicting Duplicate - Review",
    "Unique"))</f>
        <v>Unique</v>
      </c>
      <c r="AB572" s="2">
        <f>IF(ISBLANK(R572), 0, IF(ISTEXT(R572), VALUE(SUBSTITUTE(R572, "%", ""))/100, IF(OR(R572&lt;0, R572&gt;1), "Invalid", R572)))</f>
        <v>0.25</v>
      </c>
      <c r="AC572" s="4">
        <f>IF(AB572="Invalid", "Error", P572 * Q572 * (1 - AB572))</f>
        <v>8879.49</v>
      </c>
      <c r="AD572" s="4">
        <f>IF(AC572="Error", "Error", AC572 - T572)</f>
        <v>2534.92</v>
      </c>
      <c r="AE572" s="2">
        <f>IF(AC572="Error", "Error", IF(AC572=0, 0, AD572 / AC572))</f>
        <v>0.28548035979543873</v>
      </c>
      <c r="AF572" s="7">
        <f>C572-B572</f>
        <v>4</v>
      </c>
      <c r="AG572" s="2" t="str">
        <f>TEXT(B572, "mmmm")</f>
        <v>August</v>
      </c>
      <c r="AH572" s="4">
        <f>YEAR(B572)</f>
        <v>2025</v>
      </c>
      <c r="AI572" s="2" t="str">
        <f t="shared" si="22"/>
        <v>Excluded from Sales</v>
      </c>
      <c r="AJ572">
        <f>COUNTIFS($A$2:$A$1000,A572,$B$2:$B$1000,B572,$C$2:$C$1000,C572,$D$2:$D$1000,D572,$E$2:$E$1000,E572,$F$2:$F$1000,F572)</f>
        <v>1</v>
      </c>
      <c r="AK572">
        <f>COUNTIF($A$2:$A$1000, A572)</f>
        <v>1</v>
      </c>
    </row>
    <row r="573" spans="1:37">
      <c r="A573" t="s">
        <v>1809</v>
      </c>
      <c r="B573" s="5">
        <v>45698</v>
      </c>
      <c r="C573" s="5">
        <v>45702</v>
      </c>
      <c r="D573" s="6">
        <f>IF(AND(C573&lt;&gt;"",B573&lt;&gt;""), C573-B573, "Missing Date")</f>
        <v>4</v>
      </c>
      <c r="E573" s="6" t="str">
        <f>IF(OR(B573="",C573=""), "Missing Date",
    IF(C573&lt;B573, "Invalid: Ship before Order",
      "OK"))</f>
        <v>OK</v>
      </c>
      <c r="F573" t="s">
        <v>1810</v>
      </c>
      <c r="G573" t="s">
        <v>114</v>
      </c>
      <c r="H573" t="s">
        <v>37</v>
      </c>
      <c r="I573" t="s">
        <v>25</v>
      </c>
      <c r="J573" t="s">
        <v>136</v>
      </c>
      <c r="K573" t="s">
        <v>137</v>
      </c>
      <c r="L573" t="s">
        <v>74</v>
      </c>
      <c r="M573" t="s">
        <v>171</v>
      </c>
      <c r="N573" t="s">
        <v>1811</v>
      </c>
      <c r="O573" t="s">
        <v>2762</v>
      </c>
      <c r="P573">
        <v>5</v>
      </c>
      <c r="Q573">
        <v>4276.29</v>
      </c>
      <c r="R573">
        <v>0</v>
      </c>
      <c r="S573">
        <v>21381.45</v>
      </c>
      <c r="T573">
        <v>13240.21</v>
      </c>
      <c r="U573">
        <v>8141.24</v>
      </c>
      <c r="V573" t="s">
        <v>155</v>
      </c>
      <c r="W573" t="s">
        <v>103</v>
      </c>
      <c r="X573" t="str">
        <f>_xlfn.TEXTJOIN("|", TRUE, A573:W573)</f>
        <v>ORD-2025-10572|45698|45702|4|OK|CUST-3425|Priya Menon|Small Business|North|Uttar Pradesh|Noida|Technology|Phones|Prime Phones 895|Unknown|5|4276.29|0|21381.45|13240.21|8141.24|Failed|Returned</v>
      </c>
      <c r="Y573">
        <f>COUNTIF($X$2:$X$1000, X573)</f>
        <v>1</v>
      </c>
      <c r="Z573">
        <f>COUNTIF($A$2:$A$1000, A573)</f>
        <v>2</v>
      </c>
      <c r="AA573" t="str">
        <f>IF(Y573&gt;1, "Exact Duplicate",
  IF(Z573&gt;1, "Conflicting Duplicate - Review",
    "Unique"))</f>
        <v>Conflicting Duplicate - Review</v>
      </c>
      <c r="AB573" s="2">
        <f>IF(ISBLANK(R573), 0, IF(ISTEXT(R573), VALUE(SUBSTITUTE(R573, "%", ""))/100, IF(OR(R573&lt;0, R573&gt;1), "Invalid", R573)))</f>
        <v>0</v>
      </c>
      <c r="AC573" s="4">
        <f>IF(AB573="Invalid", "Error", P573 * Q573 * (1 - AB573))</f>
        <v>21381.45</v>
      </c>
      <c r="AD573" s="4">
        <f>IF(AC573="Error", "Error", AC573 - T573)</f>
        <v>8141.2400000000016</v>
      </c>
      <c r="AE573" s="2">
        <f>IF(AC573="Error", "Error", IF(AC573=0, 0, AD573 / AC573))</f>
        <v>0.38076182859441249</v>
      </c>
      <c r="AF573" s="7">
        <f>C573-B573</f>
        <v>4</v>
      </c>
      <c r="AG573" s="2" t="str">
        <f>TEXT(B573, "mmmm")</f>
        <v>February</v>
      </c>
      <c r="AH573" s="4">
        <f>YEAR(B573)</f>
        <v>2025</v>
      </c>
      <c r="AI573" s="2" t="str">
        <f t="shared" si="22"/>
        <v>Excluded from Sales</v>
      </c>
      <c r="AJ573">
        <f>COUNTIFS($A$2:$A$1000,A573,$B$2:$B$1000,B573,$C$2:$C$1000,C573,$D$2:$D$1000,D573,$E$2:$E$1000,E573,$F$2:$F$1000,F573)</f>
        <v>2</v>
      </c>
      <c r="AK573">
        <f>COUNTIF($A$2:$A$1000, A573)</f>
        <v>2</v>
      </c>
    </row>
    <row r="574" spans="1:37">
      <c r="A574" t="s">
        <v>1812</v>
      </c>
      <c r="B574" s="5">
        <v>45323</v>
      </c>
      <c r="C574" s="5">
        <v>45300</v>
      </c>
      <c r="D574" s="6">
        <f>IF(AND(C574&lt;&gt;"",B574&lt;&gt;""), C574-B574, "Missing Date")</f>
        <v>-23</v>
      </c>
      <c r="E574" s="6" t="str">
        <f>IF(OR(B574="",C574=""), "Missing Date",
    IF(C574&lt;B574, "Invalid: Ship before Order",
      "OK"))</f>
        <v>Invalid: Ship before Order</v>
      </c>
      <c r="F574" t="s">
        <v>1813</v>
      </c>
      <c r="G574" t="s">
        <v>162</v>
      </c>
      <c r="H574" t="s">
        <v>90</v>
      </c>
      <c r="I574" t="s">
        <v>25</v>
      </c>
      <c r="J574" t="s">
        <v>350</v>
      </c>
      <c r="K574" t="s">
        <v>351</v>
      </c>
      <c r="L574" t="s">
        <v>74</v>
      </c>
      <c r="M574" t="s">
        <v>171</v>
      </c>
      <c r="N574" t="s">
        <v>1814</v>
      </c>
      <c r="O574" t="s">
        <v>59</v>
      </c>
      <c r="P574">
        <v>3</v>
      </c>
      <c r="Q574">
        <v>739.56</v>
      </c>
      <c r="R574">
        <v>0.2</v>
      </c>
      <c r="S574">
        <v>1774.94</v>
      </c>
      <c r="T574">
        <v>1007.4</v>
      </c>
      <c r="U574">
        <v>767.54</v>
      </c>
      <c r="V574" t="s">
        <v>32</v>
      </c>
      <c r="W574" t="s">
        <v>33</v>
      </c>
      <c r="X574" t="str">
        <f>_xlfn.TEXTJOIN("|", TRUE, A574:W574)</f>
        <v>ORD-2024-10573|45323|45300|-23|Invalid: Ship before Order|CUST-8633|Diya Patel|Corporate|North|Delhi|New Delhi|Technology|Phones|Eco Phones 368|Standard Class|3|739.56|0.2|1774.94|1007.4|767.54|Paid|Completed</v>
      </c>
      <c r="Y574">
        <f>COUNTIF($X$2:$X$1000, X574)</f>
        <v>1</v>
      </c>
      <c r="Z574">
        <f>COUNTIF($A$2:$A$1000, A574)</f>
        <v>1</v>
      </c>
      <c r="AA574" t="str">
        <f>IF(Y574&gt;1, "Exact Duplicate",
  IF(Z574&gt;1, "Conflicting Duplicate - Review",
    "Unique"))</f>
        <v>Unique</v>
      </c>
      <c r="AB574" s="2">
        <f>IF(ISBLANK(R574), 0, IF(ISTEXT(R574), VALUE(SUBSTITUTE(R574, "%", ""))/100, IF(OR(R574&lt;0, R574&gt;1), "Invalid", R574)))</f>
        <v>0.2</v>
      </c>
      <c r="AC574" s="4">
        <f>IF(AB574="Invalid", "Error", P574 * Q574 * (1 - AB574))</f>
        <v>1774.944</v>
      </c>
      <c r="AD574" s="4">
        <f>IF(AC574="Error", "Error", AC574 - T574)</f>
        <v>767.54399999999998</v>
      </c>
      <c r="AE574" s="2">
        <f>IF(AC574="Error", "Error", IF(AC574=0, 0, AD574 / AC574))</f>
        <v>0.43243279787982042</v>
      </c>
      <c r="AF574" s="7">
        <f>C574-B574</f>
        <v>-23</v>
      </c>
      <c r="AG574" s="2" t="str">
        <f>TEXT(B574, "mmmm")</f>
        <v>February</v>
      </c>
      <c r="AH574" s="4">
        <f>YEAR(B574)</f>
        <v>2024</v>
      </c>
      <c r="AI574" s="2" t="str">
        <f t="shared" si="22"/>
        <v>Invalid Shipping Record</v>
      </c>
      <c r="AJ574">
        <f>COUNTIFS($A$2:$A$1000,A574,$B$2:$B$1000,B574,$C$2:$C$1000,C574,$D$2:$D$1000,D574,$E$2:$E$1000,E574,$F$2:$F$1000,F574)</f>
        <v>1</v>
      </c>
      <c r="AK574">
        <f>COUNTIF($A$2:$A$1000, A574)</f>
        <v>1</v>
      </c>
    </row>
    <row r="575" spans="1:37">
      <c r="A575" t="s">
        <v>1815</v>
      </c>
      <c r="B575" s="5">
        <v>45922</v>
      </c>
      <c r="C575" s="5">
        <v>45926</v>
      </c>
      <c r="D575" s="6">
        <f>IF(AND(C575&lt;&gt;"",B575&lt;&gt;""), C575-B575, "Missing Date")</f>
        <v>4</v>
      </c>
      <c r="E575" s="6" t="str">
        <f>IF(OR(B575="",C575=""), "Missing Date",
    IF(C575&lt;B575, "Invalid: Ship before Order",
      "OK"))</f>
        <v>OK</v>
      </c>
      <c r="F575" t="s">
        <v>1816</v>
      </c>
      <c r="G575" t="s">
        <v>47</v>
      </c>
      <c r="H575" t="s">
        <v>24</v>
      </c>
      <c r="I575" t="s">
        <v>54</v>
      </c>
      <c r="J575" t="s">
        <v>84</v>
      </c>
      <c r="K575" t="s">
        <v>85</v>
      </c>
      <c r="L575" t="s">
        <v>74</v>
      </c>
      <c r="M575" t="s">
        <v>171</v>
      </c>
      <c r="N575" t="s">
        <v>1817</v>
      </c>
      <c r="O575" t="s">
        <v>59</v>
      </c>
      <c r="P575">
        <v>1</v>
      </c>
      <c r="Q575">
        <v>573.65</v>
      </c>
      <c r="R575">
        <v>0</v>
      </c>
      <c r="S575">
        <v>573.65</v>
      </c>
      <c r="T575">
        <v>322.67</v>
      </c>
      <c r="U575">
        <v>250.98</v>
      </c>
      <c r="V575" t="s">
        <v>32</v>
      </c>
      <c r="W575" t="s">
        <v>33</v>
      </c>
      <c r="X575" t="str">
        <f>_xlfn.TEXTJOIN("|", TRUE, A575:W575)</f>
        <v>ORD-2025-10574|45922|45926|4|OK|CUST-8243|Isha Nair|Consumer|South|Andhra Pradesh|Vijayawada|Technology|Phones|Pro Phones 644|Standard Class|1|573.65|0|573.65|322.67|250.98|Paid|Completed</v>
      </c>
      <c r="Y575">
        <f>COUNTIF($X$2:$X$1000, X575)</f>
        <v>1</v>
      </c>
      <c r="Z575">
        <f>COUNTIF($A$2:$A$1000, A575)</f>
        <v>1</v>
      </c>
      <c r="AA575" t="str">
        <f>IF(Y575&gt;1, "Exact Duplicate",
  IF(Z575&gt;1, "Conflicting Duplicate - Review",
    "Unique"))</f>
        <v>Unique</v>
      </c>
      <c r="AB575" s="2">
        <f>IF(ISBLANK(R575), 0, IF(ISTEXT(R575), VALUE(SUBSTITUTE(R575, "%", ""))/100, IF(OR(R575&lt;0, R575&gt;1), "Invalid", R575)))</f>
        <v>0</v>
      </c>
      <c r="AC575" s="4">
        <f>IF(AB575="Invalid", "Error", P575 * Q575 * (1 - AB575))</f>
        <v>573.65</v>
      </c>
      <c r="AD575" s="4">
        <f>IF(AC575="Error", "Error", AC575 - T575)</f>
        <v>250.97999999999996</v>
      </c>
      <c r="AE575" s="2">
        <f>IF(AC575="Error", "Error", IF(AC575=0, 0, AD575 / AC575))</f>
        <v>0.43751416368866031</v>
      </c>
      <c r="AF575" s="7">
        <f>C575-B575</f>
        <v>4</v>
      </c>
      <c r="AG575" s="2" t="str">
        <f>TEXT(B575, "mmmm")</f>
        <v>September</v>
      </c>
      <c r="AH575" s="4">
        <f>YEAR(B575)</f>
        <v>2025</v>
      </c>
      <c r="AI575" s="2" t="str">
        <f t="shared" si="22"/>
        <v>Clean</v>
      </c>
      <c r="AJ575">
        <f>COUNTIFS($A$2:$A$1000,A575,$B$2:$B$1000,B575,$C$2:$C$1000,C575,$D$2:$D$1000,D575,$E$2:$E$1000,E575,$F$2:$F$1000,F575)</f>
        <v>1</v>
      </c>
      <c r="AK575">
        <f>COUNTIF($A$2:$A$1000, A575)</f>
        <v>1</v>
      </c>
    </row>
    <row r="576" spans="1:37">
      <c r="A576" t="s">
        <v>1818</v>
      </c>
      <c r="B576" s="5">
        <v>45342</v>
      </c>
      <c r="C576" s="5">
        <v>45347</v>
      </c>
      <c r="D576" s="6">
        <f>IF(AND(C576&lt;&gt;"",B576&lt;&gt;""), C576-B576, "Missing Date")</f>
        <v>5</v>
      </c>
      <c r="E576" s="6" t="str">
        <f>IF(OR(B576="",C576=""), "Missing Date",
    IF(C576&lt;B576, "Invalid: Ship before Order",
      "OK"))</f>
        <v>OK</v>
      </c>
      <c r="F576" t="s">
        <v>801</v>
      </c>
      <c r="G576" t="s">
        <v>162</v>
      </c>
      <c r="H576" t="s">
        <v>95</v>
      </c>
      <c r="I576" t="s">
        <v>25</v>
      </c>
      <c r="J576" t="s">
        <v>122</v>
      </c>
      <c r="K576" t="s">
        <v>123</v>
      </c>
      <c r="L576" t="s">
        <v>74</v>
      </c>
      <c r="M576" t="s">
        <v>274</v>
      </c>
      <c r="N576" t="s">
        <v>1819</v>
      </c>
      <c r="O576" t="s">
        <v>59</v>
      </c>
      <c r="P576">
        <v>4</v>
      </c>
      <c r="Q576">
        <v>1355.8</v>
      </c>
      <c r="R576">
        <v>0</v>
      </c>
      <c r="S576">
        <v>5423.2</v>
      </c>
      <c r="T576">
        <v>4072.44</v>
      </c>
      <c r="U576">
        <v>1350.76</v>
      </c>
      <c r="V576" t="s">
        <v>32</v>
      </c>
      <c r="W576" t="s">
        <v>33</v>
      </c>
      <c r="X576" t="str">
        <f>_xlfn.TEXTJOIN("|", TRUE, A576:W576)</f>
        <v>ORD-2024-10575|45342|45347|5|OK|CUST-9139|Diya Patel|Home Office|North|Punjab|Ludhiana|Technology|Machines|Smart Machines 566|Standard Class|4|1355.8|0|5423.2|4072.44|1350.76|Paid|Completed</v>
      </c>
      <c r="Y576">
        <f>COUNTIF($X$2:$X$1000, X576)</f>
        <v>1</v>
      </c>
      <c r="Z576">
        <f>COUNTIF($A$2:$A$1000, A576)</f>
        <v>1</v>
      </c>
      <c r="AA576" t="str">
        <f>IF(Y576&gt;1, "Exact Duplicate",
  IF(Z576&gt;1, "Conflicting Duplicate - Review",
    "Unique"))</f>
        <v>Unique</v>
      </c>
      <c r="AB576" s="2">
        <f>IF(ISBLANK(R576), 0, IF(ISTEXT(R576), VALUE(SUBSTITUTE(R576, "%", ""))/100, IF(OR(R576&lt;0, R576&gt;1), "Invalid", R576)))</f>
        <v>0</v>
      </c>
      <c r="AC576" s="4">
        <f>IF(AB576="Invalid", "Error", P576 * Q576 * (1 - AB576))</f>
        <v>5423.2</v>
      </c>
      <c r="AD576" s="4">
        <f>IF(AC576="Error", "Error", AC576 - T576)</f>
        <v>1350.7599999999998</v>
      </c>
      <c r="AE576" s="2">
        <f>IF(AC576="Error", "Error", IF(AC576=0, 0, AD576 / AC576))</f>
        <v>0.24907065938929043</v>
      </c>
      <c r="AF576" s="7">
        <f>C576-B576</f>
        <v>5</v>
      </c>
      <c r="AG576" s="2" t="str">
        <f>TEXT(B576, "mmmm")</f>
        <v>February</v>
      </c>
      <c r="AH576" s="4">
        <f>YEAR(B576)</f>
        <v>2024</v>
      </c>
      <c r="AI576" s="2" t="str">
        <f t="shared" si="22"/>
        <v>Clean</v>
      </c>
      <c r="AJ576">
        <f>COUNTIFS($A$2:$A$1000,A576,$B$2:$B$1000,B576,$C$2:$C$1000,C576,$D$2:$D$1000,D576,$E$2:$E$1000,E576,$F$2:$F$1000,F576)</f>
        <v>1</v>
      </c>
      <c r="AK576">
        <f>COUNTIF($A$2:$A$1000, A576)</f>
        <v>1</v>
      </c>
    </row>
    <row r="577" spans="1:37">
      <c r="A577" t="s">
        <v>1820</v>
      </c>
      <c r="B577" s="5">
        <v>45727</v>
      </c>
      <c r="C577" s="5">
        <v>45730</v>
      </c>
      <c r="D577" s="6">
        <f>IF(AND(C577&lt;&gt;"",B577&lt;&gt;""), C577-B577, "Missing Date")</f>
        <v>3</v>
      </c>
      <c r="E577" s="6" t="str">
        <f>IF(OR(B577="",C577=""), "Missing Date",
    IF(C577&lt;B577, "Invalid: Ship before Order",
      "OK"))</f>
        <v>OK</v>
      </c>
      <c r="F577" t="s">
        <v>1821</v>
      </c>
      <c r="G577" t="s">
        <v>132</v>
      </c>
      <c r="H577" t="s">
        <v>95</v>
      </c>
      <c r="I577" t="s">
        <v>54</v>
      </c>
      <c r="J577" t="s">
        <v>185</v>
      </c>
      <c r="K577" t="s">
        <v>186</v>
      </c>
      <c r="L577" t="s">
        <v>41</v>
      </c>
      <c r="M577" t="s">
        <v>57</v>
      </c>
      <c r="N577" t="s">
        <v>1822</v>
      </c>
      <c r="O577" t="s">
        <v>44</v>
      </c>
      <c r="P577">
        <v>4</v>
      </c>
      <c r="Q577">
        <v>1244.82</v>
      </c>
      <c r="R577">
        <v>0.2</v>
      </c>
      <c r="S577">
        <v>3983.42</v>
      </c>
      <c r="T577">
        <v>3174.91</v>
      </c>
      <c r="U577">
        <v>808.51</v>
      </c>
      <c r="V577" t="s">
        <v>155</v>
      </c>
      <c r="W577" t="s">
        <v>103</v>
      </c>
      <c r="X577" t="str">
        <f>_xlfn.TEXTJOIN("|", TRUE, A577:W577)</f>
        <v>ORD-2025-10576|45727|45730|3|OK|CUST-5496|Sneha Kapoor|Home Office|South|Kerala|Kochi|Furniture|Furnishings|Elite Furnishings 173|Same Day|4|1244.82|0.2|3983.42|3174.91|808.51|Failed|Returned</v>
      </c>
      <c r="Y577">
        <f>COUNTIF($X$2:$X$1000, X577)</f>
        <v>1</v>
      </c>
      <c r="Z577">
        <f>COUNTIF($A$2:$A$1000, A577)</f>
        <v>1</v>
      </c>
      <c r="AA577" t="str">
        <f>IF(Y577&gt;1, "Exact Duplicate",
  IF(Z577&gt;1, "Conflicting Duplicate - Review",
    "Unique"))</f>
        <v>Unique</v>
      </c>
      <c r="AB577" s="2">
        <f>IF(ISBLANK(R577), 0, IF(ISTEXT(R577), VALUE(SUBSTITUTE(R577, "%", ""))/100, IF(OR(R577&lt;0, R577&gt;1), "Invalid", R577)))</f>
        <v>0.2</v>
      </c>
      <c r="AC577" s="4">
        <f>IF(AB577="Invalid", "Error", P577 * Q577 * (1 - AB577))</f>
        <v>3983.424</v>
      </c>
      <c r="AD577" s="4">
        <f>IF(AC577="Error", "Error", AC577 - T577)</f>
        <v>808.51400000000012</v>
      </c>
      <c r="AE577" s="2">
        <f>IF(AC577="Error", "Error", IF(AC577=0, 0, AD577 / AC577))</f>
        <v>0.2029696060474607</v>
      </c>
      <c r="AF577" s="7">
        <f>C577-B577</f>
        <v>3</v>
      </c>
      <c r="AG577" s="2" t="str">
        <f>TEXT(B577, "mmmm")</f>
        <v>March</v>
      </c>
      <c r="AH577" s="4">
        <f>YEAR(B577)</f>
        <v>2025</v>
      </c>
      <c r="AI577" s="2" t="str">
        <f t="shared" si="22"/>
        <v>Excluded from Sales</v>
      </c>
      <c r="AJ577">
        <f>COUNTIFS($A$2:$A$1000,A577,$B$2:$B$1000,B577,$C$2:$C$1000,C577,$D$2:$D$1000,D577,$E$2:$E$1000,E577,$F$2:$F$1000,F577)</f>
        <v>1</v>
      </c>
      <c r="AK577">
        <f>COUNTIF($A$2:$A$1000, A577)</f>
        <v>1</v>
      </c>
    </row>
    <row r="578" spans="1:37">
      <c r="A578" t="s">
        <v>1823</v>
      </c>
      <c r="B578" s="5">
        <v>45339</v>
      </c>
      <c r="C578" s="5">
        <v>45345</v>
      </c>
      <c r="D578" s="6">
        <f>IF(AND(C578&lt;&gt;"",B578&lt;&gt;""), C578-B578, "Missing Date")</f>
        <v>6</v>
      </c>
      <c r="E578" s="6" t="str">
        <f>IF(OR(B578="",C578=""), "Missing Date",
    IF(C578&lt;B578, "Invalid: Ship before Order",
      "OK"))</f>
        <v>OK</v>
      </c>
      <c r="F578" t="s">
        <v>1824</v>
      </c>
      <c r="G578" t="s">
        <v>141</v>
      </c>
      <c r="H578" t="s">
        <v>95</v>
      </c>
      <c r="I578" t="s">
        <v>2762</v>
      </c>
      <c r="J578" t="s">
        <v>145</v>
      </c>
      <c r="K578" t="s">
        <v>146</v>
      </c>
      <c r="L578" t="s">
        <v>28</v>
      </c>
      <c r="M578" t="s">
        <v>153</v>
      </c>
      <c r="N578" t="s">
        <v>1825</v>
      </c>
      <c r="O578" t="s">
        <v>59</v>
      </c>
      <c r="P578">
        <v>9</v>
      </c>
      <c r="Q578">
        <v>2614.46</v>
      </c>
      <c r="R578">
        <v>0</v>
      </c>
      <c r="S578">
        <v>23530.14</v>
      </c>
      <c r="T578">
        <v>19537.79</v>
      </c>
      <c r="U578">
        <v>3992.35</v>
      </c>
      <c r="V578" t="s">
        <v>102</v>
      </c>
      <c r="W578" t="s">
        <v>103</v>
      </c>
      <c r="X578" t="str">
        <f>_xlfn.TEXTJOIN("|", TRUE, A578:W578)</f>
        <v>ORD-2024-10577|45339|45345|6|OK|CUST-2228|Rohan Mehta|Home Office|Unknown|Bihar|Patna|Office Supplies|Binders|Smart Binders 417|Standard Class|9|2614.46|0|23530.14|19537.79|3992.35|Refunded|Returned</v>
      </c>
      <c r="Y578">
        <f>COUNTIF($X$2:$X$1000, X578)</f>
        <v>1</v>
      </c>
      <c r="Z578">
        <f>COUNTIF($A$2:$A$1000, A578)</f>
        <v>1</v>
      </c>
      <c r="AA578" t="str">
        <f>IF(Y578&gt;1, "Exact Duplicate",
  IF(Z578&gt;1, "Conflicting Duplicate - Review",
    "Unique"))</f>
        <v>Unique</v>
      </c>
      <c r="AB578" s="2">
        <f>IF(ISBLANK(R578), 0, IF(ISTEXT(R578), VALUE(SUBSTITUTE(R578, "%", ""))/100, IF(OR(R578&lt;0, R578&gt;1), "Invalid", R578)))</f>
        <v>0</v>
      </c>
      <c r="AC578" s="4">
        <f>IF(AB578="Invalid", "Error", P578 * Q578 * (1 - AB578))</f>
        <v>23530.14</v>
      </c>
      <c r="AD578" s="4">
        <f>IF(AC578="Error", "Error", AC578 - T578)</f>
        <v>3992.3499999999985</v>
      </c>
      <c r="AE578" s="2">
        <f>IF(AC578="Error", "Error", IF(AC578=0, 0, AD578 / AC578))</f>
        <v>0.16966962372514566</v>
      </c>
      <c r="AF578" s="7">
        <f>C578-B578</f>
        <v>6</v>
      </c>
      <c r="AG578" s="2" t="str">
        <f>TEXT(B578, "mmmm")</f>
        <v>February</v>
      </c>
      <c r="AH578" s="4">
        <f>YEAR(B578)</f>
        <v>2024</v>
      </c>
      <c r="AI578" s="2" t="str">
        <f t="shared" si="22"/>
        <v>Warning: Missing Region</v>
      </c>
      <c r="AJ578">
        <f>COUNTIFS($A$2:$A$1000,A578,$B$2:$B$1000,B578,$C$2:$C$1000,C578,$D$2:$D$1000,D578,$E$2:$E$1000,E578,$F$2:$F$1000,F578)</f>
        <v>1</v>
      </c>
      <c r="AK578">
        <f>COUNTIF($A$2:$A$1000, A578)</f>
        <v>1</v>
      </c>
    </row>
    <row r="579" spans="1:37">
      <c r="A579" t="s">
        <v>1826</v>
      </c>
      <c r="B579" s="5">
        <v>45897</v>
      </c>
      <c r="C579" s="5">
        <v>45903</v>
      </c>
      <c r="D579" s="6">
        <f>IF(AND(C579&lt;&gt;"",B579&lt;&gt;""), C579-B579, "Missing Date")</f>
        <v>6</v>
      </c>
      <c r="E579" s="6" t="str">
        <f>IF(OR(B579="",C579=""), "Missing Date",
    IF(C579&lt;B579, "Invalid: Ship before Order",
      "OK"))</f>
        <v>OK</v>
      </c>
      <c r="F579" t="s">
        <v>1827</v>
      </c>
      <c r="G579" t="s">
        <v>114</v>
      </c>
      <c r="H579" t="s">
        <v>90</v>
      </c>
      <c r="I579" t="s">
        <v>63</v>
      </c>
      <c r="J579" t="s">
        <v>72</v>
      </c>
      <c r="K579" t="s">
        <v>73</v>
      </c>
      <c r="L579" t="s">
        <v>41</v>
      </c>
      <c r="M579" t="s">
        <v>57</v>
      </c>
      <c r="N579" t="s">
        <v>1828</v>
      </c>
      <c r="O579" t="s">
        <v>59</v>
      </c>
      <c r="P579">
        <v>7</v>
      </c>
      <c r="Q579">
        <v>268.45</v>
      </c>
      <c r="R579">
        <v>0</v>
      </c>
      <c r="S579">
        <v>1879.15</v>
      </c>
      <c r="T579">
        <v>1134.9000000000001</v>
      </c>
      <c r="U579">
        <v>744.25</v>
      </c>
      <c r="V579" t="s">
        <v>32</v>
      </c>
      <c r="W579" t="s">
        <v>33</v>
      </c>
      <c r="X579" t="str">
        <f>_xlfn.TEXTJOIN("|", TRUE, A579:W579)</f>
        <v>ORD-2025-10578|45897|45903|6|OK|CUST-4151|Priya Menon|Corporate|West|Madhya Pradesh|Indore|Furniture|Furnishings|Smart Furnishings 714|Standard Class|7|268.45|0|1879.15|1134.9|744.25|Paid|Completed</v>
      </c>
      <c r="Y579">
        <f>COUNTIF($X$2:$X$1000, X579)</f>
        <v>1</v>
      </c>
      <c r="Z579">
        <f>COUNTIF($A$2:$A$1000, A579)</f>
        <v>1</v>
      </c>
      <c r="AA579" t="str">
        <f>IF(Y579&gt;1, "Exact Duplicate",
  IF(Z579&gt;1, "Conflicting Duplicate - Review",
    "Unique"))</f>
        <v>Unique</v>
      </c>
      <c r="AB579" s="2">
        <f>IF(ISBLANK(R579), 0, IF(ISTEXT(R579), VALUE(SUBSTITUTE(R579, "%", ""))/100, IF(OR(R579&lt;0, R579&gt;1), "Invalid", R579)))</f>
        <v>0</v>
      </c>
      <c r="AC579" s="4">
        <f>IF(AB579="Invalid", "Error", P579 * Q579 * (1 - AB579))</f>
        <v>1879.1499999999999</v>
      </c>
      <c r="AD579" s="4">
        <f>IF(AC579="Error", "Error", AC579 - T579)</f>
        <v>744.24999999999977</v>
      </c>
      <c r="AE579" s="2">
        <f>IF(AC579="Error", "Error", IF(AC579=0, 0, AD579 / AC579))</f>
        <v>0.39605672777585599</v>
      </c>
      <c r="AF579" s="7">
        <f>C579-B579</f>
        <v>6</v>
      </c>
      <c r="AG579" s="2" t="str">
        <f>TEXT(B579, "mmmm")</f>
        <v>August</v>
      </c>
      <c r="AH579" s="4">
        <f>YEAR(B579)</f>
        <v>2025</v>
      </c>
      <c r="AI579" s="2" t="str">
        <f t="shared" ref="AI579:AI642" si="23">IF(OR(R579&lt;0,R579&gt;1),"Invalid: Discount",
IF(AND(I579="Unknown",J579&lt;&gt;""),"Warning: Missing Region",
IF(W579="Cancelled","Excluded from Sales",
IF(V579="Failed","Excluded from Sales",
IF(O579="Unknown","Warning: Missing Shipping Mode",
IF(W579="Refunded","Refund – Separate Summary",
IF(C579&lt;B579,"Invalid Shipping Record",
"Clean")))))))</f>
        <v>Clean</v>
      </c>
      <c r="AJ579">
        <f>COUNTIFS($A$2:$A$1000,A579,$B$2:$B$1000,B579,$C$2:$C$1000,C579,$D$2:$D$1000,D579,$E$2:$E$1000,E579,$F$2:$F$1000,F579)</f>
        <v>1</v>
      </c>
      <c r="AK579">
        <f>COUNTIF($A$2:$A$1000, A579)</f>
        <v>1</v>
      </c>
    </row>
    <row r="580" spans="1:37">
      <c r="A580" t="s">
        <v>1829</v>
      </c>
      <c r="B580" s="5">
        <v>45343</v>
      </c>
      <c r="C580" s="5">
        <v>45345</v>
      </c>
      <c r="D580" s="6">
        <f>IF(AND(C580&lt;&gt;"",B580&lt;&gt;""), C580-B580, "Missing Date")</f>
        <v>2</v>
      </c>
      <c r="E580" s="6" t="str">
        <f>IF(OR(B580="",C580=""), "Missing Date",
    IF(C580&lt;B580, "Invalid: Ship before Order",
      "OK"))</f>
        <v>OK</v>
      </c>
      <c r="F580" t="s">
        <v>295</v>
      </c>
      <c r="G580" t="s">
        <v>79</v>
      </c>
      <c r="H580" t="s">
        <v>37</v>
      </c>
      <c r="I580" t="s">
        <v>63</v>
      </c>
      <c r="J580" t="s">
        <v>180</v>
      </c>
      <c r="K580" t="s">
        <v>181</v>
      </c>
      <c r="L580" t="s">
        <v>74</v>
      </c>
      <c r="M580" t="s">
        <v>80</v>
      </c>
      <c r="N580" t="s">
        <v>1830</v>
      </c>
      <c r="O580" t="s">
        <v>50</v>
      </c>
      <c r="P580">
        <v>6</v>
      </c>
      <c r="Q580">
        <v>2633.65</v>
      </c>
      <c r="R580">
        <v>0.05</v>
      </c>
      <c r="S580">
        <v>15011.81</v>
      </c>
      <c r="T580">
        <v>9660.36</v>
      </c>
      <c r="U580">
        <v>5351.45</v>
      </c>
      <c r="V580" t="s">
        <v>32</v>
      </c>
      <c r="W580" t="s">
        <v>33</v>
      </c>
      <c r="X580" t="str">
        <f>_xlfn.TEXTJOIN("|", TRUE, A580:W580)</f>
        <v>ORD-2024-10579|45343|45345|2|OK|CUST-4900|Neha Gupta|Small Business|West|Gujarat|Ahmedabad|Technology|Copiers|Elite Copiers 682|First Class|6|2633.65|0.05|15011.81|9660.36|5351.45|Paid|Completed</v>
      </c>
      <c r="Y580">
        <f>COUNTIF($X$2:$X$1000, X580)</f>
        <v>1</v>
      </c>
      <c r="Z580">
        <f>COUNTIF($A$2:$A$1000, A580)</f>
        <v>1</v>
      </c>
      <c r="AA580" t="str">
        <f>IF(Y580&gt;1, "Exact Duplicate",
  IF(Z580&gt;1, "Conflicting Duplicate - Review",
    "Unique"))</f>
        <v>Unique</v>
      </c>
      <c r="AB580" s="2">
        <f>IF(ISBLANK(R580), 0, IF(ISTEXT(R580), VALUE(SUBSTITUTE(R580, "%", ""))/100, IF(OR(R580&lt;0, R580&gt;1), "Invalid", R580)))</f>
        <v>0.05</v>
      </c>
      <c r="AC580" s="4">
        <f>IF(AB580="Invalid", "Error", P580 * Q580 * (1 - AB580))</f>
        <v>15011.805</v>
      </c>
      <c r="AD580" s="4">
        <f>IF(AC580="Error", "Error", AC580 - T580)</f>
        <v>5351.4449999999997</v>
      </c>
      <c r="AE580" s="2">
        <f>IF(AC580="Error", "Error", IF(AC580=0, 0, AD580 / AC580))</f>
        <v>0.35648244831317749</v>
      </c>
      <c r="AF580" s="7">
        <f>C580-B580</f>
        <v>2</v>
      </c>
      <c r="AG580" s="2" t="str">
        <f>TEXT(B580, "mmmm")</f>
        <v>February</v>
      </c>
      <c r="AH580" s="4">
        <f>YEAR(B580)</f>
        <v>2024</v>
      </c>
      <c r="AI580" s="2" t="str">
        <f t="shared" si="23"/>
        <v>Clean</v>
      </c>
      <c r="AJ580">
        <f>COUNTIFS($A$2:$A$1000,A580,$B$2:$B$1000,B580,$C$2:$C$1000,C580,$D$2:$D$1000,D580,$E$2:$E$1000,E580,$F$2:$F$1000,F580)</f>
        <v>1</v>
      </c>
      <c r="AK580">
        <f>COUNTIF($A$2:$A$1000, A580)</f>
        <v>1</v>
      </c>
    </row>
    <row r="581" spans="1:37">
      <c r="A581" t="s">
        <v>1831</v>
      </c>
      <c r="B581" s="5">
        <v>45462</v>
      </c>
      <c r="C581" s="5">
        <v>45467</v>
      </c>
      <c r="D581" s="6">
        <f>IF(AND(C581&lt;&gt;"",B581&lt;&gt;""), C581-B581, "Missing Date")</f>
        <v>5</v>
      </c>
      <c r="E581" s="6" t="str">
        <f>IF(OR(B581="",C581=""), "Missing Date",
    IF(C581&lt;B581, "Invalid: Ship before Order",
      "OK"))</f>
        <v>OK</v>
      </c>
      <c r="F581" t="s">
        <v>1832</v>
      </c>
      <c r="G581" t="s">
        <v>128</v>
      </c>
      <c r="H581" t="s">
        <v>37</v>
      </c>
      <c r="I581" t="s">
        <v>54</v>
      </c>
      <c r="J581" t="s">
        <v>247</v>
      </c>
      <c r="K581" t="s">
        <v>248</v>
      </c>
      <c r="L581" t="s">
        <v>28</v>
      </c>
      <c r="M581" t="s">
        <v>124</v>
      </c>
      <c r="N581" t="s">
        <v>1833</v>
      </c>
      <c r="O581" t="s">
        <v>44</v>
      </c>
      <c r="P581">
        <v>1</v>
      </c>
      <c r="Q581">
        <v>3202.41</v>
      </c>
      <c r="R581">
        <v>0</v>
      </c>
      <c r="S581">
        <v>3202.41</v>
      </c>
      <c r="T581">
        <v>2608.44</v>
      </c>
      <c r="U581">
        <v>593.97</v>
      </c>
      <c r="V581" t="s">
        <v>32</v>
      </c>
      <c r="W581" t="s">
        <v>33</v>
      </c>
      <c r="X581" t="str">
        <f>_xlfn.TEXTJOIN("|", TRUE, A581:W581)</f>
        <v>ORD-2024-10580|45462|45467|5|OK|CUST-9617|Aarav Sharma|Small Business|South|Tamil Nadu|Chennai|Office Supplies|Storage|Pro Storage 482|Same Day|1|3202.41|0|3202.41|2608.44|593.97|Paid|Completed</v>
      </c>
      <c r="Y581">
        <f>COUNTIF($X$2:$X$1000, X581)</f>
        <v>1</v>
      </c>
      <c r="Z581">
        <f>COUNTIF($A$2:$A$1000, A581)</f>
        <v>1</v>
      </c>
      <c r="AA581" t="str">
        <f>IF(Y581&gt;1, "Exact Duplicate",
  IF(Z581&gt;1, "Conflicting Duplicate - Review",
    "Unique"))</f>
        <v>Unique</v>
      </c>
      <c r="AB581" s="2">
        <f>IF(ISBLANK(R581), 0, IF(ISTEXT(R581), VALUE(SUBSTITUTE(R581, "%", ""))/100, IF(OR(R581&lt;0, R581&gt;1), "Invalid", R581)))</f>
        <v>0</v>
      </c>
      <c r="AC581" s="4">
        <f>IF(AB581="Invalid", "Error", P581 * Q581 * (1 - AB581))</f>
        <v>3202.41</v>
      </c>
      <c r="AD581" s="4">
        <f>IF(AC581="Error", "Error", AC581 - T581)</f>
        <v>593.9699999999998</v>
      </c>
      <c r="AE581" s="2">
        <f>IF(AC581="Error", "Error", IF(AC581=0, 0, AD581 / AC581))</f>
        <v>0.18547593843386695</v>
      </c>
      <c r="AF581" s="7">
        <f>C581-B581</f>
        <v>5</v>
      </c>
      <c r="AG581" s="2" t="str">
        <f>TEXT(B581, "mmmm")</f>
        <v>June</v>
      </c>
      <c r="AH581" s="4">
        <f>YEAR(B581)</f>
        <v>2024</v>
      </c>
      <c r="AI581" s="2" t="str">
        <f t="shared" si="23"/>
        <v>Clean</v>
      </c>
      <c r="AJ581">
        <f>COUNTIFS($A$2:$A$1000,A581,$B$2:$B$1000,B581,$C$2:$C$1000,C581,$D$2:$D$1000,D581,$E$2:$E$1000,E581,$F$2:$F$1000,F581)</f>
        <v>1</v>
      </c>
      <c r="AK581">
        <f>COUNTIF($A$2:$A$1000, A581)</f>
        <v>1</v>
      </c>
    </row>
    <row r="582" spans="1:37">
      <c r="A582" t="s">
        <v>1834</v>
      </c>
      <c r="B582" s="5">
        <v>45722</v>
      </c>
      <c r="C582" s="5">
        <v>45729</v>
      </c>
      <c r="D582" s="6">
        <f>IF(AND(C582&lt;&gt;"",B582&lt;&gt;""), C582-B582, "Missing Date")</f>
        <v>7</v>
      </c>
      <c r="E582" s="6" t="str">
        <f>IF(OR(B582="",C582=""), "Missing Date",
    IF(C582&lt;B582, "Invalid: Ship before Order",
      "OK"))</f>
        <v>OK</v>
      </c>
      <c r="F582" t="s">
        <v>1835</v>
      </c>
      <c r="G582" t="s">
        <v>264</v>
      </c>
      <c r="H582" t="s">
        <v>24</v>
      </c>
      <c r="I582" t="s">
        <v>54</v>
      </c>
      <c r="J582" t="s">
        <v>185</v>
      </c>
      <c r="K582" t="s">
        <v>186</v>
      </c>
      <c r="L582" t="s">
        <v>41</v>
      </c>
      <c r="M582" t="s">
        <v>66</v>
      </c>
      <c r="N582" t="s">
        <v>1836</v>
      </c>
      <c r="O582" t="s">
        <v>59</v>
      </c>
      <c r="P582">
        <v>3</v>
      </c>
      <c r="Q582">
        <v>163.72</v>
      </c>
      <c r="R582">
        <v>0.15</v>
      </c>
      <c r="S582">
        <v>417.49</v>
      </c>
      <c r="T582">
        <v>261.67</v>
      </c>
      <c r="U582">
        <v>155.82</v>
      </c>
      <c r="V582" t="s">
        <v>155</v>
      </c>
      <c r="W582" t="s">
        <v>103</v>
      </c>
      <c r="X582" t="str">
        <f>_xlfn.TEXTJOIN("|", TRUE, A582:W582)</f>
        <v>ORD-2025-10581|45722|45729|7|OK|CUST-7958|Kabir Singh|Consumer|South|Kerala|Kochi|Furniture|Chairs|Pro Chairs 888|Standard Class|3|163.72|0.15|417.49|261.67|155.82|Failed|Returned</v>
      </c>
      <c r="Y582">
        <f>COUNTIF($X$2:$X$1000, X582)</f>
        <v>1</v>
      </c>
      <c r="Z582">
        <f>COUNTIF($A$2:$A$1000, A582)</f>
        <v>1</v>
      </c>
      <c r="AA582" t="str">
        <f>IF(Y582&gt;1, "Exact Duplicate",
  IF(Z582&gt;1, "Conflicting Duplicate - Review",
    "Unique"))</f>
        <v>Unique</v>
      </c>
      <c r="AB582" s="2">
        <f>IF(ISBLANK(R582), 0, IF(ISTEXT(R582), VALUE(SUBSTITUTE(R582, "%", ""))/100, IF(OR(R582&lt;0, R582&gt;1), "Invalid", R582)))</f>
        <v>0.15</v>
      </c>
      <c r="AC582" s="4">
        <f>IF(AB582="Invalid", "Error", P582 * Q582 * (1 - AB582))</f>
        <v>417.48599999999999</v>
      </c>
      <c r="AD582" s="4">
        <f>IF(AC582="Error", "Error", AC582 - T582)</f>
        <v>155.81599999999997</v>
      </c>
      <c r="AE582" s="2">
        <f>IF(AC582="Error", "Error", IF(AC582=0, 0, AD582 / AC582))</f>
        <v>0.37322449136018926</v>
      </c>
      <c r="AF582" s="7">
        <f>C582-B582</f>
        <v>7</v>
      </c>
      <c r="AG582" s="2" t="str">
        <f>TEXT(B582, "mmmm")</f>
        <v>March</v>
      </c>
      <c r="AH582" s="4">
        <f>YEAR(B582)</f>
        <v>2025</v>
      </c>
      <c r="AI582" s="2" t="str">
        <f t="shared" si="23"/>
        <v>Excluded from Sales</v>
      </c>
      <c r="AJ582">
        <f>COUNTIFS($A$2:$A$1000,A582,$B$2:$B$1000,B582,$C$2:$C$1000,C582,$D$2:$D$1000,D582,$E$2:$E$1000,E582,$F$2:$F$1000,F582)</f>
        <v>1</v>
      </c>
      <c r="AK582">
        <f>COUNTIF($A$2:$A$1000, A582)</f>
        <v>1</v>
      </c>
    </row>
    <row r="583" spans="1:37">
      <c r="A583" t="s">
        <v>1837</v>
      </c>
      <c r="B583" s="5">
        <v>45878</v>
      </c>
      <c r="C583" s="5">
        <v>45938</v>
      </c>
      <c r="D583" s="6">
        <f>IF(AND(C583&lt;&gt;"",B583&lt;&gt;""), C583-B583, "Missing Date")</f>
        <v>60</v>
      </c>
      <c r="E583" s="6" t="str">
        <f>IF(OR(B583="",C583=""), "Missing Date",
    IF(C583&lt;B583, "Invalid: Ship before Order",
      "OK"))</f>
        <v>OK</v>
      </c>
      <c r="F583" t="s">
        <v>1838</v>
      </c>
      <c r="G583" t="s">
        <v>79</v>
      </c>
      <c r="H583" t="s">
        <v>24</v>
      </c>
      <c r="I583" t="s">
        <v>25</v>
      </c>
      <c r="J583" t="s">
        <v>350</v>
      </c>
      <c r="K583" t="s">
        <v>351</v>
      </c>
      <c r="L583" t="s">
        <v>28</v>
      </c>
      <c r="M583" t="s">
        <v>48</v>
      </c>
      <c r="N583" t="s">
        <v>1839</v>
      </c>
      <c r="O583" t="s">
        <v>31</v>
      </c>
      <c r="P583">
        <v>4</v>
      </c>
      <c r="Q583">
        <v>4080.95</v>
      </c>
      <c r="R583">
        <v>0</v>
      </c>
      <c r="S583">
        <v>16323.8</v>
      </c>
      <c r="T583">
        <v>9965.7900000000009</v>
      </c>
      <c r="U583">
        <v>6358.01</v>
      </c>
      <c r="V583" t="s">
        <v>102</v>
      </c>
      <c r="W583" t="s">
        <v>103</v>
      </c>
      <c r="X583" t="str">
        <f>_xlfn.TEXTJOIN("|", TRUE, A583:W583)</f>
        <v>ORD-2025-10582|45878|45938|60|OK|CUST-9931|Neha Gupta|Consumer|North|Delhi|New Delhi|Office Supplies|Art|Classic Art 611|Second Class|4|4080.95|0|16323.8|9965.79|6358.01|Refunded|Returned</v>
      </c>
      <c r="Y583">
        <f>COUNTIF($X$2:$X$1000, X583)</f>
        <v>1</v>
      </c>
      <c r="Z583">
        <f>COUNTIF($A$2:$A$1000, A583)</f>
        <v>1</v>
      </c>
      <c r="AA583" t="str">
        <f>IF(Y583&gt;1, "Exact Duplicate",
  IF(Z583&gt;1, "Conflicting Duplicate - Review",
    "Unique"))</f>
        <v>Unique</v>
      </c>
      <c r="AB583" s="2">
        <f>IF(ISBLANK(R583), 0, IF(ISTEXT(R583), VALUE(SUBSTITUTE(R583, "%", ""))/100, IF(OR(R583&lt;0, R583&gt;1), "Invalid", R583)))</f>
        <v>0</v>
      </c>
      <c r="AC583" s="4">
        <f>IF(AB583="Invalid", "Error", P583 * Q583 * (1 - AB583))</f>
        <v>16323.8</v>
      </c>
      <c r="AD583" s="4">
        <f>IF(AC583="Error", "Error", AC583 - T583)</f>
        <v>6358.0099999999984</v>
      </c>
      <c r="AE583" s="2">
        <f>IF(AC583="Error", "Error", IF(AC583=0, 0, AD583 / AC583))</f>
        <v>0.38949325524693995</v>
      </c>
      <c r="AF583" s="7">
        <f>C583-B583</f>
        <v>60</v>
      </c>
      <c r="AG583" s="2" t="str">
        <f>TEXT(B583, "mmmm")</f>
        <v>August</v>
      </c>
      <c r="AH583" s="4">
        <f>YEAR(B583)</f>
        <v>2025</v>
      </c>
      <c r="AI583" s="2" t="str">
        <f t="shared" si="23"/>
        <v>Clean</v>
      </c>
      <c r="AJ583">
        <f>COUNTIFS($A$2:$A$1000,A583,$B$2:$B$1000,B583,$C$2:$C$1000,C583,$D$2:$D$1000,D583,$E$2:$E$1000,E583,$F$2:$F$1000,F583)</f>
        <v>1</v>
      </c>
      <c r="AK583">
        <f>COUNTIF($A$2:$A$1000, A583)</f>
        <v>1</v>
      </c>
    </row>
    <row r="584" spans="1:37">
      <c r="A584" t="s">
        <v>1840</v>
      </c>
      <c r="B584" s="5">
        <v>45580</v>
      </c>
      <c r="C584" s="5">
        <v>45585</v>
      </c>
      <c r="D584" s="6">
        <f>IF(AND(C584&lt;&gt;"",B584&lt;&gt;""), C584-B584, "Missing Date")</f>
        <v>5</v>
      </c>
      <c r="E584" s="6" t="str">
        <f>IF(OR(B584="",C584=""), "Missing Date",
    IF(C584&lt;B584, "Invalid: Ship before Order",
      "OK"))</f>
        <v>OK</v>
      </c>
      <c r="F584" t="s">
        <v>1841</v>
      </c>
      <c r="G584" t="s">
        <v>62</v>
      </c>
      <c r="H584" t="s">
        <v>24</v>
      </c>
      <c r="I584" t="s">
        <v>38</v>
      </c>
      <c r="J584" t="s">
        <v>39</v>
      </c>
      <c r="K584" t="s">
        <v>40</v>
      </c>
      <c r="L584" t="s">
        <v>28</v>
      </c>
      <c r="M584" t="s">
        <v>48</v>
      </c>
      <c r="N584" t="s">
        <v>1842</v>
      </c>
      <c r="O584" t="s">
        <v>50</v>
      </c>
      <c r="P584">
        <v>5</v>
      </c>
      <c r="Q584">
        <v>671.24</v>
      </c>
      <c r="R584">
        <v>0</v>
      </c>
      <c r="S584">
        <v>3356.2</v>
      </c>
      <c r="T584">
        <v>2205.7199999999998</v>
      </c>
      <c r="U584">
        <v>1150.48</v>
      </c>
      <c r="V584" t="s">
        <v>111</v>
      </c>
      <c r="W584" t="s">
        <v>103</v>
      </c>
      <c r="X584" t="str">
        <f>_xlfn.TEXTJOIN("|", TRUE, A584:W584)</f>
        <v>ORD-2024-10583|45580|45585|5|OK|CUST-2088|Ananya Rao|Consumer|East|Odisha|Bhubaneswar|Office Supplies|Art|Basic Art 174|First Class|5|671.24|0|3356.2|2205.72|1150.48|Pending|Returned</v>
      </c>
      <c r="Y584">
        <f>COUNTIF($X$2:$X$1000, X584)</f>
        <v>1</v>
      </c>
      <c r="Z584">
        <f>COUNTIF($A$2:$A$1000, A584)</f>
        <v>1</v>
      </c>
      <c r="AA584" t="str">
        <f>IF(Y584&gt;1, "Exact Duplicate",
  IF(Z584&gt;1, "Conflicting Duplicate - Review",
    "Unique"))</f>
        <v>Unique</v>
      </c>
      <c r="AB584" s="2">
        <f>IF(ISBLANK(R584), 0, IF(ISTEXT(R584), VALUE(SUBSTITUTE(R584, "%", ""))/100, IF(OR(R584&lt;0, R584&gt;1), "Invalid", R584)))</f>
        <v>0</v>
      </c>
      <c r="AC584" s="4">
        <f>IF(AB584="Invalid", "Error", P584 * Q584 * (1 - AB584))</f>
        <v>3356.2</v>
      </c>
      <c r="AD584" s="4">
        <f>IF(AC584="Error", "Error", AC584 - T584)</f>
        <v>1150.48</v>
      </c>
      <c r="AE584" s="2">
        <f>IF(AC584="Error", "Error", IF(AC584=0, 0, AD584 / AC584))</f>
        <v>0.34279244383528995</v>
      </c>
      <c r="AF584" s="7">
        <f>C584-B584</f>
        <v>5</v>
      </c>
      <c r="AG584" s="2" t="str">
        <f>TEXT(B584, "mmmm")</f>
        <v>October</v>
      </c>
      <c r="AH584" s="4">
        <f>YEAR(B584)</f>
        <v>2024</v>
      </c>
      <c r="AI584" s="2" t="str">
        <f t="shared" si="23"/>
        <v>Clean</v>
      </c>
      <c r="AJ584">
        <f>COUNTIFS($A$2:$A$1000,A584,$B$2:$B$1000,B584,$C$2:$C$1000,C584,$D$2:$D$1000,D584,$E$2:$E$1000,E584,$F$2:$F$1000,F584)</f>
        <v>1</v>
      </c>
      <c r="AK584">
        <f>COUNTIF($A$2:$A$1000, A584)</f>
        <v>1</v>
      </c>
    </row>
    <row r="585" spans="1:37">
      <c r="A585" t="s">
        <v>1843</v>
      </c>
      <c r="B585" s="5">
        <v>45350</v>
      </c>
      <c r="C585" s="5">
        <v>45350</v>
      </c>
      <c r="D585" s="6">
        <f>IF(AND(C585&lt;&gt;"",B585&lt;&gt;""), C585-B585, "Missing Date")</f>
        <v>0</v>
      </c>
      <c r="E585" s="6" t="str">
        <f>IF(OR(B585="",C585=""), "Missing Date",
    IF(C585&lt;B585, "Invalid: Ship before Order",
      "OK"))</f>
        <v>OK</v>
      </c>
      <c r="F585" t="s">
        <v>1844</v>
      </c>
      <c r="G585" t="s">
        <v>141</v>
      </c>
      <c r="H585" t="s">
        <v>37</v>
      </c>
      <c r="I585" t="s">
        <v>38</v>
      </c>
      <c r="J585" t="s">
        <v>99</v>
      </c>
      <c r="K585" t="s">
        <v>100</v>
      </c>
      <c r="L585" t="s">
        <v>28</v>
      </c>
      <c r="M585" t="s">
        <v>124</v>
      </c>
      <c r="N585" t="s">
        <v>1845</v>
      </c>
      <c r="O585" t="s">
        <v>50</v>
      </c>
      <c r="P585">
        <v>1</v>
      </c>
      <c r="Q585">
        <v>2626.84</v>
      </c>
      <c r="R585">
        <v>0.2</v>
      </c>
      <c r="S585">
        <v>2101.4699999999998</v>
      </c>
      <c r="T585">
        <v>1217.83</v>
      </c>
      <c r="U585">
        <v>883.64</v>
      </c>
      <c r="V585" t="s">
        <v>155</v>
      </c>
      <c r="W585" t="s">
        <v>103</v>
      </c>
      <c r="X585" t="str">
        <f>_xlfn.TEXTJOIN("|", TRUE, A585:W585)</f>
        <v>ORD-2024-10584|45350|45350|0|OK|CUST-1686|Rohan Mehta|Small Business|East|West Bengal|Kolkata|Office Supplies|Storage|Classic Storage 451|First Class|1|2626.84|0.2|2101.47|1217.83|883.64|Failed|Returned</v>
      </c>
      <c r="Y585">
        <f>COUNTIF($X$2:$X$1000, X585)</f>
        <v>1</v>
      </c>
      <c r="Z585">
        <f>COUNTIF($A$2:$A$1000, A585)</f>
        <v>1</v>
      </c>
      <c r="AA585" t="str">
        <f>IF(Y585&gt;1, "Exact Duplicate",
  IF(Z585&gt;1, "Conflicting Duplicate - Review",
    "Unique"))</f>
        <v>Unique</v>
      </c>
      <c r="AB585" s="2">
        <f>IF(ISBLANK(R585), 0, IF(ISTEXT(R585), VALUE(SUBSTITUTE(R585, "%", ""))/100, IF(OR(R585&lt;0, R585&gt;1), "Invalid", R585)))</f>
        <v>0.2</v>
      </c>
      <c r="AC585" s="4">
        <f>IF(AB585="Invalid", "Error", P585 * Q585 * (1 - AB585))</f>
        <v>2101.4720000000002</v>
      </c>
      <c r="AD585" s="4">
        <f>IF(AC585="Error", "Error", AC585 - T585)</f>
        <v>883.64200000000028</v>
      </c>
      <c r="AE585" s="2">
        <f>IF(AC585="Error", "Error", IF(AC585=0, 0, AD585 / AC585))</f>
        <v>0.42048716328364127</v>
      </c>
      <c r="AF585" s="7">
        <f>C585-B585</f>
        <v>0</v>
      </c>
      <c r="AG585" s="2" t="str">
        <f>TEXT(B585, "mmmm")</f>
        <v>February</v>
      </c>
      <c r="AH585" s="4">
        <f>YEAR(B585)</f>
        <v>2024</v>
      </c>
      <c r="AI585" s="2" t="str">
        <f t="shared" si="23"/>
        <v>Excluded from Sales</v>
      </c>
      <c r="AJ585">
        <f>COUNTIFS($A$2:$A$1000,A585,$B$2:$B$1000,B585,$C$2:$C$1000,C585,$D$2:$D$1000,D585,$E$2:$E$1000,E585,$F$2:$F$1000,F585)</f>
        <v>1</v>
      </c>
      <c r="AK585">
        <f>COUNTIF($A$2:$A$1000, A585)</f>
        <v>1</v>
      </c>
    </row>
    <row r="586" spans="1:37">
      <c r="A586" t="s">
        <v>1846</v>
      </c>
      <c r="B586" s="5">
        <v>45390</v>
      </c>
      <c r="C586" s="5">
        <v>45514</v>
      </c>
      <c r="D586" s="6">
        <f>IF(AND(C586&lt;&gt;"",B586&lt;&gt;""), C586-B586, "Missing Date")</f>
        <v>124</v>
      </c>
      <c r="E586" s="6" t="str">
        <f>IF(OR(B586="",C586=""), "Missing Date",
    IF(C586&lt;B586, "Invalid: Ship before Order",
      "OK"))</f>
        <v>OK</v>
      </c>
      <c r="F586" t="s">
        <v>1847</v>
      </c>
      <c r="G586" t="s">
        <v>71</v>
      </c>
      <c r="H586" t="s">
        <v>24</v>
      </c>
      <c r="I586" t="s">
        <v>38</v>
      </c>
      <c r="J586" t="s">
        <v>145</v>
      </c>
      <c r="K586" t="s">
        <v>146</v>
      </c>
      <c r="L586" t="s">
        <v>28</v>
      </c>
      <c r="M586" t="s">
        <v>48</v>
      </c>
      <c r="N586" t="s">
        <v>1848</v>
      </c>
      <c r="O586" t="s">
        <v>44</v>
      </c>
      <c r="P586">
        <v>1</v>
      </c>
      <c r="Q586">
        <v>984.93</v>
      </c>
      <c r="R586">
        <v>0.15</v>
      </c>
      <c r="S586">
        <v>837.19</v>
      </c>
      <c r="T586">
        <v>583.79</v>
      </c>
      <c r="U586">
        <v>253.4</v>
      </c>
      <c r="V586" t="s">
        <v>111</v>
      </c>
      <c r="W586" t="s">
        <v>103</v>
      </c>
      <c r="X586" t="str">
        <f>_xlfn.TEXTJOIN("|", TRUE, A586:W586)</f>
        <v>ORD-2024-10585|45390|45514|124|OK|CUST-4894|Vikram Iyer|Consumer|East|Bihar|Patna|Office Supplies|Art|Pro Art 172|Same Day|1|984.93|0.15|837.19|583.79|253.4|Pending|Returned</v>
      </c>
      <c r="Y586">
        <f>COUNTIF($X$2:$X$1000, X586)</f>
        <v>1</v>
      </c>
      <c r="Z586">
        <f>COUNTIF($A$2:$A$1000, A586)</f>
        <v>1</v>
      </c>
      <c r="AA586" t="str">
        <f>IF(Y586&gt;1, "Exact Duplicate",
  IF(Z586&gt;1, "Conflicting Duplicate - Review",
    "Unique"))</f>
        <v>Unique</v>
      </c>
      <c r="AB586" s="2">
        <f>IF(ISBLANK(R586), 0, IF(ISTEXT(R586), VALUE(SUBSTITUTE(R586, "%", ""))/100, IF(OR(R586&lt;0, R586&gt;1), "Invalid", R586)))</f>
        <v>0.15</v>
      </c>
      <c r="AC586" s="4">
        <f>IF(AB586="Invalid", "Error", P586 * Q586 * (1 - AB586))</f>
        <v>837.19049999999993</v>
      </c>
      <c r="AD586" s="4">
        <f>IF(AC586="Error", "Error", AC586 - T586)</f>
        <v>253.40049999999997</v>
      </c>
      <c r="AE586" s="2">
        <f>IF(AC586="Error", "Error", IF(AC586=0, 0, AD586 / AC586))</f>
        <v>0.30267961712417901</v>
      </c>
      <c r="AF586" s="7">
        <f>C586-B586</f>
        <v>124</v>
      </c>
      <c r="AG586" s="2" t="str">
        <f>TEXT(B586, "mmmm")</f>
        <v>April</v>
      </c>
      <c r="AH586" s="4">
        <f>YEAR(B586)</f>
        <v>2024</v>
      </c>
      <c r="AI586" s="2" t="str">
        <f t="shared" si="23"/>
        <v>Clean</v>
      </c>
      <c r="AJ586">
        <f>COUNTIFS($A$2:$A$1000,A586,$B$2:$B$1000,B586,$C$2:$C$1000,C586,$D$2:$D$1000,D586,$E$2:$E$1000,E586,$F$2:$F$1000,F586)</f>
        <v>1</v>
      </c>
      <c r="AK586">
        <f>COUNTIF($A$2:$A$1000, A586)</f>
        <v>1</v>
      </c>
    </row>
    <row r="587" spans="1:37">
      <c r="A587" t="s">
        <v>1849</v>
      </c>
      <c r="B587" s="5">
        <v>45830</v>
      </c>
      <c r="C587" s="5">
        <v>45833</v>
      </c>
      <c r="D587" s="6">
        <f>IF(AND(C587&lt;&gt;"",B587&lt;&gt;""), C587-B587, "Missing Date")</f>
        <v>3</v>
      </c>
      <c r="E587" s="6" t="str">
        <f>IF(OR(B587="",C587=""), "Missing Date",
    IF(C587&lt;B587, "Invalid: Ship before Order",
      "OK"))</f>
        <v>OK</v>
      </c>
      <c r="F587" t="s">
        <v>1850</v>
      </c>
      <c r="G587" t="s">
        <v>162</v>
      </c>
      <c r="H587" t="s">
        <v>37</v>
      </c>
      <c r="I587" t="s">
        <v>63</v>
      </c>
      <c r="J587" t="s">
        <v>64</v>
      </c>
      <c r="K587" t="s">
        <v>65</v>
      </c>
      <c r="L587" t="s">
        <v>74</v>
      </c>
      <c r="M587" t="s">
        <v>171</v>
      </c>
      <c r="N587" t="s">
        <v>1851</v>
      </c>
      <c r="O587" t="s">
        <v>50</v>
      </c>
      <c r="P587">
        <v>8</v>
      </c>
      <c r="Q587">
        <v>3453.66</v>
      </c>
      <c r="R587">
        <v>0</v>
      </c>
      <c r="S587">
        <v>27629.279999999999</v>
      </c>
      <c r="T587">
        <v>22026.48</v>
      </c>
      <c r="U587">
        <v>5602.8</v>
      </c>
      <c r="V587" t="s">
        <v>32</v>
      </c>
      <c r="W587" t="s">
        <v>33</v>
      </c>
      <c r="X587" t="str">
        <f>_xlfn.TEXTJOIN("|", TRUE, A587:W587)</f>
        <v>ORD-2025-10586|45830|45833|3|OK|CUST-5201|Diya Patel|Small Business|West|Maharashtra|Mumbai|Technology|Phones|Prime Phones 744|First Class|8|3453.66|0|27629.28|22026.48|5602.8|Paid|Completed</v>
      </c>
      <c r="Y587">
        <f>COUNTIF($X$2:$X$1000, X587)</f>
        <v>1</v>
      </c>
      <c r="Z587">
        <f>COUNTIF($A$2:$A$1000, A587)</f>
        <v>1</v>
      </c>
      <c r="AA587" t="str">
        <f>IF(Y587&gt;1, "Exact Duplicate",
  IF(Z587&gt;1, "Conflicting Duplicate - Review",
    "Unique"))</f>
        <v>Unique</v>
      </c>
      <c r="AB587" s="2">
        <f>IF(ISBLANK(R587), 0, IF(ISTEXT(R587), VALUE(SUBSTITUTE(R587, "%", ""))/100, IF(OR(R587&lt;0, R587&gt;1), "Invalid", R587)))</f>
        <v>0</v>
      </c>
      <c r="AC587" s="4">
        <f>IF(AB587="Invalid", "Error", P587 * Q587 * (1 - AB587))</f>
        <v>27629.279999999999</v>
      </c>
      <c r="AD587" s="4">
        <f>IF(AC587="Error", "Error", AC587 - T587)</f>
        <v>5602.7999999999993</v>
      </c>
      <c r="AE587" s="2">
        <f>IF(AC587="Error", "Error", IF(AC587=0, 0, AD587 / AC587))</f>
        <v>0.20278487170132553</v>
      </c>
      <c r="AF587" s="7">
        <f>C587-B587</f>
        <v>3</v>
      </c>
      <c r="AG587" s="2" t="str">
        <f>TEXT(B587, "mmmm")</f>
        <v>June</v>
      </c>
      <c r="AH587" s="4">
        <f>YEAR(B587)</f>
        <v>2025</v>
      </c>
      <c r="AI587" s="2" t="str">
        <f t="shared" si="23"/>
        <v>Clean</v>
      </c>
      <c r="AJ587">
        <f>COUNTIFS($A$2:$A$1000,A587,$B$2:$B$1000,B587,$C$2:$C$1000,C587,$D$2:$D$1000,D587,$E$2:$E$1000,E587,$F$2:$F$1000,F587)</f>
        <v>1</v>
      </c>
      <c r="AK587">
        <f>COUNTIF($A$2:$A$1000, A587)</f>
        <v>1</v>
      </c>
    </row>
    <row r="588" spans="1:37">
      <c r="A588" t="s">
        <v>1852</v>
      </c>
      <c r="B588" s="5">
        <v>45759</v>
      </c>
      <c r="C588" s="5">
        <v>45759</v>
      </c>
      <c r="D588" s="6">
        <f>IF(AND(C588&lt;&gt;"",B588&lt;&gt;""), C588-B588, "Missing Date")</f>
        <v>0</v>
      </c>
      <c r="E588" s="6" t="str">
        <f>IF(OR(B588="",C588=""), "Missing Date",
    IF(C588&lt;B588, "Invalid: Ship before Order",
      "OK"))</f>
        <v>OK</v>
      </c>
      <c r="F588" t="s">
        <v>1853</v>
      </c>
      <c r="G588" t="s">
        <v>36</v>
      </c>
      <c r="H588" t="s">
        <v>95</v>
      </c>
      <c r="I588" t="s">
        <v>25</v>
      </c>
      <c r="J588" t="s">
        <v>122</v>
      </c>
      <c r="K588" t="s">
        <v>123</v>
      </c>
      <c r="L588" t="s">
        <v>28</v>
      </c>
      <c r="M588" t="s">
        <v>153</v>
      </c>
      <c r="N588" t="s">
        <v>1854</v>
      </c>
      <c r="O588" t="s">
        <v>31</v>
      </c>
      <c r="P588">
        <v>7</v>
      </c>
      <c r="Q588">
        <v>1334.2</v>
      </c>
      <c r="R588">
        <v>0.2</v>
      </c>
      <c r="S588">
        <v>7471.52</v>
      </c>
      <c r="T588">
        <v>6184.32</v>
      </c>
      <c r="U588">
        <v>1287.2</v>
      </c>
      <c r="V588" t="s">
        <v>32</v>
      </c>
      <c r="W588" t="s">
        <v>33</v>
      </c>
      <c r="X588" t="str">
        <f>_xlfn.TEXTJOIN("|", TRUE, A588:W588)</f>
        <v>ORD-2025-10587|45759|45759|0|OK|CUST-8626|Mira Das|Home Office|North|Punjab|Ludhiana|Office Supplies|Binders|Prime Binders 249|Second Class|7|1334.2|0.2|7471.52|6184.32|1287.2|Paid|Completed</v>
      </c>
      <c r="Y588">
        <f>COUNTIF($X$2:$X$1000, X588)</f>
        <v>1</v>
      </c>
      <c r="Z588">
        <f>COUNTIF($A$2:$A$1000, A588)</f>
        <v>1</v>
      </c>
      <c r="AA588" t="str">
        <f>IF(Y588&gt;1, "Exact Duplicate",
  IF(Z588&gt;1, "Conflicting Duplicate - Review",
    "Unique"))</f>
        <v>Unique</v>
      </c>
      <c r="AB588" s="2">
        <f>IF(ISBLANK(R588), 0, IF(ISTEXT(R588), VALUE(SUBSTITUTE(R588, "%", ""))/100, IF(OR(R588&lt;0, R588&gt;1), "Invalid", R588)))</f>
        <v>0.2</v>
      </c>
      <c r="AC588" s="4">
        <f>IF(AB588="Invalid", "Error", P588 * Q588 * (1 - AB588))</f>
        <v>7471.52</v>
      </c>
      <c r="AD588" s="4">
        <f>IF(AC588="Error", "Error", AC588 - T588)</f>
        <v>1287.2000000000007</v>
      </c>
      <c r="AE588" s="2">
        <f>IF(AC588="Error", "Error", IF(AC588=0, 0, AD588 / AC588))</f>
        <v>0.17228087457438387</v>
      </c>
      <c r="AF588" s="7">
        <f>C588-B588</f>
        <v>0</v>
      </c>
      <c r="AG588" s="2" t="str">
        <f>TEXT(B588, "mmmm")</f>
        <v>April</v>
      </c>
      <c r="AH588" s="4">
        <f>YEAR(B588)</f>
        <v>2025</v>
      </c>
      <c r="AI588" s="2" t="str">
        <f t="shared" si="23"/>
        <v>Clean</v>
      </c>
      <c r="AJ588">
        <f>COUNTIFS($A$2:$A$1000,A588,$B$2:$B$1000,B588,$C$2:$C$1000,C588,$D$2:$D$1000,D588,$E$2:$E$1000,E588,$F$2:$F$1000,F588)</f>
        <v>1</v>
      </c>
      <c r="AK588">
        <f>COUNTIF($A$2:$A$1000, A588)</f>
        <v>1</v>
      </c>
    </row>
    <row r="589" spans="1:37">
      <c r="A589" t="s">
        <v>1855</v>
      </c>
      <c r="B589" s="5">
        <v>45861</v>
      </c>
      <c r="C589" s="5">
        <v>45869</v>
      </c>
      <c r="D589" s="6">
        <f>IF(AND(C589&lt;&gt;"",B589&lt;&gt;""), C589-B589, "Missing Date")</f>
        <v>8</v>
      </c>
      <c r="E589" s="6" t="str">
        <f>IF(OR(B589="",C589=""), "Missing Date",
    IF(C589&lt;B589, "Invalid: Ship before Order",
      "OK"))</f>
        <v>OK</v>
      </c>
      <c r="F589" t="s">
        <v>1856</v>
      </c>
      <c r="G589" t="s">
        <v>264</v>
      </c>
      <c r="H589" t="s">
        <v>95</v>
      </c>
      <c r="I589" t="s">
        <v>63</v>
      </c>
      <c r="J589" t="s">
        <v>72</v>
      </c>
      <c r="K589" t="s">
        <v>73</v>
      </c>
      <c r="L589" t="s">
        <v>74</v>
      </c>
      <c r="M589" t="s">
        <v>75</v>
      </c>
      <c r="N589" t="s">
        <v>1857</v>
      </c>
      <c r="O589" t="s">
        <v>50</v>
      </c>
      <c r="P589">
        <v>1</v>
      </c>
      <c r="Q589">
        <v>4253.84</v>
      </c>
      <c r="R589">
        <v>0.15</v>
      </c>
      <c r="S589">
        <v>3615.76</v>
      </c>
      <c r="T589">
        <v>2951.52</v>
      </c>
      <c r="U589">
        <v>664.24</v>
      </c>
      <c r="V589" t="s">
        <v>102</v>
      </c>
      <c r="W589" t="s">
        <v>68</v>
      </c>
      <c r="X589" t="str">
        <f>_xlfn.TEXTJOIN("|", TRUE, A589:W589)</f>
        <v>ORD-2025-10588|45861|45869|8|OK|CUST-1013|Kabir Singh|Home Office|West|Madhya Pradesh|Indore|Technology|Accessories|Eco Accessories 948|First Class|1|4253.84|0.15|3615.76|2951.52|664.24|Refunded|Cancelled</v>
      </c>
      <c r="Y589">
        <f>COUNTIF($X$2:$X$1000, X589)</f>
        <v>1</v>
      </c>
      <c r="Z589">
        <f>COUNTIF($A$2:$A$1000, A589)</f>
        <v>1</v>
      </c>
      <c r="AA589" t="str">
        <f>IF(Y589&gt;1, "Exact Duplicate",
  IF(Z589&gt;1, "Conflicting Duplicate - Review",
    "Unique"))</f>
        <v>Unique</v>
      </c>
      <c r="AB589" s="2">
        <f>IF(ISBLANK(R589), 0, IF(ISTEXT(R589), VALUE(SUBSTITUTE(R589, "%", ""))/100, IF(OR(R589&lt;0, R589&gt;1), "Invalid", R589)))</f>
        <v>0.15</v>
      </c>
      <c r="AC589" s="4">
        <f>IF(AB589="Invalid", "Error", P589 * Q589 * (1 - AB589))</f>
        <v>3615.7640000000001</v>
      </c>
      <c r="AD589" s="4">
        <f>IF(AC589="Error", "Error", AC589 - T589)</f>
        <v>664.24400000000014</v>
      </c>
      <c r="AE589" s="2">
        <f>IF(AC589="Error", "Error", IF(AC589=0, 0, AD589 / AC589))</f>
        <v>0.18370778623826114</v>
      </c>
      <c r="AF589" s="7">
        <f>C589-B589</f>
        <v>8</v>
      </c>
      <c r="AG589" s="2" t="str">
        <f>TEXT(B589, "mmmm")</f>
        <v>July</v>
      </c>
      <c r="AH589" s="4">
        <f>YEAR(B589)</f>
        <v>2025</v>
      </c>
      <c r="AI589" s="2" t="str">
        <f t="shared" si="23"/>
        <v>Excluded from Sales</v>
      </c>
      <c r="AJ589">
        <f>COUNTIFS($A$2:$A$1000,A589,$B$2:$B$1000,B589,$C$2:$C$1000,C589,$D$2:$D$1000,D589,$E$2:$E$1000,E589,$F$2:$F$1000,F589)</f>
        <v>1</v>
      </c>
      <c r="AK589">
        <f>COUNTIF($A$2:$A$1000, A589)</f>
        <v>1</v>
      </c>
    </row>
    <row r="590" spans="1:37">
      <c r="A590" t="s">
        <v>1858</v>
      </c>
      <c r="B590" s="5">
        <v>45727</v>
      </c>
      <c r="C590" s="5">
        <v>45731</v>
      </c>
      <c r="D590" s="6">
        <f>IF(AND(C590&lt;&gt;"",B590&lt;&gt;""), C590-B590, "Missing Date")</f>
        <v>4</v>
      </c>
      <c r="E590" s="6" t="str">
        <f>IF(OR(B590="",C590=""), "Missing Date",
    IF(C590&lt;B590, "Invalid: Ship before Order",
      "OK"))</f>
        <v>OK</v>
      </c>
      <c r="F590" t="s">
        <v>1859</v>
      </c>
      <c r="G590" t="s">
        <v>128</v>
      </c>
      <c r="H590" t="s">
        <v>95</v>
      </c>
      <c r="I590" t="s">
        <v>54</v>
      </c>
      <c r="J590" t="s">
        <v>175</v>
      </c>
      <c r="K590" t="s">
        <v>176</v>
      </c>
      <c r="L590" t="s">
        <v>74</v>
      </c>
      <c r="M590" t="s">
        <v>75</v>
      </c>
      <c r="N590" t="s">
        <v>1860</v>
      </c>
      <c r="O590" t="s">
        <v>31</v>
      </c>
      <c r="P590">
        <v>8</v>
      </c>
      <c r="Q590">
        <v>4446.3599999999997</v>
      </c>
      <c r="R590">
        <v>0.1</v>
      </c>
      <c r="S590">
        <v>32013.79</v>
      </c>
      <c r="T590">
        <v>20896.88</v>
      </c>
      <c r="U590">
        <v>11116.91</v>
      </c>
      <c r="V590" t="s">
        <v>102</v>
      </c>
      <c r="W590" t="s">
        <v>68</v>
      </c>
      <c r="X590" t="str">
        <f>_xlfn.TEXTJOIN("|", TRUE, A590:W590)</f>
        <v>ORD-2025-10589|45727|45731|4|OK|CUST-3601|Aarav Sharma|Home Office|South|Karnataka|Bengaluru|Technology|Accessories|Classic Accessories 458|Second Class|8|4446.36|0.1|32013.79|20896.88|11116.91|Refunded|Cancelled</v>
      </c>
      <c r="Y590">
        <f>COUNTIF($X$2:$X$1000, X590)</f>
        <v>1</v>
      </c>
      <c r="Z590">
        <f>COUNTIF($A$2:$A$1000, A590)</f>
        <v>1</v>
      </c>
      <c r="AA590" t="str">
        <f>IF(Y590&gt;1, "Exact Duplicate",
  IF(Z590&gt;1, "Conflicting Duplicate - Review",
    "Unique"))</f>
        <v>Unique</v>
      </c>
      <c r="AB590" s="2">
        <f>IF(ISBLANK(R590), 0, IF(ISTEXT(R590), VALUE(SUBSTITUTE(R590, "%", ""))/100, IF(OR(R590&lt;0, R590&gt;1), "Invalid", R590)))</f>
        <v>0.1</v>
      </c>
      <c r="AC590" s="4">
        <f>IF(AB590="Invalid", "Error", P590 * Q590 * (1 - AB590))</f>
        <v>32013.791999999998</v>
      </c>
      <c r="AD590" s="4">
        <f>IF(AC590="Error", "Error", AC590 - T590)</f>
        <v>11116.911999999997</v>
      </c>
      <c r="AE590" s="2">
        <f>IF(AC590="Error", "Error", IF(AC590=0, 0, AD590 / AC590))</f>
        <v>0.34725383359771933</v>
      </c>
      <c r="AF590" s="7">
        <f>C590-B590</f>
        <v>4</v>
      </c>
      <c r="AG590" s="2" t="str">
        <f>TEXT(B590, "mmmm")</f>
        <v>March</v>
      </c>
      <c r="AH590" s="4">
        <f>YEAR(B590)</f>
        <v>2025</v>
      </c>
      <c r="AI590" s="2" t="str">
        <f t="shared" si="23"/>
        <v>Excluded from Sales</v>
      </c>
      <c r="AJ590">
        <f>COUNTIFS($A$2:$A$1000,A590,$B$2:$B$1000,B590,$C$2:$C$1000,C590,$D$2:$D$1000,D590,$E$2:$E$1000,E590,$F$2:$F$1000,F590)</f>
        <v>1</v>
      </c>
      <c r="AK590">
        <f>COUNTIF($A$2:$A$1000, A590)</f>
        <v>1</v>
      </c>
    </row>
    <row r="591" spans="1:37">
      <c r="A591" t="s">
        <v>1861</v>
      </c>
      <c r="B591" s="5">
        <v>45632</v>
      </c>
      <c r="C591" s="5">
        <v>45638</v>
      </c>
      <c r="D591" s="6">
        <f>IF(AND(C591&lt;&gt;"",B591&lt;&gt;""), C591-B591, "Missing Date")</f>
        <v>6</v>
      </c>
      <c r="E591" s="6" t="str">
        <f>IF(OR(B591="",C591=""), "Missing Date",
    IF(C591&lt;B591, "Invalid: Ship before Order",
      "OK"))</f>
        <v>OK</v>
      </c>
      <c r="F591" t="s">
        <v>1862</v>
      </c>
      <c r="G591" t="s">
        <v>141</v>
      </c>
      <c r="H591" t="s">
        <v>90</v>
      </c>
      <c r="I591" t="s">
        <v>25</v>
      </c>
      <c r="J591" t="s">
        <v>136</v>
      </c>
      <c r="K591" t="s">
        <v>137</v>
      </c>
      <c r="L591" t="s">
        <v>74</v>
      </c>
      <c r="M591" t="s">
        <v>171</v>
      </c>
      <c r="N591" t="s">
        <v>1863</v>
      </c>
      <c r="O591" t="s">
        <v>50</v>
      </c>
      <c r="P591">
        <v>3</v>
      </c>
      <c r="Q591">
        <v>524.75</v>
      </c>
      <c r="R591">
        <v>0</v>
      </c>
      <c r="S591">
        <v>1574.25</v>
      </c>
      <c r="T591">
        <v>1326.12</v>
      </c>
      <c r="U591">
        <v>248.13</v>
      </c>
      <c r="V591" t="s">
        <v>32</v>
      </c>
      <c r="W591" t="s">
        <v>33</v>
      </c>
      <c r="X591" t="str">
        <f>_xlfn.TEXTJOIN("|", TRUE, A591:W591)</f>
        <v>ORD-2024-10590|45632|45638|6|OK|CUST-7846|Rohan Mehta|Corporate|North|Uttar Pradesh|Noida|Technology|Phones|Max Phones 318|First Class|3|524.75|0|1574.25|1326.12|248.13|Paid|Completed</v>
      </c>
      <c r="Y591">
        <f>COUNTIF($X$2:$X$1000, X591)</f>
        <v>1</v>
      </c>
      <c r="Z591">
        <f>COUNTIF($A$2:$A$1000, A591)</f>
        <v>1</v>
      </c>
      <c r="AA591" t="str">
        <f>IF(Y591&gt;1, "Exact Duplicate",
  IF(Z591&gt;1, "Conflicting Duplicate - Review",
    "Unique"))</f>
        <v>Unique</v>
      </c>
      <c r="AB591" s="2">
        <f>IF(ISBLANK(R591), 0, IF(ISTEXT(R591), VALUE(SUBSTITUTE(R591, "%", ""))/100, IF(OR(R591&lt;0, R591&gt;1), "Invalid", R591)))</f>
        <v>0</v>
      </c>
      <c r="AC591" s="4">
        <f>IF(AB591="Invalid", "Error", P591 * Q591 * (1 - AB591))</f>
        <v>1574.25</v>
      </c>
      <c r="AD591" s="4">
        <f>IF(AC591="Error", "Error", AC591 - T591)</f>
        <v>248.13000000000011</v>
      </c>
      <c r="AE591" s="2">
        <f>IF(AC591="Error", "Error", IF(AC591=0, 0, AD591 / AC591))</f>
        <v>0.15761791329204389</v>
      </c>
      <c r="AF591" s="7">
        <f>C591-B591</f>
        <v>6</v>
      </c>
      <c r="AG591" s="2" t="str">
        <f>TEXT(B591, "mmmm")</f>
        <v>December</v>
      </c>
      <c r="AH591" s="4">
        <f>YEAR(B591)</f>
        <v>2024</v>
      </c>
      <c r="AI591" s="2" t="str">
        <f t="shared" si="23"/>
        <v>Clean</v>
      </c>
      <c r="AJ591">
        <f>COUNTIFS($A$2:$A$1000,A591,$B$2:$B$1000,B591,$C$2:$C$1000,C591,$D$2:$D$1000,D591,$E$2:$E$1000,E591,$F$2:$F$1000,F591)</f>
        <v>1</v>
      </c>
      <c r="AK591">
        <f>COUNTIF($A$2:$A$1000, A591)</f>
        <v>1</v>
      </c>
    </row>
    <row r="592" spans="1:37">
      <c r="A592" t="s">
        <v>1864</v>
      </c>
      <c r="B592" s="5">
        <v>45441</v>
      </c>
      <c r="C592" s="5">
        <v>45441</v>
      </c>
      <c r="D592" s="6">
        <f>IF(AND(C592&lt;&gt;"",B592&lt;&gt;""), C592-B592, "Missing Date")</f>
        <v>0</v>
      </c>
      <c r="E592" s="6" t="str">
        <f>IF(OR(B592="",C592=""), "Missing Date",
    IF(C592&lt;B592, "Invalid: Ship before Order",
      "OK"))</f>
        <v>OK</v>
      </c>
      <c r="F592" t="s">
        <v>1865</v>
      </c>
      <c r="G592" t="s">
        <v>128</v>
      </c>
      <c r="H592" t="s">
        <v>95</v>
      </c>
      <c r="I592" t="s">
        <v>25</v>
      </c>
      <c r="J592" t="s">
        <v>350</v>
      </c>
      <c r="K592" t="s">
        <v>351</v>
      </c>
      <c r="L592" t="s">
        <v>41</v>
      </c>
      <c r="M592" t="s">
        <v>66</v>
      </c>
      <c r="N592" t="s">
        <v>1866</v>
      </c>
      <c r="O592" t="s">
        <v>44</v>
      </c>
      <c r="P592">
        <v>6</v>
      </c>
      <c r="Q592">
        <v>3430.35</v>
      </c>
      <c r="R592">
        <v>0</v>
      </c>
      <c r="S592">
        <v>20582.099999999999</v>
      </c>
      <c r="T592">
        <v>15897.65</v>
      </c>
      <c r="U592">
        <v>4684.45</v>
      </c>
      <c r="V592" t="s">
        <v>111</v>
      </c>
      <c r="W592" t="s">
        <v>68</v>
      </c>
      <c r="X592" t="str">
        <f>_xlfn.TEXTJOIN("|", TRUE, A592:W592)</f>
        <v>ORD-2024-10591|45441|45441|0|OK|CUST-3433|Aarav Sharma|Home Office|North|Delhi|New Delhi|Furniture|Chairs|Elite Chairs 372|Same Day|6|3430.35|0|20582.1|15897.65|4684.45|Pending|Cancelled</v>
      </c>
      <c r="Y592">
        <f>COUNTIF($X$2:$X$1000, X592)</f>
        <v>1</v>
      </c>
      <c r="Z592">
        <f>COUNTIF($A$2:$A$1000, A592)</f>
        <v>1</v>
      </c>
      <c r="AA592" t="str">
        <f>IF(Y592&gt;1, "Exact Duplicate",
  IF(Z592&gt;1, "Conflicting Duplicate - Review",
    "Unique"))</f>
        <v>Unique</v>
      </c>
      <c r="AB592" s="2">
        <f>IF(ISBLANK(R592), 0, IF(ISTEXT(R592), VALUE(SUBSTITUTE(R592, "%", ""))/100, IF(OR(R592&lt;0, R592&gt;1), "Invalid", R592)))</f>
        <v>0</v>
      </c>
      <c r="AC592" s="4">
        <f>IF(AB592="Invalid", "Error", P592 * Q592 * (1 - AB592))</f>
        <v>20582.099999999999</v>
      </c>
      <c r="AD592" s="4">
        <f>IF(AC592="Error", "Error", AC592 - T592)</f>
        <v>4684.4499999999989</v>
      </c>
      <c r="AE592" s="2">
        <f>IF(AC592="Error", "Error", IF(AC592=0, 0, AD592 / AC592))</f>
        <v>0.22759825285077806</v>
      </c>
      <c r="AF592" s="7">
        <f>C592-B592</f>
        <v>0</v>
      </c>
      <c r="AG592" s="2" t="str">
        <f>TEXT(B592, "mmmm")</f>
        <v>May</v>
      </c>
      <c r="AH592" s="4">
        <f>YEAR(B592)</f>
        <v>2024</v>
      </c>
      <c r="AI592" s="2" t="str">
        <f t="shared" si="23"/>
        <v>Excluded from Sales</v>
      </c>
      <c r="AJ592">
        <f>COUNTIFS($A$2:$A$1000,A592,$B$2:$B$1000,B592,$C$2:$C$1000,C592,$D$2:$D$1000,D592,$E$2:$E$1000,E592,$F$2:$F$1000,F592)</f>
        <v>1</v>
      </c>
      <c r="AK592">
        <f>COUNTIF($A$2:$A$1000, A592)</f>
        <v>1</v>
      </c>
    </row>
    <row r="593" spans="1:37">
      <c r="A593" t="s">
        <v>1867</v>
      </c>
      <c r="B593" s="5">
        <v>45344</v>
      </c>
      <c r="C593" s="5">
        <v>45346</v>
      </c>
      <c r="D593" s="6">
        <f>IF(AND(C593&lt;&gt;"",B593&lt;&gt;""), C593-B593, "Missing Date")</f>
        <v>2</v>
      </c>
      <c r="E593" s="6" t="str">
        <f>IF(OR(B593="",C593=""), "Missing Date",
    IF(C593&lt;B593, "Invalid: Ship before Order",
      "OK"))</f>
        <v>OK</v>
      </c>
      <c r="F593" t="s">
        <v>1868</v>
      </c>
      <c r="G593" t="s">
        <v>132</v>
      </c>
      <c r="H593" t="s">
        <v>24</v>
      </c>
      <c r="I593" t="s">
        <v>54</v>
      </c>
      <c r="J593" t="s">
        <v>175</v>
      </c>
      <c r="K593" t="s">
        <v>176</v>
      </c>
      <c r="L593" t="s">
        <v>74</v>
      </c>
      <c r="M593" t="s">
        <v>80</v>
      </c>
      <c r="N593" t="s">
        <v>1869</v>
      </c>
      <c r="O593" t="s">
        <v>50</v>
      </c>
      <c r="P593">
        <v>3</v>
      </c>
      <c r="Q593">
        <v>3545.08</v>
      </c>
      <c r="R593">
        <v>0</v>
      </c>
      <c r="S593">
        <v>10635.24</v>
      </c>
      <c r="T593">
        <v>6031.88</v>
      </c>
      <c r="U593">
        <v>4603.3599999999997</v>
      </c>
      <c r="V593" t="s">
        <v>155</v>
      </c>
      <c r="W593" t="s">
        <v>103</v>
      </c>
      <c r="X593" t="str">
        <f>_xlfn.TEXTJOIN("|", TRUE, A593:W593)</f>
        <v>ORD-2024-10592|45344|45346|2|OK|CUST-2423|Sneha Kapoor|Consumer|South|Karnataka|Bengaluru|Technology|Copiers|Eco Copiers 324|First Class|3|3545.08|0|10635.24|6031.88|4603.36|Failed|Returned</v>
      </c>
      <c r="Y593">
        <f>COUNTIF($X$2:$X$1000, X593)</f>
        <v>1</v>
      </c>
      <c r="Z593">
        <f>COUNTIF($A$2:$A$1000, A593)</f>
        <v>1</v>
      </c>
      <c r="AA593" t="str">
        <f>IF(Y593&gt;1, "Exact Duplicate",
  IF(Z593&gt;1, "Conflicting Duplicate - Review",
    "Unique"))</f>
        <v>Unique</v>
      </c>
      <c r="AB593" s="2">
        <f>IF(ISBLANK(R593), 0, IF(ISTEXT(R593), VALUE(SUBSTITUTE(R593, "%", ""))/100, IF(OR(R593&lt;0, R593&gt;1), "Invalid", R593)))</f>
        <v>0</v>
      </c>
      <c r="AC593" s="4">
        <f>IF(AB593="Invalid", "Error", P593 * Q593 * (1 - AB593))</f>
        <v>10635.24</v>
      </c>
      <c r="AD593" s="4">
        <f>IF(AC593="Error", "Error", AC593 - T593)</f>
        <v>4603.3599999999997</v>
      </c>
      <c r="AE593" s="2">
        <f>IF(AC593="Error", "Error", IF(AC593=0, 0, AD593 / AC593))</f>
        <v>0.43284025560307055</v>
      </c>
      <c r="AF593" s="7">
        <f>C593-B593</f>
        <v>2</v>
      </c>
      <c r="AG593" s="2" t="str">
        <f>TEXT(B593, "mmmm")</f>
        <v>February</v>
      </c>
      <c r="AH593" s="4">
        <f>YEAR(B593)</f>
        <v>2024</v>
      </c>
      <c r="AI593" s="2" t="str">
        <f t="shared" si="23"/>
        <v>Excluded from Sales</v>
      </c>
      <c r="AJ593">
        <f>COUNTIFS($A$2:$A$1000,A593,$B$2:$B$1000,B593,$C$2:$C$1000,C593,$D$2:$D$1000,D593,$E$2:$E$1000,E593,$F$2:$F$1000,F593)</f>
        <v>1</v>
      </c>
      <c r="AK593">
        <f>COUNTIF($A$2:$A$1000, A593)</f>
        <v>1</v>
      </c>
    </row>
    <row r="594" spans="1:37">
      <c r="A594" t="s">
        <v>1870</v>
      </c>
      <c r="B594" s="5">
        <v>45355</v>
      </c>
      <c r="C594" s="5">
        <v>45360</v>
      </c>
      <c r="D594" s="6">
        <f>IF(AND(C594&lt;&gt;"",B594&lt;&gt;""), C594-B594, "Missing Date")</f>
        <v>5</v>
      </c>
      <c r="E594" s="6" t="str">
        <f>IF(OR(B594="",C594=""), "Missing Date",
    IF(C594&lt;B594, "Invalid: Ship before Order",
      "OK"))</f>
        <v>OK</v>
      </c>
      <c r="F594" t="s">
        <v>1871</v>
      </c>
      <c r="G594" t="s">
        <v>36</v>
      </c>
      <c r="H594" t="s">
        <v>24</v>
      </c>
      <c r="I594" t="s">
        <v>38</v>
      </c>
      <c r="J594" t="s">
        <v>99</v>
      </c>
      <c r="K594" t="s">
        <v>100</v>
      </c>
      <c r="L594" t="s">
        <v>74</v>
      </c>
      <c r="M594" t="s">
        <v>75</v>
      </c>
      <c r="N594" t="s">
        <v>1872</v>
      </c>
      <c r="O594" t="s">
        <v>44</v>
      </c>
      <c r="P594">
        <v>8</v>
      </c>
      <c r="Q594">
        <v>4401.41</v>
      </c>
      <c r="R594">
        <v>0.15</v>
      </c>
      <c r="S594">
        <v>29929.59</v>
      </c>
      <c r="T594">
        <v>22436.03</v>
      </c>
      <c r="U594">
        <v>7493.56</v>
      </c>
      <c r="V594" t="s">
        <v>32</v>
      </c>
      <c r="W594" t="s">
        <v>33</v>
      </c>
      <c r="X594" t="str">
        <f>_xlfn.TEXTJOIN("|", TRUE, A594:W594)</f>
        <v>ORD-2024-10593|45355|45360|5|OK|CUST-3559|Mira Das|Consumer|East|West Bengal|Kolkata|Technology|Accessories|Classic Accessories 131|Same Day|8|4401.41|0.15|29929.59|22436.03|7493.56|Paid|Completed</v>
      </c>
      <c r="Y594">
        <f>COUNTIF($X$2:$X$1000, X594)</f>
        <v>1</v>
      </c>
      <c r="Z594">
        <f>COUNTIF($A$2:$A$1000, A594)</f>
        <v>1</v>
      </c>
      <c r="AA594" t="str">
        <f>IF(Y594&gt;1, "Exact Duplicate",
  IF(Z594&gt;1, "Conflicting Duplicate - Review",
    "Unique"))</f>
        <v>Unique</v>
      </c>
      <c r="AB594" s="2">
        <f>IF(ISBLANK(R594), 0, IF(ISTEXT(R594), VALUE(SUBSTITUTE(R594, "%", ""))/100, IF(OR(R594&lt;0, R594&gt;1), "Invalid", R594)))</f>
        <v>0.15</v>
      </c>
      <c r="AC594" s="4">
        <f>IF(AB594="Invalid", "Error", P594 * Q594 * (1 - AB594))</f>
        <v>29929.588</v>
      </c>
      <c r="AD594" s="4">
        <f>IF(AC594="Error", "Error", AC594 - T594)</f>
        <v>7493.5580000000009</v>
      </c>
      <c r="AE594" s="2">
        <f>IF(AC594="Error", "Error", IF(AC594=0, 0, AD594 / AC594))</f>
        <v>0.25037290857461858</v>
      </c>
      <c r="AF594" s="7">
        <f>C594-B594</f>
        <v>5</v>
      </c>
      <c r="AG594" s="2" t="str">
        <f>TEXT(B594, "mmmm")</f>
        <v>March</v>
      </c>
      <c r="AH594" s="4">
        <f>YEAR(B594)</f>
        <v>2024</v>
      </c>
      <c r="AI594" s="2" t="str">
        <f t="shared" si="23"/>
        <v>Clean</v>
      </c>
      <c r="AJ594">
        <f>COUNTIFS($A$2:$A$1000,A594,$B$2:$B$1000,B594,$C$2:$C$1000,C594,$D$2:$D$1000,D594,$E$2:$E$1000,E594,$F$2:$F$1000,F594)</f>
        <v>1</v>
      </c>
      <c r="AK594">
        <f>COUNTIF($A$2:$A$1000, A594)</f>
        <v>1</v>
      </c>
    </row>
    <row r="595" spans="1:37">
      <c r="A595" t="s">
        <v>1873</v>
      </c>
      <c r="B595" s="5">
        <v>45927</v>
      </c>
      <c r="C595" s="5">
        <v>45929</v>
      </c>
      <c r="D595" s="6">
        <f>IF(AND(C595&lt;&gt;"",B595&lt;&gt;""), C595-B595, "Missing Date")</f>
        <v>2</v>
      </c>
      <c r="E595" s="6" t="str">
        <f>IF(OR(B595="",C595=""), "Missing Date",
    IF(C595&lt;B595, "Invalid: Ship before Order",
      "OK"))</f>
        <v>OK</v>
      </c>
      <c r="F595" t="s">
        <v>1665</v>
      </c>
      <c r="G595" t="s">
        <v>53</v>
      </c>
      <c r="H595" t="s">
        <v>95</v>
      </c>
      <c r="I595" t="s">
        <v>25</v>
      </c>
      <c r="J595" t="s">
        <v>136</v>
      </c>
      <c r="K595" t="s">
        <v>137</v>
      </c>
      <c r="L595" t="s">
        <v>41</v>
      </c>
      <c r="M595" t="s">
        <v>42</v>
      </c>
      <c r="N595" t="s">
        <v>1874</v>
      </c>
      <c r="O595" t="s">
        <v>31</v>
      </c>
      <c r="P595">
        <v>9</v>
      </c>
      <c r="Q595">
        <v>4100.1099999999997</v>
      </c>
      <c r="R595">
        <v>0.25</v>
      </c>
      <c r="S595">
        <v>27675.74</v>
      </c>
      <c r="T595">
        <v>15571.08</v>
      </c>
      <c r="U595">
        <v>12104.66</v>
      </c>
      <c r="V595" t="s">
        <v>32</v>
      </c>
      <c r="W595" t="s">
        <v>33</v>
      </c>
      <c r="X595" t="str">
        <f>_xlfn.TEXTJOIN("|", TRUE, A595:W595)</f>
        <v>ORD-2025-10594|45927|45929|2|OK|CUST-2917|Arjun Bose|Home Office|North|Uttar Pradesh|Noida|Furniture|Tables|Eco Tables 550|Second Class|9|4100.11|0.25|27675.74|15571.08|12104.66|Paid|Completed</v>
      </c>
      <c r="Y595">
        <f>COUNTIF($X$2:$X$1000, X595)</f>
        <v>1</v>
      </c>
      <c r="Z595">
        <f>COUNTIF($A$2:$A$1000, A595)</f>
        <v>1</v>
      </c>
      <c r="AA595" t="str">
        <f>IF(Y595&gt;1, "Exact Duplicate",
  IF(Z595&gt;1, "Conflicting Duplicate - Review",
    "Unique"))</f>
        <v>Unique</v>
      </c>
      <c r="AB595" s="2">
        <f>IF(ISBLANK(R595), 0, IF(ISTEXT(R595), VALUE(SUBSTITUTE(R595, "%", ""))/100, IF(OR(R595&lt;0, R595&gt;1), "Invalid", R595)))</f>
        <v>0.25</v>
      </c>
      <c r="AC595" s="4">
        <f>IF(AB595="Invalid", "Error", P595 * Q595 * (1 - AB595))</f>
        <v>27675.7425</v>
      </c>
      <c r="AD595" s="4">
        <f>IF(AC595="Error", "Error", AC595 - T595)</f>
        <v>12104.6625</v>
      </c>
      <c r="AE595" s="2">
        <f>IF(AC595="Error", "Error", IF(AC595=0, 0, AD595 / AC595))</f>
        <v>0.4373744444254748</v>
      </c>
      <c r="AF595" s="7">
        <f>C595-B595</f>
        <v>2</v>
      </c>
      <c r="AG595" s="2" t="str">
        <f>TEXT(B595, "mmmm")</f>
        <v>September</v>
      </c>
      <c r="AH595" s="4">
        <f>YEAR(B595)</f>
        <v>2025</v>
      </c>
      <c r="AI595" s="2" t="str">
        <f t="shared" si="23"/>
        <v>Clean</v>
      </c>
      <c r="AJ595">
        <f>COUNTIFS($A$2:$A$1000,A595,$B$2:$B$1000,B595,$C$2:$C$1000,C595,$D$2:$D$1000,D595,$E$2:$E$1000,E595,$F$2:$F$1000,F595)</f>
        <v>1</v>
      </c>
      <c r="AK595">
        <f>COUNTIF($A$2:$A$1000, A595)</f>
        <v>1</v>
      </c>
    </row>
    <row r="596" spans="1:37">
      <c r="A596" t="s">
        <v>1875</v>
      </c>
      <c r="B596" s="5">
        <v>45554</v>
      </c>
      <c r="C596" s="5">
        <v>45556</v>
      </c>
      <c r="D596" s="6">
        <f>IF(AND(C596&lt;&gt;"",B596&lt;&gt;""), C596-B596, "Missing Date")</f>
        <v>2</v>
      </c>
      <c r="E596" s="6" t="str">
        <f>IF(OR(B596="",C596=""), "Missing Date",
    IF(C596&lt;B596, "Invalid: Ship before Order",
      "OK"))</f>
        <v>OK</v>
      </c>
      <c r="F596" t="s">
        <v>1876</v>
      </c>
      <c r="G596" t="s">
        <v>23</v>
      </c>
      <c r="H596" t="s">
        <v>37</v>
      </c>
      <c r="I596" t="s">
        <v>38</v>
      </c>
      <c r="J596" t="s">
        <v>99</v>
      </c>
      <c r="K596" t="s">
        <v>100</v>
      </c>
      <c r="L596" t="s">
        <v>41</v>
      </c>
      <c r="M596" t="s">
        <v>66</v>
      </c>
      <c r="N596" t="s">
        <v>1877</v>
      </c>
      <c r="O596" t="s">
        <v>50</v>
      </c>
      <c r="P596">
        <v>3</v>
      </c>
      <c r="Q596">
        <v>3981.76</v>
      </c>
      <c r="R596">
        <v>0</v>
      </c>
      <c r="S596">
        <v>11945.28</v>
      </c>
      <c r="T596">
        <v>9700.31</v>
      </c>
      <c r="U596">
        <v>2244.9699999999998</v>
      </c>
      <c r="V596" t="s">
        <v>32</v>
      </c>
      <c r="W596" t="s">
        <v>33</v>
      </c>
      <c r="X596" t="str">
        <f>_xlfn.TEXTJOIN("|", TRUE, A596:W596)</f>
        <v>ORD-2024-10595|45554|45556|2|OK|CUST-6850|Karan Malhotra|Small Business|East|West Bengal|Kolkata|Furniture|Chairs|Basic Chairs 932|First Class|3|3981.76|0|11945.28|9700.31|2244.97|Paid|Completed</v>
      </c>
      <c r="Y596">
        <f>COUNTIF($X$2:$X$1000, X596)</f>
        <v>1</v>
      </c>
      <c r="Z596">
        <f>COUNTIF($A$2:$A$1000, A596)</f>
        <v>1</v>
      </c>
      <c r="AA596" t="str">
        <f>IF(Y596&gt;1, "Exact Duplicate",
  IF(Z596&gt;1, "Conflicting Duplicate - Review",
    "Unique"))</f>
        <v>Unique</v>
      </c>
      <c r="AB596" s="2">
        <f>IF(ISBLANK(R596), 0, IF(ISTEXT(R596), VALUE(SUBSTITUTE(R596, "%", ""))/100, IF(OR(R596&lt;0, R596&gt;1), "Invalid", R596)))</f>
        <v>0</v>
      </c>
      <c r="AC596" s="4">
        <f>IF(AB596="Invalid", "Error", P596 * Q596 * (1 - AB596))</f>
        <v>11945.28</v>
      </c>
      <c r="AD596" s="4">
        <f>IF(AC596="Error", "Error", AC596 - T596)</f>
        <v>2244.9700000000012</v>
      </c>
      <c r="AE596" s="2">
        <f>IF(AC596="Error", "Error", IF(AC596=0, 0, AD596 / AC596))</f>
        <v>0.18793782983739193</v>
      </c>
      <c r="AF596" s="7">
        <f>C596-B596</f>
        <v>2</v>
      </c>
      <c r="AG596" s="2" t="str">
        <f>TEXT(B596, "mmmm")</f>
        <v>September</v>
      </c>
      <c r="AH596" s="4">
        <f>YEAR(B596)</f>
        <v>2024</v>
      </c>
      <c r="AI596" s="2" t="str">
        <f t="shared" si="23"/>
        <v>Clean</v>
      </c>
      <c r="AJ596">
        <f>COUNTIFS($A$2:$A$1000,A596,$B$2:$B$1000,B596,$C$2:$C$1000,C596,$D$2:$D$1000,D596,$E$2:$E$1000,E596,$F$2:$F$1000,F596)</f>
        <v>1</v>
      </c>
      <c r="AK596">
        <f>COUNTIF($A$2:$A$1000, A596)</f>
        <v>1</v>
      </c>
    </row>
    <row r="597" spans="1:37">
      <c r="A597" t="s">
        <v>1878</v>
      </c>
      <c r="B597" s="5">
        <v>45963</v>
      </c>
      <c r="C597" s="5">
        <v>45704</v>
      </c>
      <c r="D597" s="6">
        <f>IF(AND(C597&lt;&gt;"",B597&lt;&gt;""), C597-B597, "Missing Date")</f>
        <v>-259</v>
      </c>
      <c r="E597" s="6" t="str">
        <f>IF(OR(B597="",C597=""), "Missing Date",
    IF(C597&lt;B597, "Invalid: Ship before Order",
      "OK"))</f>
        <v>Invalid: Ship before Order</v>
      </c>
      <c r="F597" t="s">
        <v>1879</v>
      </c>
      <c r="G597" t="s">
        <v>36</v>
      </c>
      <c r="H597" t="s">
        <v>90</v>
      </c>
      <c r="I597" t="s">
        <v>25</v>
      </c>
      <c r="J597" t="s">
        <v>136</v>
      </c>
      <c r="K597" t="s">
        <v>137</v>
      </c>
      <c r="L597" t="s">
        <v>74</v>
      </c>
      <c r="M597" t="s">
        <v>171</v>
      </c>
      <c r="N597" t="s">
        <v>1880</v>
      </c>
      <c r="O597" t="s">
        <v>50</v>
      </c>
      <c r="P597">
        <v>8</v>
      </c>
      <c r="Q597">
        <v>1825.56</v>
      </c>
      <c r="R597">
        <v>0.1</v>
      </c>
      <c r="S597">
        <v>13144.03</v>
      </c>
      <c r="T597">
        <v>9764</v>
      </c>
      <c r="U597">
        <v>3380.03</v>
      </c>
      <c r="V597" t="s">
        <v>32</v>
      </c>
      <c r="W597" t="s">
        <v>33</v>
      </c>
      <c r="X597" t="str">
        <f>_xlfn.TEXTJOIN("|", TRUE, A597:W597)</f>
        <v>ORD-2025-10596|45963|45704|-259|Invalid: Ship before Order|CUST-5566|Mira Das|Corporate|North|Uttar Pradesh|Noida|Technology|Phones|Classic Phones 294|First Class|8|1825.56|0.1|13144.03|9764|3380.03|Paid|Completed</v>
      </c>
      <c r="Y597">
        <f>COUNTIF($X$2:$X$1000, X597)</f>
        <v>1</v>
      </c>
      <c r="Z597">
        <f>COUNTIF($A$2:$A$1000, A597)</f>
        <v>1</v>
      </c>
      <c r="AA597" t="str">
        <f>IF(Y597&gt;1, "Exact Duplicate",
  IF(Z597&gt;1, "Conflicting Duplicate - Review",
    "Unique"))</f>
        <v>Unique</v>
      </c>
      <c r="AB597" s="2">
        <f>IF(ISBLANK(R597), 0, IF(ISTEXT(R597), VALUE(SUBSTITUTE(R597, "%", ""))/100, IF(OR(R597&lt;0, R597&gt;1), "Invalid", R597)))</f>
        <v>0.1</v>
      </c>
      <c r="AC597" s="4">
        <f>IF(AB597="Invalid", "Error", P597 * Q597 * (1 - AB597))</f>
        <v>13144.031999999999</v>
      </c>
      <c r="AD597" s="4">
        <f>IF(AC597="Error", "Error", AC597 - T597)</f>
        <v>3380.0319999999992</v>
      </c>
      <c r="AE597" s="2">
        <f>IF(AC597="Error", "Error", IF(AC597=0, 0, AD597 / AC597))</f>
        <v>0.25715336055176974</v>
      </c>
      <c r="AF597" s="7">
        <f>C597-B597</f>
        <v>-259</v>
      </c>
      <c r="AG597" s="2" t="str">
        <f>TEXT(B597, "mmmm")</f>
        <v>November</v>
      </c>
      <c r="AH597" s="4">
        <f>YEAR(B597)</f>
        <v>2025</v>
      </c>
      <c r="AI597" s="2" t="str">
        <f t="shared" si="23"/>
        <v>Invalid Shipping Record</v>
      </c>
      <c r="AJ597">
        <f>COUNTIFS($A$2:$A$1000,A597,$B$2:$B$1000,B597,$C$2:$C$1000,C597,$D$2:$D$1000,D597,$E$2:$E$1000,E597,$F$2:$F$1000,F597)</f>
        <v>1</v>
      </c>
      <c r="AK597">
        <f>COUNTIF($A$2:$A$1000, A597)</f>
        <v>1</v>
      </c>
    </row>
    <row r="598" spans="1:37">
      <c r="A598" t="s">
        <v>1881</v>
      </c>
      <c r="B598" s="5">
        <v>45392</v>
      </c>
      <c r="C598" s="5">
        <v>45398</v>
      </c>
      <c r="D598" s="6">
        <f>IF(AND(C598&lt;&gt;"",B598&lt;&gt;""), C598-B598, "Missing Date")</f>
        <v>6</v>
      </c>
      <c r="E598" s="6" t="str">
        <f>IF(OR(B598="",C598=""), "Missing Date",
    IF(C598&lt;B598, "Invalid: Ship before Order",
      "OK"))</f>
        <v>OK</v>
      </c>
      <c r="F598" t="s">
        <v>1882</v>
      </c>
      <c r="G598" t="s">
        <v>89</v>
      </c>
      <c r="H598" t="s">
        <v>24</v>
      </c>
      <c r="I598" t="s">
        <v>54</v>
      </c>
      <c r="J598" t="s">
        <v>185</v>
      </c>
      <c r="K598" t="s">
        <v>186</v>
      </c>
      <c r="L598" t="s">
        <v>41</v>
      </c>
      <c r="M598" t="s">
        <v>66</v>
      </c>
      <c r="N598" t="s">
        <v>1883</v>
      </c>
      <c r="O598" t="s">
        <v>31</v>
      </c>
      <c r="P598">
        <v>9</v>
      </c>
      <c r="Q598">
        <v>2723.26</v>
      </c>
      <c r="R598">
        <v>0.25</v>
      </c>
      <c r="S598">
        <v>18382.009999999998</v>
      </c>
      <c r="T598">
        <v>13108.2</v>
      </c>
      <c r="U598">
        <v>5273.81</v>
      </c>
      <c r="V598" t="s">
        <v>32</v>
      </c>
      <c r="W598" t="s">
        <v>33</v>
      </c>
      <c r="X598" t="str">
        <f>_xlfn.TEXTJOIN("|", TRUE, A598:W598)</f>
        <v>ORD-2024-10597|45392|45398|6|OK|CUST-2593|Aditi Sen|Consumer|South|Kerala|Kochi|Furniture|Chairs|Elite Chairs 700|Second Class|9|2723.26|0.25|18382.01|13108.2|5273.81|Paid|Completed</v>
      </c>
      <c r="Y598">
        <f>COUNTIF($X$2:$X$1000, X598)</f>
        <v>1</v>
      </c>
      <c r="Z598">
        <f>COUNTIF($A$2:$A$1000, A598)</f>
        <v>1</v>
      </c>
      <c r="AA598" t="str">
        <f>IF(Y598&gt;1, "Exact Duplicate",
  IF(Z598&gt;1, "Conflicting Duplicate - Review",
    "Unique"))</f>
        <v>Unique</v>
      </c>
      <c r="AB598" s="2">
        <f>IF(ISBLANK(R598), 0, IF(ISTEXT(R598), VALUE(SUBSTITUTE(R598, "%", ""))/100, IF(OR(R598&lt;0, R598&gt;1), "Invalid", R598)))</f>
        <v>0.25</v>
      </c>
      <c r="AC598" s="4">
        <f>IF(AB598="Invalid", "Error", P598 * Q598 * (1 - AB598))</f>
        <v>18382.005000000005</v>
      </c>
      <c r="AD598" s="4">
        <f>IF(AC598="Error", "Error", AC598 - T598)</f>
        <v>5273.8050000000039</v>
      </c>
      <c r="AE598" s="2">
        <f>IF(AC598="Error", "Error", IF(AC598=0, 0, AD598 / AC598))</f>
        <v>0.28690042245119629</v>
      </c>
      <c r="AF598" s="7">
        <f>C598-B598</f>
        <v>6</v>
      </c>
      <c r="AG598" s="2" t="str">
        <f>TEXT(B598, "mmmm")</f>
        <v>April</v>
      </c>
      <c r="AH598" s="4">
        <f>YEAR(B598)</f>
        <v>2024</v>
      </c>
      <c r="AI598" s="2" t="str">
        <f t="shared" si="23"/>
        <v>Clean</v>
      </c>
      <c r="AJ598">
        <f>COUNTIFS($A$2:$A$1000,A598,$B$2:$B$1000,B598,$C$2:$C$1000,C598,$D$2:$D$1000,D598,$E$2:$E$1000,E598,$F$2:$F$1000,F598)</f>
        <v>1</v>
      </c>
      <c r="AK598">
        <f>COUNTIF($A$2:$A$1000, A598)</f>
        <v>1</v>
      </c>
    </row>
    <row r="599" spans="1:37">
      <c r="A599" t="s">
        <v>1884</v>
      </c>
      <c r="B599" s="5">
        <v>45846</v>
      </c>
      <c r="C599" s="5">
        <v>45876</v>
      </c>
      <c r="D599" s="6">
        <f>IF(AND(C599&lt;&gt;"",B599&lt;&gt;""), C599-B599, "Missing Date")</f>
        <v>30</v>
      </c>
      <c r="E599" s="6" t="str">
        <f>IF(OR(B599="",C599=""), "Missing Date",
    IF(C599&lt;B599, "Invalid: Ship before Order",
      "OK"))</f>
        <v>OK</v>
      </c>
      <c r="F599" t="s">
        <v>1885</v>
      </c>
      <c r="G599" t="s">
        <v>89</v>
      </c>
      <c r="H599" t="s">
        <v>24</v>
      </c>
      <c r="I599" t="s">
        <v>54</v>
      </c>
      <c r="J599" t="s">
        <v>55</v>
      </c>
      <c r="K599" t="s">
        <v>56</v>
      </c>
      <c r="L599" t="s">
        <v>74</v>
      </c>
      <c r="M599" t="s">
        <v>80</v>
      </c>
      <c r="N599" t="s">
        <v>1886</v>
      </c>
      <c r="O599" t="s">
        <v>44</v>
      </c>
      <c r="P599">
        <v>9</v>
      </c>
      <c r="Q599">
        <v>274.88</v>
      </c>
      <c r="R599">
        <v>0.25</v>
      </c>
      <c r="S599">
        <v>1855.44</v>
      </c>
      <c r="T599">
        <v>1262.74</v>
      </c>
      <c r="U599">
        <v>592.70000000000005</v>
      </c>
      <c r="V599" t="s">
        <v>32</v>
      </c>
      <c r="W599" t="s">
        <v>33</v>
      </c>
      <c r="X599" t="str">
        <f>_xlfn.TEXTJOIN("|", TRUE, A599:W599)</f>
        <v>ORD-2025-10598|45846|45876|30|OK|CUST-6957|Aditi Sen|Consumer|South|Telangana|Hyderabad|Technology|Copiers|Prime Copiers 969|Same Day|9|274.88|0.25|1855.44|1262.74|592.7|Paid|Completed</v>
      </c>
      <c r="Y599">
        <f>COUNTIF($X$2:$X$1000, X599)</f>
        <v>1</v>
      </c>
      <c r="Z599">
        <f>COUNTIF($A$2:$A$1000, A599)</f>
        <v>1</v>
      </c>
      <c r="AA599" t="str">
        <f>IF(Y599&gt;1, "Exact Duplicate",
  IF(Z599&gt;1, "Conflicting Duplicate - Review",
    "Unique"))</f>
        <v>Unique</v>
      </c>
      <c r="AB599" s="2">
        <f>IF(ISBLANK(R599), 0, IF(ISTEXT(R599), VALUE(SUBSTITUTE(R599, "%", ""))/100, IF(OR(R599&lt;0, R599&gt;1), "Invalid", R599)))</f>
        <v>0.25</v>
      </c>
      <c r="AC599" s="4">
        <f>IF(AB599="Invalid", "Error", P599 * Q599 * (1 - AB599))</f>
        <v>1855.44</v>
      </c>
      <c r="AD599" s="4">
        <f>IF(AC599="Error", "Error", AC599 - T599)</f>
        <v>592.70000000000005</v>
      </c>
      <c r="AE599" s="2">
        <f>IF(AC599="Error", "Error", IF(AC599=0, 0, AD599 / AC599))</f>
        <v>0.3194390548872505</v>
      </c>
      <c r="AF599" s="7">
        <f>C599-B599</f>
        <v>30</v>
      </c>
      <c r="AG599" s="2" t="str">
        <f>TEXT(B599, "mmmm")</f>
        <v>July</v>
      </c>
      <c r="AH599" s="4">
        <f>YEAR(B599)</f>
        <v>2025</v>
      </c>
      <c r="AI599" s="2" t="str">
        <f t="shared" si="23"/>
        <v>Clean</v>
      </c>
      <c r="AJ599">
        <f>COUNTIFS($A$2:$A$1000,A599,$B$2:$B$1000,B599,$C$2:$C$1000,C599,$D$2:$D$1000,D599,$E$2:$E$1000,E599,$F$2:$F$1000,F599)</f>
        <v>1</v>
      </c>
      <c r="AK599">
        <f>COUNTIF($A$2:$A$1000, A599)</f>
        <v>1</v>
      </c>
    </row>
    <row r="600" spans="1:37">
      <c r="A600" t="s">
        <v>1887</v>
      </c>
      <c r="B600" s="5">
        <v>45521</v>
      </c>
      <c r="C600" s="5">
        <v>45528</v>
      </c>
      <c r="D600" s="6">
        <f>IF(AND(C600&lt;&gt;"",B600&lt;&gt;""), C600-B600, "Missing Date")</f>
        <v>7</v>
      </c>
      <c r="E600" s="6" t="str">
        <f>IF(OR(B600="",C600=""), "Missing Date",
    IF(C600&lt;B600, "Invalid: Ship before Order",
      "OK"))</f>
        <v>OK</v>
      </c>
      <c r="F600" t="s">
        <v>1888</v>
      </c>
      <c r="G600" t="s">
        <v>62</v>
      </c>
      <c r="H600" t="s">
        <v>90</v>
      </c>
      <c r="I600" t="s">
        <v>38</v>
      </c>
      <c r="J600" t="s">
        <v>99</v>
      </c>
      <c r="K600" t="s">
        <v>100</v>
      </c>
      <c r="L600" t="s">
        <v>74</v>
      </c>
      <c r="M600" t="s">
        <v>80</v>
      </c>
      <c r="N600" t="s">
        <v>1889</v>
      </c>
      <c r="O600" t="s">
        <v>44</v>
      </c>
      <c r="P600">
        <v>3</v>
      </c>
      <c r="Q600">
        <v>1490.69</v>
      </c>
      <c r="R600">
        <v>0.25</v>
      </c>
      <c r="S600">
        <v>3354.05</v>
      </c>
      <c r="T600">
        <v>2672.67</v>
      </c>
      <c r="U600">
        <v>681.38</v>
      </c>
      <c r="V600" t="s">
        <v>32</v>
      </c>
      <c r="W600" t="s">
        <v>33</v>
      </c>
      <c r="X600" t="str">
        <f>_xlfn.TEXTJOIN("|", TRUE, A600:W600)</f>
        <v>ORD-2024-10599|45521|45528|7|OK|CUST-8498|Ananya Rao|Corporate|East|West Bengal|Kolkata|Technology|Copiers|Eco Copiers 268|Same Day|3|1490.69|0.25|3354.05|2672.67|681.38|Paid|Completed</v>
      </c>
      <c r="Y600">
        <f>COUNTIF($X$2:$X$1000, X600)</f>
        <v>1</v>
      </c>
      <c r="Z600">
        <f>COUNTIF($A$2:$A$1000, A600)</f>
        <v>2</v>
      </c>
      <c r="AA600" t="str">
        <f>IF(Y600&gt;1, "Exact Duplicate",
  IF(Z600&gt;1, "Conflicting Duplicate - Review",
    "Unique"))</f>
        <v>Conflicting Duplicate - Review</v>
      </c>
      <c r="AB600" s="2">
        <f>IF(ISBLANK(R600), 0, IF(ISTEXT(R600), VALUE(SUBSTITUTE(R600, "%", ""))/100, IF(OR(R600&lt;0, R600&gt;1), "Invalid", R600)))</f>
        <v>0.25</v>
      </c>
      <c r="AC600" s="4">
        <f>IF(AB600="Invalid", "Error", P600 * Q600 * (1 - AB600))</f>
        <v>3354.0524999999998</v>
      </c>
      <c r="AD600" s="4">
        <f>IF(AC600="Error", "Error", AC600 - T600)</f>
        <v>681.38249999999971</v>
      </c>
      <c r="AE600" s="2">
        <f>IF(AC600="Error", "Error", IF(AC600=0, 0, AD600 / AC600))</f>
        <v>0.20315200790685289</v>
      </c>
      <c r="AF600" s="7">
        <f>C600-B600</f>
        <v>7</v>
      </c>
      <c r="AG600" s="2" t="str">
        <f>TEXT(B600, "mmmm")</f>
        <v>August</v>
      </c>
      <c r="AH600" s="4">
        <f>YEAR(B600)</f>
        <v>2024</v>
      </c>
      <c r="AI600" s="2" t="str">
        <f t="shared" si="23"/>
        <v>Clean</v>
      </c>
      <c r="AJ600">
        <f>COUNTIFS($A$2:$A$1000,A600,$B$2:$B$1000,B600,$C$2:$C$1000,C600,$D$2:$D$1000,D600,$E$2:$E$1000,E600,$F$2:$F$1000,F600)</f>
        <v>2</v>
      </c>
      <c r="AK600">
        <f>COUNTIF($A$2:$A$1000, A600)</f>
        <v>2</v>
      </c>
    </row>
    <row r="601" spans="1:37">
      <c r="A601" t="s">
        <v>1890</v>
      </c>
      <c r="B601" s="5">
        <v>45523</v>
      </c>
      <c r="C601" s="5">
        <v>45525</v>
      </c>
      <c r="D601" s="6">
        <f>IF(AND(C601&lt;&gt;"",B601&lt;&gt;""), C601-B601, "Missing Date")</f>
        <v>2</v>
      </c>
      <c r="E601" s="6" t="str">
        <f>IF(OR(B601="",C601=""), "Missing Date",
    IF(C601&lt;B601, "Invalid: Ship before Order",
      "OK"))</f>
        <v>OK</v>
      </c>
      <c r="F601" t="s">
        <v>1891</v>
      </c>
      <c r="G601" t="s">
        <v>53</v>
      </c>
      <c r="H601" t="s">
        <v>24</v>
      </c>
      <c r="I601" t="s">
        <v>25</v>
      </c>
      <c r="J601" t="s">
        <v>122</v>
      </c>
      <c r="K601" t="s">
        <v>123</v>
      </c>
      <c r="L601" t="s">
        <v>74</v>
      </c>
      <c r="M601" t="s">
        <v>171</v>
      </c>
      <c r="N601" t="s">
        <v>1892</v>
      </c>
      <c r="O601" t="s">
        <v>50</v>
      </c>
      <c r="P601">
        <v>3</v>
      </c>
      <c r="Q601">
        <v>1103.54</v>
      </c>
      <c r="R601">
        <v>0.25</v>
      </c>
      <c r="S601">
        <v>2482.9699999999998</v>
      </c>
      <c r="T601">
        <v>1621.72</v>
      </c>
      <c r="U601">
        <v>861.25</v>
      </c>
      <c r="V601" t="s">
        <v>32</v>
      </c>
      <c r="W601" t="s">
        <v>33</v>
      </c>
      <c r="X601" t="str">
        <f>_xlfn.TEXTJOIN("|", TRUE, A601:W601)</f>
        <v>ORD-2024-10600|45523|45525|2|OK|CUST-2612|Arjun Bose|Consumer|North|Punjab|Ludhiana|Technology|Phones|Pro Phones 588|First Class|3|1103.54|0.25|2482.97|1621.72|861.25|Paid|Completed</v>
      </c>
      <c r="Y601">
        <f>COUNTIF($X$2:$X$1000, X601)</f>
        <v>1</v>
      </c>
      <c r="Z601">
        <f>COUNTIF($A$2:$A$1000, A601)</f>
        <v>1</v>
      </c>
      <c r="AA601" t="str">
        <f>IF(Y601&gt;1, "Exact Duplicate",
  IF(Z601&gt;1, "Conflicting Duplicate - Review",
    "Unique"))</f>
        <v>Unique</v>
      </c>
      <c r="AB601" s="2">
        <f>IF(ISBLANK(R601), 0, IF(ISTEXT(R601), VALUE(SUBSTITUTE(R601, "%", ""))/100, IF(OR(R601&lt;0, R601&gt;1), "Invalid", R601)))</f>
        <v>0.25</v>
      </c>
      <c r="AC601" s="4">
        <f>IF(AB601="Invalid", "Error", P601 * Q601 * (1 - AB601))</f>
        <v>2482.9650000000001</v>
      </c>
      <c r="AD601" s="4">
        <f>IF(AC601="Error", "Error", AC601 - T601)</f>
        <v>861.24500000000012</v>
      </c>
      <c r="AE601" s="2">
        <f>IF(AC601="Error", "Error", IF(AC601=0, 0, AD601 / AC601))</f>
        <v>0.34686151435884116</v>
      </c>
      <c r="AF601" s="7">
        <f>C601-B601</f>
        <v>2</v>
      </c>
      <c r="AG601" s="2" t="str">
        <f>TEXT(B601, "mmmm")</f>
        <v>August</v>
      </c>
      <c r="AH601" s="4">
        <f>YEAR(B601)</f>
        <v>2024</v>
      </c>
      <c r="AI601" s="2" t="str">
        <f t="shared" si="23"/>
        <v>Clean</v>
      </c>
      <c r="AJ601">
        <f>COUNTIFS($A$2:$A$1000,A601,$B$2:$B$1000,B601,$C$2:$C$1000,C601,$D$2:$D$1000,D601,$E$2:$E$1000,E601,$F$2:$F$1000,F601)</f>
        <v>1</v>
      </c>
      <c r="AK601">
        <f>COUNTIF($A$2:$A$1000, A601)</f>
        <v>1</v>
      </c>
    </row>
    <row r="602" spans="1:37">
      <c r="A602" t="s">
        <v>1893</v>
      </c>
      <c r="B602" s="5">
        <v>45721</v>
      </c>
      <c r="C602" s="5">
        <v>45728</v>
      </c>
      <c r="D602" s="6">
        <f>IF(AND(C602&lt;&gt;"",B602&lt;&gt;""), C602-B602, "Missing Date")</f>
        <v>7</v>
      </c>
      <c r="E602" s="6" t="str">
        <f>IF(OR(B602="",C602=""), "Missing Date",
    IF(C602&lt;B602, "Invalid: Ship before Order",
      "OK"))</f>
        <v>OK</v>
      </c>
      <c r="F602" t="s">
        <v>1894</v>
      </c>
      <c r="G602" t="s">
        <v>62</v>
      </c>
      <c r="H602" t="s">
        <v>90</v>
      </c>
      <c r="I602" t="s">
        <v>63</v>
      </c>
      <c r="J602" t="s">
        <v>72</v>
      </c>
      <c r="K602" t="s">
        <v>73</v>
      </c>
      <c r="L602" t="s">
        <v>28</v>
      </c>
      <c r="M602" t="s">
        <v>124</v>
      </c>
      <c r="N602" t="s">
        <v>1895</v>
      </c>
      <c r="O602" t="s">
        <v>44</v>
      </c>
      <c r="P602">
        <v>3</v>
      </c>
      <c r="Q602">
        <v>3682.75</v>
      </c>
      <c r="S602">
        <v>11048.25</v>
      </c>
      <c r="T602">
        <v>9062.7199999999993</v>
      </c>
      <c r="U602">
        <v>1985.53</v>
      </c>
      <c r="V602" t="s">
        <v>32</v>
      </c>
      <c r="W602" t="s">
        <v>33</v>
      </c>
      <c r="X602" t="str">
        <f>_xlfn.TEXTJOIN("|", TRUE, A602:W602)</f>
        <v>ORD-2025-10601|45721|45728|7|OK|CUST-6013|Ananya Rao|Corporate|West|Madhya Pradesh|Indore|Office Supplies|Storage|Prime Storage 432|Same Day|3|3682.75|11048.25|9062.72|1985.53|Paid|Completed</v>
      </c>
      <c r="Y602">
        <f>COUNTIF($X$2:$X$1000, X602)</f>
        <v>1</v>
      </c>
      <c r="Z602">
        <f>COUNTIF($A$2:$A$1000, A602)</f>
        <v>1</v>
      </c>
      <c r="AA602" t="str">
        <f>IF(Y602&gt;1, "Exact Duplicate",
  IF(Z602&gt;1, "Conflicting Duplicate - Review",
    "Unique"))</f>
        <v>Unique</v>
      </c>
      <c r="AB602" s="2">
        <f>IF(ISBLANK(R602), 0, IF(ISTEXT(R602), VALUE(SUBSTITUTE(R602, "%", ""))/100, IF(OR(R602&lt;0, R602&gt;1), "Invalid", R602)))</f>
        <v>0</v>
      </c>
      <c r="AC602" s="4">
        <f>IF(AB602="Invalid", "Error", P602 * Q602 * (1 - AB602))</f>
        <v>11048.25</v>
      </c>
      <c r="AD602" s="4">
        <f>IF(AC602="Error", "Error", AC602 - T602)</f>
        <v>1985.5300000000007</v>
      </c>
      <c r="AE602" s="2">
        <f>IF(AC602="Error", "Error", IF(AC602=0, 0, AD602 / AC602))</f>
        <v>0.17971443441268986</v>
      </c>
      <c r="AF602" s="7">
        <f>C602-B602</f>
        <v>7</v>
      </c>
      <c r="AG602" s="2" t="str">
        <f>TEXT(B602, "mmmm")</f>
        <v>March</v>
      </c>
      <c r="AH602" s="4">
        <f>YEAR(B602)</f>
        <v>2025</v>
      </c>
      <c r="AI602" s="2" t="str">
        <f t="shared" si="23"/>
        <v>Clean</v>
      </c>
      <c r="AJ602">
        <f>COUNTIFS($A$2:$A$1000,A602,$B$2:$B$1000,B602,$C$2:$C$1000,C602,$D$2:$D$1000,D602,$E$2:$E$1000,E602,$F$2:$F$1000,F602)</f>
        <v>1</v>
      </c>
      <c r="AK602">
        <f>COUNTIF($A$2:$A$1000, A602)</f>
        <v>1</v>
      </c>
    </row>
    <row r="603" spans="1:37">
      <c r="A603" t="s">
        <v>1896</v>
      </c>
      <c r="B603" s="5">
        <v>45317</v>
      </c>
      <c r="C603" s="5">
        <v>45322</v>
      </c>
      <c r="D603" s="6">
        <f>IF(AND(C603&lt;&gt;"",B603&lt;&gt;""), C603-B603, "Missing Date")</f>
        <v>5</v>
      </c>
      <c r="E603" s="6" t="str">
        <f>IF(OR(B603="",C603=""), "Missing Date",
    IF(C603&lt;B603, "Invalid: Ship before Order",
      "OK"))</f>
        <v>OK</v>
      </c>
      <c r="F603" t="s">
        <v>1897</v>
      </c>
      <c r="G603" t="s">
        <v>62</v>
      </c>
      <c r="H603" t="s">
        <v>95</v>
      </c>
      <c r="I603" t="s">
        <v>38</v>
      </c>
      <c r="J603" t="s">
        <v>99</v>
      </c>
      <c r="K603" t="s">
        <v>100</v>
      </c>
      <c r="L603" t="s">
        <v>28</v>
      </c>
      <c r="M603" t="s">
        <v>29</v>
      </c>
      <c r="N603" t="s">
        <v>1898</v>
      </c>
      <c r="O603" t="s">
        <v>31</v>
      </c>
      <c r="P603">
        <v>5</v>
      </c>
      <c r="Q603">
        <v>1615.03</v>
      </c>
      <c r="R603">
        <v>0.2</v>
      </c>
      <c r="S603">
        <v>6460.12</v>
      </c>
      <c r="T603">
        <v>3604.03</v>
      </c>
      <c r="U603">
        <v>2856.09</v>
      </c>
      <c r="V603" t="s">
        <v>32</v>
      </c>
      <c r="W603" t="s">
        <v>33</v>
      </c>
      <c r="X603" t="str">
        <f>_xlfn.TEXTJOIN("|", TRUE, A603:W603)</f>
        <v>ORD-2024-10602|45317|45322|5|OK|CUST-8289|Ananya Rao|Home Office|East|West Bengal|Kolkata|Office Supplies|Paper|Basic Paper 452|Second Class|5|1615.03|0.2|6460.12|3604.03|2856.09|Paid|Completed</v>
      </c>
      <c r="Y603">
        <f>COUNTIF($X$2:$X$1000, X603)</f>
        <v>1</v>
      </c>
      <c r="Z603">
        <f>COUNTIF($A$2:$A$1000, A603)</f>
        <v>1</v>
      </c>
      <c r="AA603" t="str">
        <f>IF(Y603&gt;1, "Exact Duplicate",
  IF(Z603&gt;1, "Conflicting Duplicate - Review",
    "Unique"))</f>
        <v>Unique</v>
      </c>
      <c r="AB603" s="2">
        <f>IF(ISBLANK(R603), 0, IF(ISTEXT(R603), VALUE(SUBSTITUTE(R603, "%", ""))/100, IF(OR(R603&lt;0, R603&gt;1), "Invalid", R603)))</f>
        <v>0.2</v>
      </c>
      <c r="AC603" s="4">
        <f>IF(AB603="Invalid", "Error", P603 * Q603 * (1 - AB603))</f>
        <v>6460.12</v>
      </c>
      <c r="AD603" s="4">
        <f>IF(AC603="Error", "Error", AC603 - T603)</f>
        <v>2856.0899999999997</v>
      </c>
      <c r="AE603" s="2">
        <f>IF(AC603="Error", "Error", IF(AC603=0, 0, AD603 / AC603))</f>
        <v>0.44211098245853014</v>
      </c>
      <c r="AF603" s="7">
        <f>C603-B603</f>
        <v>5</v>
      </c>
      <c r="AG603" s="2" t="str">
        <f>TEXT(B603, "mmmm")</f>
        <v>January</v>
      </c>
      <c r="AH603" s="4">
        <f>YEAR(B603)</f>
        <v>2024</v>
      </c>
      <c r="AI603" s="2" t="str">
        <f t="shared" si="23"/>
        <v>Clean</v>
      </c>
      <c r="AJ603">
        <f>COUNTIFS($A$2:$A$1000,A603,$B$2:$B$1000,B603,$C$2:$C$1000,C603,$D$2:$D$1000,D603,$E$2:$E$1000,E603,$F$2:$F$1000,F603)</f>
        <v>1</v>
      </c>
      <c r="AK603">
        <f>COUNTIF($A$2:$A$1000, A603)</f>
        <v>1</v>
      </c>
    </row>
    <row r="604" spans="1:37">
      <c r="A604" t="s">
        <v>1899</v>
      </c>
      <c r="B604" s="5">
        <v>45588</v>
      </c>
      <c r="C604" s="5">
        <v>45595</v>
      </c>
      <c r="D604" s="6">
        <f>IF(AND(C604&lt;&gt;"",B604&lt;&gt;""), C604-B604, "Missing Date")</f>
        <v>7</v>
      </c>
      <c r="E604" s="6" t="str">
        <f>IF(OR(B604="",C604=""), "Missing Date",
    IF(C604&lt;B604, "Invalid: Ship before Order",
      "OK"))</f>
        <v>OK</v>
      </c>
      <c r="F604" t="s">
        <v>1900</v>
      </c>
      <c r="G604" t="s">
        <v>128</v>
      </c>
      <c r="H604" t="s">
        <v>24</v>
      </c>
      <c r="I604" t="s">
        <v>38</v>
      </c>
      <c r="J604" t="s">
        <v>228</v>
      </c>
      <c r="K604" t="s">
        <v>229</v>
      </c>
      <c r="L604" t="s">
        <v>74</v>
      </c>
      <c r="M604" t="s">
        <v>80</v>
      </c>
      <c r="N604" t="s">
        <v>1901</v>
      </c>
      <c r="O604" t="s">
        <v>31</v>
      </c>
      <c r="P604">
        <v>9</v>
      </c>
      <c r="Q604">
        <v>3423.82</v>
      </c>
      <c r="R604">
        <v>0.15</v>
      </c>
      <c r="S604">
        <v>26192.22</v>
      </c>
      <c r="T604">
        <v>20795.55</v>
      </c>
      <c r="U604">
        <v>5396.67</v>
      </c>
      <c r="V604" t="s">
        <v>32</v>
      </c>
      <c r="W604" t="s">
        <v>33</v>
      </c>
      <c r="X604" t="str">
        <f>_xlfn.TEXTJOIN("|", TRUE, A604:W604)</f>
        <v>ORD-2024-10603|45588|45595|7|OK|CUST-5668|Aarav Sharma|Consumer|East|Jharkhand|Ranchi|Technology|Copiers|Max Copiers 477|Second Class|9|3423.82|0.15|26192.22|20795.55|5396.67|Paid|Completed</v>
      </c>
      <c r="Y604">
        <f>COUNTIF($X$2:$X$1000, X604)</f>
        <v>1</v>
      </c>
      <c r="Z604">
        <f>COUNTIF($A$2:$A$1000, A604)</f>
        <v>1</v>
      </c>
      <c r="AA604" t="str">
        <f>IF(Y604&gt;1, "Exact Duplicate",
  IF(Z604&gt;1, "Conflicting Duplicate - Review",
    "Unique"))</f>
        <v>Unique</v>
      </c>
      <c r="AB604" s="2">
        <f>IF(ISBLANK(R604), 0, IF(ISTEXT(R604), VALUE(SUBSTITUTE(R604, "%", ""))/100, IF(OR(R604&lt;0, R604&gt;1), "Invalid", R604)))</f>
        <v>0.15</v>
      </c>
      <c r="AC604" s="4">
        <f>IF(AB604="Invalid", "Error", P604 * Q604 * (1 - AB604))</f>
        <v>26192.223000000002</v>
      </c>
      <c r="AD604" s="4">
        <f>IF(AC604="Error", "Error", AC604 - T604)</f>
        <v>5396.6730000000025</v>
      </c>
      <c r="AE604" s="2">
        <f>IF(AC604="Error", "Error", IF(AC604=0, 0, AD604 / AC604))</f>
        <v>0.20604104508426041</v>
      </c>
      <c r="AF604" s="7">
        <f>C604-B604</f>
        <v>7</v>
      </c>
      <c r="AG604" s="2" t="str">
        <f>TEXT(B604, "mmmm")</f>
        <v>October</v>
      </c>
      <c r="AH604" s="4">
        <f>YEAR(B604)</f>
        <v>2024</v>
      </c>
      <c r="AI604" s="2" t="str">
        <f t="shared" si="23"/>
        <v>Clean</v>
      </c>
      <c r="AJ604">
        <f>COUNTIFS($A$2:$A$1000,A604,$B$2:$B$1000,B604,$C$2:$C$1000,C604,$D$2:$D$1000,D604,$E$2:$E$1000,E604,$F$2:$F$1000,F604)</f>
        <v>1</v>
      </c>
      <c r="AK604">
        <f>COUNTIF($A$2:$A$1000, A604)</f>
        <v>1</v>
      </c>
    </row>
    <row r="605" spans="1:37">
      <c r="A605" t="s">
        <v>1902</v>
      </c>
      <c r="B605" s="5">
        <v>45717</v>
      </c>
      <c r="C605" s="5">
        <v>45668</v>
      </c>
      <c r="D605" s="6">
        <f>IF(AND(C605&lt;&gt;"",B605&lt;&gt;""), C605-B605, "Missing Date")</f>
        <v>-49</v>
      </c>
      <c r="E605" s="6" t="str">
        <f>IF(OR(B605="",C605=""), "Missing Date",
    IF(C605&lt;B605, "Invalid: Ship before Order",
      "OK"))</f>
        <v>Invalid: Ship before Order</v>
      </c>
      <c r="F605" t="s">
        <v>334</v>
      </c>
      <c r="G605" t="s">
        <v>71</v>
      </c>
      <c r="H605" t="s">
        <v>90</v>
      </c>
      <c r="I605" t="s">
        <v>38</v>
      </c>
      <c r="J605" t="s">
        <v>145</v>
      </c>
      <c r="K605" t="s">
        <v>146</v>
      </c>
      <c r="L605" t="s">
        <v>74</v>
      </c>
      <c r="M605" t="s">
        <v>75</v>
      </c>
      <c r="N605" t="s">
        <v>1903</v>
      </c>
      <c r="O605" t="s">
        <v>50</v>
      </c>
      <c r="P605">
        <v>8</v>
      </c>
      <c r="Q605">
        <v>2574.29</v>
      </c>
      <c r="R605">
        <v>0.05</v>
      </c>
      <c r="S605">
        <v>19564.599999999999</v>
      </c>
      <c r="T605">
        <v>11154.59</v>
      </c>
      <c r="U605">
        <v>8410.01</v>
      </c>
      <c r="V605" t="s">
        <v>111</v>
      </c>
      <c r="W605" t="s">
        <v>68</v>
      </c>
      <c r="X605" t="str">
        <f>_xlfn.TEXTJOIN("|", TRUE, A605:W605)</f>
        <v>ORD-2025-10604|45717|45668|-49|Invalid: Ship before Order|CUST-5808|Vikram Iyer|Corporate|East|Bihar|Patna|Technology|Accessories|Prime Accessories 300|First Class|8|2574.29|0.05|19564.6|11154.59|8410.01|Pending|Cancelled</v>
      </c>
      <c r="Y605">
        <f>COUNTIF($X$2:$X$1000, X605)</f>
        <v>1</v>
      </c>
      <c r="Z605">
        <f>COUNTIF($A$2:$A$1000, A605)</f>
        <v>1</v>
      </c>
      <c r="AA605" t="str">
        <f>IF(Y605&gt;1, "Exact Duplicate",
  IF(Z605&gt;1, "Conflicting Duplicate - Review",
    "Unique"))</f>
        <v>Unique</v>
      </c>
      <c r="AB605" s="2">
        <f>IF(ISBLANK(R605), 0, IF(ISTEXT(R605), VALUE(SUBSTITUTE(R605, "%", ""))/100, IF(OR(R605&lt;0, R605&gt;1), "Invalid", R605)))</f>
        <v>0.05</v>
      </c>
      <c r="AC605" s="4">
        <f>IF(AB605="Invalid", "Error", P605 * Q605 * (1 - AB605))</f>
        <v>19564.603999999999</v>
      </c>
      <c r="AD605" s="4">
        <f>IF(AC605="Error", "Error", AC605 - T605)</f>
        <v>8410.0139999999992</v>
      </c>
      <c r="AE605" s="2">
        <f>IF(AC605="Error", "Error", IF(AC605=0, 0, AD605 / AC605))</f>
        <v>0.42985863654587642</v>
      </c>
      <c r="AF605" s="7">
        <f>C605-B605</f>
        <v>-49</v>
      </c>
      <c r="AG605" s="2" t="str">
        <f>TEXT(B605, "mmmm")</f>
        <v>March</v>
      </c>
      <c r="AH605" s="4">
        <f>YEAR(B605)</f>
        <v>2025</v>
      </c>
      <c r="AI605" s="2" t="str">
        <f t="shared" si="23"/>
        <v>Excluded from Sales</v>
      </c>
      <c r="AJ605">
        <f>COUNTIFS($A$2:$A$1000,A605,$B$2:$B$1000,B605,$C$2:$C$1000,C605,$D$2:$D$1000,D605,$E$2:$E$1000,E605,$F$2:$F$1000,F605)</f>
        <v>1</v>
      </c>
      <c r="AK605">
        <f>COUNTIF($A$2:$A$1000, A605)</f>
        <v>1</v>
      </c>
    </row>
    <row r="606" spans="1:37">
      <c r="A606" t="s">
        <v>1904</v>
      </c>
      <c r="B606" s="5">
        <v>45693</v>
      </c>
      <c r="C606" s="5">
        <v>45810</v>
      </c>
      <c r="D606" s="6">
        <f>IF(AND(C606&lt;&gt;"",B606&lt;&gt;""), C606-B606, "Missing Date")</f>
        <v>117</v>
      </c>
      <c r="E606" s="6" t="str">
        <f>IF(OR(B606="",C606=""), "Missing Date",
    IF(C606&lt;B606, "Invalid: Ship before Order",
      "OK"))</f>
        <v>OK</v>
      </c>
      <c r="F606" t="s">
        <v>1905</v>
      </c>
      <c r="G606" t="s">
        <v>62</v>
      </c>
      <c r="H606" t="s">
        <v>24</v>
      </c>
      <c r="I606" t="s">
        <v>63</v>
      </c>
      <c r="J606" t="s">
        <v>72</v>
      </c>
      <c r="K606" t="s">
        <v>73</v>
      </c>
      <c r="L606" t="s">
        <v>28</v>
      </c>
      <c r="M606" t="s">
        <v>153</v>
      </c>
      <c r="N606" t="s">
        <v>1906</v>
      </c>
      <c r="O606" t="s">
        <v>44</v>
      </c>
      <c r="P606">
        <v>3</v>
      </c>
      <c r="Q606">
        <v>1076.3</v>
      </c>
      <c r="R606">
        <v>0</v>
      </c>
      <c r="S606">
        <v>3228.9</v>
      </c>
      <c r="T606">
        <v>1853.23</v>
      </c>
      <c r="U606">
        <v>1375.67</v>
      </c>
      <c r="V606" t="s">
        <v>32</v>
      </c>
      <c r="W606" t="s">
        <v>33</v>
      </c>
      <c r="X606" t="str">
        <f>_xlfn.TEXTJOIN("|", TRUE, A606:W606)</f>
        <v>ORD-2025-10605|45693|45810|117|OK|CUST-4526|Ananya Rao|Consumer|West|Madhya Pradesh|Indore|Office Supplies|Binders|Max Binders 547|Same Day|3|1076.3|0|3228.9|1853.23|1375.67|Paid|Completed</v>
      </c>
      <c r="Y606">
        <f>COUNTIF($X$2:$X$1000, X606)</f>
        <v>1</v>
      </c>
      <c r="Z606">
        <f>COUNTIF($A$2:$A$1000, A606)</f>
        <v>1</v>
      </c>
      <c r="AA606" t="str">
        <f>IF(Y606&gt;1, "Exact Duplicate",
  IF(Z606&gt;1, "Conflicting Duplicate - Review",
    "Unique"))</f>
        <v>Unique</v>
      </c>
      <c r="AB606" s="2">
        <f>IF(ISBLANK(R606), 0, IF(ISTEXT(R606), VALUE(SUBSTITUTE(R606, "%", ""))/100, IF(OR(R606&lt;0, R606&gt;1), "Invalid", R606)))</f>
        <v>0</v>
      </c>
      <c r="AC606" s="4">
        <f>IF(AB606="Invalid", "Error", P606 * Q606 * (1 - AB606))</f>
        <v>3228.8999999999996</v>
      </c>
      <c r="AD606" s="4">
        <f>IF(AC606="Error", "Error", AC606 - T606)</f>
        <v>1375.6699999999996</v>
      </c>
      <c r="AE606" s="2">
        <f>IF(AC606="Error", "Error", IF(AC606=0, 0, AD606 / AC606))</f>
        <v>0.42604911889497965</v>
      </c>
      <c r="AF606" s="7">
        <f>C606-B606</f>
        <v>117</v>
      </c>
      <c r="AG606" s="2" t="str">
        <f>TEXT(B606, "mmmm")</f>
        <v>February</v>
      </c>
      <c r="AH606" s="4">
        <f>YEAR(B606)</f>
        <v>2025</v>
      </c>
      <c r="AI606" s="2" t="str">
        <f t="shared" si="23"/>
        <v>Clean</v>
      </c>
      <c r="AJ606">
        <f>COUNTIFS($A$2:$A$1000,A606,$B$2:$B$1000,B606,$C$2:$C$1000,C606,$D$2:$D$1000,D606,$E$2:$E$1000,E606,$F$2:$F$1000,F606)</f>
        <v>1</v>
      </c>
      <c r="AK606">
        <f>COUNTIF($A$2:$A$1000, A606)</f>
        <v>1</v>
      </c>
    </row>
    <row r="607" spans="1:37">
      <c r="A607" t="s">
        <v>1907</v>
      </c>
      <c r="B607" s="5">
        <v>45847</v>
      </c>
      <c r="C607" s="5">
        <v>45851</v>
      </c>
      <c r="D607" s="6">
        <f>IF(AND(C607&lt;&gt;"",B607&lt;&gt;""), C607-B607, "Missing Date")</f>
        <v>4</v>
      </c>
      <c r="E607" s="6" t="str">
        <f>IF(OR(B607="",C607=""), "Missing Date",
    IF(C607&lt;B607, "Invalid: Ship before Order",
      "OK"))</f>
        <v>OK</v>
      </c>
      <c r="F607" t="s">
        <v>1908</v>
      </c>
      <c r="G607" t="s">
        <v>264</v>
      </c>
      <c r="H607" t="s">
        <v>90</v>
      </c>
      <c r="I607" t="s">
        <v>63</v>
      </c>
      <c r="J607" t="s">
        <v>190</v>
      </c>
      <c r="K607" t="s">
        <v>191</v>
      </c>
      <c r="L607" t="s">
        <v>41</v>
      </c>
      <c r="M607" t="s">
        <v>57</v>
      </c>
      <c r="N607" t="s">
        <v>1909</v>
      </c>
      <c r="O607" t="s">
        <v>31</v>
      </c>
      <c r="P607">
        <v>5</v>
      </c>
      <c r="Q607">
        <v>1680.01</v>
      </c>
      <c r="R607" s="9">
        <v>0.85</v>
      </c>
      <c r="S607">
        <v>7560.04</v>
      </c>
      <c r="T607">
        <v>6448.05</v>
      </c>
      <c r="U607">
        <v>1111.99</v>
      </c>
      <c r="V607" t="s">
        <v>32</v>
      </c>
      <c r="W607" t="s">
        <v>68</v>
      </c>
      <c r="X607" t="str">
        <f>_xlfn.TEXTJOIN("|", TRUE, A607:W607)</f>
        <v>ORD-2025-10606|45847|45851|4|OK|CUST-4447|Kabir Singh|Corporate|West|Goa|Panaji|Furniture|Furnishings|Pro Furnishings 267|Second Class|5|1680.01|0.85|7560.04|6448.05|1111.99|Paid|Cancelled</v>
      </c>
      <c r="Y607">
        <f>COUNTIF($X$2:$X$1000, X607)</f>
        <v>1</v>
      </c>
      <c r="Z607">
        <f>COUNTIF($A$2:$A$1000, A607)</f>
        <v>1</v>
      </c>
      <c r="AA607" t="str">
        <f>IF(Y607&gt;1, "Exact Duplicate",
  IF(Z607&gt;1, "Conflicting Duplicate - Review",
    "Unique"))</f>
        <v>Unique</v>
      </c>
      <c r="AB607" s="2">
        <f>IF(ISBLANK(R607), 0, IF(ISTEXT(R607), VALUE(SUBSTITUTE(R607, "%", ""))/100, IF(OR(R607&lt;0, R607&gt;1), "Invalid", R607)))</f>
        <v>0.85</v>
      </c>
      <c r="AC607" s="4">
        <f>IF(AB607="Invalid", "Error", P607 * Q607 * (1 - AB607))</f>
        <v>1260.0075000000002</v>
      </c>
      <c r="AD607" s="4">
        <f>IF(AC607="Error", "Error", AC607 - T607)</f>
        <v>-5188.0424999999996</v>
      </c>
      <c r="AE607" s="2">
        <f>IF(AC607="Error", "Error", IF(AC607=0, 0, AD607 / AC607))</f>
        <v>-4.1174695388717915</v>
      </c>
      <c r="AF607" s="7">
        <f>C607-B607</f>
        <v>4</v>
      </c>
      <c r="AG607" s="2" t="str">
        <f>TEXT(B607, "mmmm")</f>
        <v>July</v>
      </c>
      <c r="AH607" s="4">
        <f>YEAR(B607)</f>
        <v>2025</v>
      </c>
      <c r="AI607" s="2" t="str">
        <f t="shared" si="23"/>
        <v>Excluded from Sales</v>
      </c>
      <c r="AJ607">
        <f>COUNTIFS($A$2:$A$1000,A607,$B$2:$B$1000,B607,$C$2:$C$1000,C607,$D$2:$D$1000,D607,$E$2:$E$1000,E607,$F$2:$F$1000,F607)</f>
        <v>1</v>
      </c>
      <c r="AK607">
        <f>COUNTIF($A$2:$A$1000, A607)</f>
        <v>1</v>
      </c>
    </row>
    <row r="608" spans="1:37">
      <c r="A608" t="s">
        <v>1910</v>
      </c>
      <c r="B608" s="5">
        <v>45710</v>
      </c>
      <c r="C608" s="5">
        <v>45716</v>
      </c>
      <c r="D608" s="6">
        <f>IF(AND(C608&lt;&gt;"",B608&lt;&gt;""), C608-B608, "Missing Date")</f>
        <v>6</v>
      </c>
      <c r="E608" s="6" t="str">
        <f>IF(OR(B608="",C608=""), "Missing Date",
    IF(C608&lt;B608, "Invalid: Ship before Order",
      "OK"))</f>
        <v>OK</v>
      </c>
      <c r="F608" t="s">
        <v>1911</v>
      </c>
      <c r="G608" t="s">
        <v>118</v>
      </c>
      <c r="H608" t="s">
        <v>95</v>
      </c>
      <c r="I608" t="s">
        <v>63</v>
      </c>
      <c r="J608" t="s">
        <v>72</v>
      </c>
      <c r="K608" t="s">
        <v>73</v>
      </c>
      <c r="L608" t="s">
        <v>74</v>
      </c>
      <c r="M608" t="s">
        <v>80</v>
      </c>
      <c r="N608" t="s">
        <v>1912</v>
      </c>
      <c r="O608" t="s">
        <v>44</v>
      </c>
      <c r="P608">
        <v>3</v>
      </c>
      <c r="Q608">
        <v>3890.81</v>
      </c>
      <c r="R608">
        <v>0.25</v>
      </c>
      <c r="S608">
        <v>8754.32</v>
      </c>
      <c r="T608">
        <v>6238.9</v>
      </c>
      <c r="U608">
        <v>2515.42</v>
      </c>
      <c r="V608" t="s">
        <v>32</v>
      </c>
      <c r="W608" t="s">
        <v>33</v>
      </c>
      <c r="X608" t="str">
        <f>_xlfn.TEXTJOIN("|", TRUE, A608:W608)</f>
        <v>ORD-2025-10607|45710|45716|6|OK|CUST-2698|Rahul Verma|Home Office|West|Madhya Pradesh|Indore|Technology|Copiers|Max Copiers 520|Same Day|3|3890.81|0.25|8754.32|6238.9|2515.42|Paid|Completed</v>
      </c>
      <c r="Y608">
        <f>COUNTIF($X$2:$X$1000, X608)</f>
        <v>1</v>
      </c>
      <c r="Z608">
        <f>COUNTIF($A$2:$A$1000, A608)</f>
        <v>1</v>
      </c>
      <c r="AA608" t="str">
        <f>IF(Y608&gt;1, "Exact Duplicate",
  IF(Z608&gt;1, "Conflicting Duplicate - Review",
    "Unique"))</f>
        <v>Unique</v>
      </c>
      <c r="AB608" s="2">
        <f>IF(ISBLANK(R608), 0, IF(ISTEXT(R608), VALUE(SUBSTITUTE(R608, "%", ""))/100, IF(OR(R608&lt;0, R608&gt;1), "Invalid", R608)))</f>
        <v>0.25</v>
      </c>
      <c r="AC608" s="4">
        <f>IF(AB608="Invalid", "Error", P608 * Q608 * (1 - AB608))</f>
        <v>8754.3225000000002</v>
      </c>
      <c r="AD608" s="4">
        <f>IF(AC608="Error", "Error", AC608 - T608)</f>
        <v>2515.4225000000006</v>
      </c>
      <c r="AE608" s="2">
        <f>IF(AC608="Error", "Error", IF(AC608=0, 0, AD608 / AC608))</f>
        <v>0.28733491369549163</v>
      </c>
      <c r="AF608" s="7">
        <f>C608-B608</f>
        <v>6</v>
      </c>
      <c r="AG608" s="2" t="str">
        <f>TEXT(B608, "mmmm")</f>
        <v>February</v>
      </c>
      <c r="AH608" s="4">
        <f>YEAR(B608)</f>
        <v>2025</v>
      </c>
      <c r="AI608" s="2" t="str">
        <f t="shared" si="23"/>
        <v>Clean</v>
      </c>
      <c r="AJ608">
        <f>COUNTIFS($A$2:$A$1000,A608,$B$2:$B$1000,B608,$C$2:$C$1000,C608,$D$2:$D$1000,D608,$E$2:$E$1000,E608,$F$2:$F$1000,F608)</f>
        <v>1</v>
      </c>
      <c r="AK608">
        <f>COUNTIF($A$2:$A$1000, A608)</f>
        <v>1</v>
      </c>
    </row>
    <row r="609" spans="1:37">
      <c r="A609" t="s">
        <v>1913</v>
      </c>
      <c r="B609" s="5">
        <v>45704</v>
      </c>
      <c r="C609" s="5">
        <v>45710</v>
      </c>
      <c r="D609" s="6">
        <f>IF(AND(C609&lt;&gt;"",B609&lt;&gt;""), C609-B609, "Missing Date")</f>
        <v>6</v>
      </c>
      <c r="E609" s="6" t="str">
        <f>IF(OR(B609="",C609=""), "Missing Date",
    IF(C609&lt;B609, "Invalid: Ship before Order",
      "OK"))</f>
        <v>OK</v>
      </c>
      <c r="F609" t="s">
        <v>1914</v>
      </c>
      <c r="G609" t="s">
        <v>132</v>
      </c>
      <c r="H609" t="s">
        <v>95</v>
      </c>
      <c r="I609" t="s">
        <v>38</v>
      </c>
      <c r="J609" t="s">
        <v>145</v>
      </c>
      <c r="K609" t="s">
        <v>146</v>
      </c>
      <c r="L609" t="s">
        <v>28</v>
      </c>
      <c r="M609" t="s">
        <v>124</v>
      </c>
      <c r="N609" t="s">
        <v>1915</v>
      </c>
      <c r="O609" t="s">
        <v>44</v>
      </c>
      <c r="P609">
        <v>5</v>
      </c>
      <c r="Q609">
        <v>954.67</v>
      </c>
      <c r="R609">
        <v>0.15</v>
      </c>
      <c r="S609">
        <v>4057.35</v>
      </c>
      <c r="T609">
        <v>2862.03</v>
      </c>
      <c r="U609">
        <v>1195.32</v>
      </c>
      <c r="V609" t="s">
        <v>32</v>
      </c>
      <c r="W609" t="s">
        <v>33</v>
      </c>
      <c r="X609" t="str">
        <f>_xlfn.TEXTJOIN("|", TRUE, A609:W609)</f>
        <v>ORD-2025-10608|45704|45710|6|OK|CUST-6297|Sneha Kapoor|Home Office|East|Bihar|Patna|Office Supplies|Storage|Max Storage 424|Same Day|5|954.67|0.15|4057.35|2862.03|1195.32|Paid|Completed</v>
      </c>
      <c r="Y609">
        <f>COUNTIF($X$2:$X$1000, X609)</f>
        <v>1</v>
      </c>
      <c r="Z609">
        <f>COUNTIF($A$2:$A$1000, A609)</f>
        <v>1</v>
      </c>
      <c r="AA609" t="str">
        <f>IF(Y609&gt;1, "Exact Duplicate",
  IF(Z609&gt;1, "Conflicting Duplicate - Review",
    "Unique"))</f>
        <v>Unique</v>
      </c>
      <c r="AB609" s="2">
        <f>IF(ISBLANK(R609), 0, IF(ISTEXT(R609), VALUE(SUBSTITUTE(R609, "%", ""))/100, IF(OR(R609&lt;0, R609&gt;1), "Invalid", R609)))</f>
        <v>0.15</v>
      </c>
      <c r="AC609" s="4">
        <f>IF(AB609="Invalid", "Error", P609 * Q609 * (1 - AB609))</f>
        <v>4057.3474999999994</v>
      </c>
      <c r="AD609" s="4">
        <f>IF(AC609="Error", "Error", AC609 - T609)</f>
        <v>1195.3174999999992</v>
      </c>
      <c r="AE609" s="2">
        <f>IF(AC609="Error", "Error", IF(AC609=0, 0, AD609 / AC609))</f>
        <v>0.29460565061286947</v>
      </c>
      <c r="AF609" s="7">
        <f>C609-B609</f>
        <v>6</v>
      </c>
      <c r="AG609" s="2" t="str">
        <f>TEXT(B609, "mmmm")</f>
        <v>February</v>
      </c>
      <c r="AH609" s="4">
        <f>YEAR(B609)</f>
        <v>2025</v>
      </c>
      <c r="AI609" s="2" t="str">
        <f t="shared" si="23"/>
        <v>Clean</v>
      </c>
      <c r="AJ609">
        <f>COUNTIFS($A$2:$A$1000,A609,$B$2:$B$1000,B609,$C$2:$C$1000,C609,$D$2:$D$1000,D609,$E$2:$E$1000,E609,$F$2:$F$1000,F609)</f>
        <v>1</v>
      </c>
      <c r="AK609">
        <f>COUNTIF($A$2:$A$1000, A609)</f>
        <v>1</v>
      </c>
    </row>
    <row r="610" spans="1:37">
      <c r="A610" t="s">
        <v>1916</v>
      </c>
      <c r="B610" s="5">
        <v>45464</v>
      </c>
      <c r="C610" s="5">
        <v>45466</v>
      </c>
      <c r="D610" s="6">
        <f>IF(AND(C610&lt;&gt;"",B610&lt;&gt;""), C610-B610, "Missing Date")</f>
        <v>2</v>
      </c>
      <c r="E610" s="6" t="str">
        <f>IF(OR(B610="",C610=""), "Missing Date",
    IF(C610&lt;B610, "Invalid: Ship before Order",
      "OK"))</f>
        <v>OK</v>
      </c>
      <c r="F610" t="s">
        <v>1694</v>
      </c>
      <c r="G610" t="s">
        <v>23</v>
      </c>
      <c r="H610" t="s">
        <v>95</v>
      </c>
      <c r="I610" t="s">
        <v>63</v>
      </c>
      <c r="J610" t="s">
        <v>190</v>
      </c>
      <c r="K610" t="s">
        <v>191</v>
      </c>
      <c r="L610" t="s">
        <v>41</v>
      </c>
      <c r="M610" t="s">
        <v>57</v>
      </c>
      <c r="N610" t="s">
        <v>1917</v>
      </c>
      <c r="O610" t="s">
        <v>31</v>
      </c>
      <c r="P610">
        <v>9</v>
      </c>
      <c r="Q610">
        <v>2153.75</v>
      </c>
      <c r="R610">
        <v>0</v>
      </c>
      <c r="S610">
        <v>19383.75</v>
      </c>
      <c r="T610">
        <v>11667.43</v>
      </c>
      <c r="U610">
        <v>7716.32</v>
      </c>
      <c r="V610" t="s">
        <v>32</v>
      </c>
      <c r="W610" t="s">
        <v>33</v>
      </c>
      <c r="X610" t="str">
        <f>_xlfn.TEXTJOIN("|", TRUE, A610:W610)</f>
        <v>ORD-2024-10609|45464|45466|2|OK|CUST-7690|Karan Malhotra|Home Office|West|Goa|Panaji|Furniture|Furnishings|Elite Furnishings 706|Second Class|9|2153.75|0|19383.75|11667.43|7716.32|Paid|Completed</v>
      </c>
      <c r="Y610">
        <f>COUNTIF($X$2:$X$1000, X610)</f>
        <v>1</v>
      </c>
      <c r="Z610">
        <f>COUNTIF($A$2:$A$1000, A610)</f>
        <v>1</v>
      </c>
      <c r="AA610" t="str">
        <f>IF(Y610&gt;1, "Exact Duplicate",
  IF(Z610&gt;1, "Conflicting Duplicate - Review",
    "Unique"))</f>
        <v>Unique</v>
      </c>
      <c r="AB610" s="2">
        <f>IF(ISBLANK(R610), 0, IF(ISTEXT(R610), VALUE(SUBSTITUTE(R610, "%", ""))/100, IF(OR(R610&lt;0, R610&gt;1), "Invalid", R610)))</f>
        <v>0</v>
      </c>
      <c r="AC610" s="4">
        <f>IF(AB610="Invalid", "Error", P610 * Q610 * (1 - AB610))</f>
        <v>19383.75</v>
      </c>
      <c r="AD610" s="4">
        <f>IF(AC610="Error", "Error", AC610 - T610)</f>
        <v>7716.32</v>
      </c>
      <c r="AE610" s="2">
        <f>IF(AC610="Error", "Error", IF(AC610=0, 0, AD610 / AC610))</f>
        <v>0.39808189849745274</v>
      </c>
      <c r="AF610" s="7">
        <f>C610-B610</f>
        <v>2</v>
      </c>
      <c r="AG610" s="2" t="str">
        <f>TEXT(B610, "mmmm")</f>
        <v>June</v>
      </c>
      <c r="AH610" s="4">
        <f>YEAR(B610)</f>
        <v>2024</v>
      </c>
      <c r="AI610" s="2" t="str">
        <f t="shared" si="23"/>
        <v>Clean</v>
      </c>
      <c r="AJ610">
        <f>COUNTIFS($A$2:$A$1000,A610,$B$2:$B$1000,B610,$C$2:$C$1000,C610,$D$2:$D$1000,D610,$E$2:$E$1000,E610,$F$2:$F$1000,F610)</f>
        <v>1</v>
      </c>
      <c r="AK610">
        <f>COUNTIF($A$2:$A$1000, A610)</f>
        <v>1</v>
      </c>
    </row>
    <row r="611" spans="1:37">
      <c r="A611" t="s">
        <v>1918</v>
      </c>
      <c r="B611" s="5">
        <v>45665</v>
      </c>
      <c r="C611" s="5">
        <v>45669</v>
      </c>
      <c r="D611" s="6">
        <f>IF(AND(C611&lt;&gt;"",B611&lt;&gt;""), C611-B611, "Missing Date")</f>
        <v>4</v>
      </c>
      <c r="E611" s="6" t="str">
        <f>IF(OR(B611="",C611=""), "Missing Date",
    IF(C611&lt;B611, "Invalid: Ship before Order",
      "OK"))</f>
        <v>OK</v>
      </c>
      <c r="F611" t="s">
        <v>1919</v>
      </c>
      <c r="G611" t="s">
        <v>132</v>
      </c>
      <c r="H611" t="s">
        <v>95</v>
      </c>
      <c r="I611" t="s">
        <v>54</v>
      </c>
      <c r="J611" t="s">
        <v>175</v>
      </c>
      <c r="K611" t="s">
        <v>176</v>
      </c>
      <c r="L611" t="s">
        <v>41</v>
      </c>
      <c r="M611" t="s">
        <v>66</v>
      </c>
      <c r="N611" t="s">
        <v>1920</v>
      </c>
      <c r="O611" t="s">
        <v>59</v>
      </c>
      <c r="P611">
        <v>7</v>
      </c>
      <c r="Q611">
        <v>4337.4799999999996</v>
      </c>
      <c r="R611">
        <v>0</v>
      </c>
      <c r="S611">
        <v>30362.36</v>
      </c>
      <c r="T611">
        <v>25065.4</v>
      </c>
      <c r="U611">
        <v>5296.96</v>
      </c>
      <c r="V611" t="s">
        <v>32</v>
      </c>
      <c r="W611" t="s">
        <v>33</v>
      </c>
      <c r="X611" t="str">
        <f>_xlfn.TEXTJOIN("|", TRUE, A611:W611)</f>
        <v>ORD-2025-10610|45665|45669|4|OK|CUST-4380|Sneha Kapoor|Home Office|South|Karnataka|Bengaluru|Furniture|Chairs|Pro Chairs 908|Standard Class|7|4337.48|0|30362.36|25065.4|5296.96|Paid|Completed</v>
      </c>
      <c r="Y611">
        <f>COUNTIF($X$2:$X$1000, X611)</f>
        <v>1</v>
      </c>
      <c r="Z611">
        <f>COUNTIF($A$2:$A$1000, A611)</f>
        <v>1</v>
      </c>
      <c r="AA611" t="str">
        <f>IF(Y611&gt;1, "Exact Duplicate",
  IF(Z611&gt;1, "Conflicting Duplicate - Review",
    "Unique"))</f>
        <v>Unique</v>
      </c>
      <c r="AB611" s="2">
        <f>IF(ISBLANK(R611), 0, IF(ISTEXT(R611), VALUE(SUBSTITUTE(R611, "%", ""))/100, IF(OR(R611&lt;0, R611&gt;1), "Invalid", R611)))</f>
        <v>0</v>
      </c>
      <c r="AC611" s="4">
        <f>IF(AB611="Invalid", "Error", P611 * Q611 * (1 - AB611))</f>
        <v>30362.359999999997</v>
      </c>
      <c r="AD611" s="4">
        <f>IF(AC611="Error", "Error", AC611 - T611)</f>
        <v>5296.9599999999955</v>
      </c>
      <c r="AE611" s="2">
        <f>IF(AC611="Error", "Error", IF(AC611=0, 0, AD611 / AC611))</f>
        <v>0.17445811195177174</v>
      </c>
      <c r="AF611" s="7">
        <f>C611-B611</f>
        <v>4</v>
      </c>
      <c r="AG611" s="2" t="str">
        <f>TEXT(B611, "mmmm")</f>
        <v>January</v>
      </c>
      <c r="AH611" s="4">
        <f>YEAR(B611)</f>
        <v>2025</v>
      </c>
      <c r="AI611" s="2" t="str">
        <f t="shared" si="23"/>
        <v>Clean</v>
      </c>
      <c r="AJ611">
        <f>COUNTIFS($A$2:$A$1000,A611,$B$2:$B$1000,B611,$C$2:$C$1000,C611,$D$2:$D$1000,D611,$E$2:$E$1000,E611,$F$2:$F$1000,F611)</f>
        <v>1</v>
      </c>
      <c r="AK611">
        <f>COUNTIF($A$2:$A$1000, A611)</f>
        <v>1</v>
      </c>
    </row>
    <row r="612" spans="1:37">
      <c r="A612" t="s">
        <v>1921</v>
      </c>
      <c r="B612" s="5">
        <v>45432</v>
      </c>
      <c r="C612" s="5">
        <v>45432</v>
      </c>
      <c r="D612" s="6">
        <f>IF(AND(C612&lt;&gt;"",B612&lt;&gt;""), C612-B612, "Missing Date")</f>
        <v>0</v>
      </c>
      <c r="E612" s="6" t="str">
        <f>IF(OR(B612="",C612=""), "Missing Date",
    IF(C612&lt;B612, "Invalid: Ship before Order",
      "OK"))</f>
        <v>OK</v>
      </c>
      <c r="F612" t="s">
        <v>1366</v>
      </c>
      <c r="G612" t="s">
        <v>23</v>
      </c>
      <c r="H612" t="s">
        <v>95</v>
      </c>
      <c r="I612" t="s">
        <v>63</v>
      </c>
      <c r="J612" t="s">
        <v>72</v>
      </c>
      <c r="K612" t="s">
        <v>73</v>
      </c>
      <c r="L612" t="s">
        <v>41</v>
      </c>
      <c r="M612" t="s">
        <v>66</v>
      </c>
      <c r="N612" t="s">
        <v>1922</v>
      </c>
      <c r="O612" t="s">
        <v>59</v>
      </c>
      <c r="P612">
        <v>1</v>
      </c>
      <c r="Q612">
        <v>3032.95</v>
      </c>
      <c r="R612">
        <v>0.1</v>
      </c>
      <c r="S612">
        <v>2729.65</v>
      </c>
      <c r="T612">
        <v>1715.36</v>
      </c>
      <c r="U612">
        <v>1014.29</v>
      </c>
      <c r="V612" t="s">
        <v>32</v>
      </c>
      <c r="W612" t="s">
        <v>33</v>
      </c>
      <c r="X612" t="str">
        <f>_xlfn.TEXTJOIN("|", TRUE, A612:W612)</f>
        <v>ORD-2024-10611|45432|45432|0|OK|CUST-2779|Karan Malhotra|Home Office|West|Madhya Pradesh|Indore|Furniture|Chairs|Pro Chairs 712|Standard Class|1|3032.95|0.1|2729.65|1715.36|1014.29|Paid|Completed</v>
      </c>
      <c r="Y612">
        <f>COUNTIF($X$2:$X$1000, X612)</f>
        <v>1</v>
      </c>
      <c r="Z612">
        <f>COUNTIF($A$2:$A$1000, A612)</f>
        <v>1</v>
      </c>
      <c r="AA612" t="str">
        <f>IF(Y612&gt;1, "Exact Duplicate",
  IF(Z612&gt;1, "Conflicting Duplicate - Review",
    "Unique"))</f>
        <v>Unique</v>
      </c>
      <c r="AB612" s="2">
        <f>IF(ISBLANK(R612), 0, IF(ISTEXT(R612), VALUE(SUBSTITUTE(R612, "%", ""))/100, IF(OR(R612&lt;0, R612&gt;1), "Invalid", R612)))</f>
        <v>0.1</v>
      </c>
      <c r="AC612" s="4">
        <f>IF(AB612="Invalid", "Error", P612 * Q612 * (1 - AB612))</f>
        <v>2729.6549999999997</v>
      </c>
      <c r="AD612" s="4">
        <f>IF(AC612="Error", "Error", AC612 - T612)</f>
        <v>1014.2949999999998</v>
      </c>
      <c r="AE612" s="2">
        <f>IF(AC612="Error", "Error", IF(AC612=0, 0, AD612 / AC612))</f>
        <v>0.37158358840219735</v>
      </c>
      <c r="AF612" s="7">
        <f>C612-B612</f>
        <v>0</v>
      </c>
      <c r="AG612" s="2" t="str">
        <f>TEXT(B612, "mmmm")</f>
        <v>May</v>
      </c>
      <c r="AH612" s="4">
        <f>YEAR(B612)</f>
        <v>2024</v>
      </c>
      <c r="AI612" s="2" t="str">
        <f t="shared" si="23"/>
        <v>Clean</v>
      </c>
      <c r="AJ612">
        <f>COUNTIFS($A$2:$A$1000,A612,$B$2:$B$1000,B612,$C$2:$C$1000,C612,$D$2:$D$1000,D612,$E$2:$E$1000,E612,$F$2:$F$1000,F612)</f>
        <v>1</v>
      </c>
      <c r="AK612">
        <f>COUNTIF($A$2:$A$1000, A612)</f>
        <v>1</v>
      </c>
    </row>
    <row r="613" spans="1:37">
      <c r="A613" t="s">
        <v>1923</v>
      </c>
      <c r="B613" s="5">
        <v>45846</v>
      </c>
      <c r="C613" s="5">
        <v>45853</v>
      </c>
      <c r="D613" s="6">
        <f>IF(AND(C613&lt;&gt;"",B613&lt;&gt;""), C613-B613, "Missing Date")</f>
        <v>7</v>
      </c>
      <c r="E613" s="6" t="str">
        <f>IF(OR(B613="",C613=""), "Missing Date",
    IF(C613&lt;B613, "Invalid: Ship before Order",
      "OK"))</f>
        <v>OK</v>
      </c>
      <c r="F613" t="s">
        <v>1924</v>
      </c>
      <c r="G613" t="s">
        <v>62</v>
      </c>
      <c r="H613" t="s">
        <v>37</v>
      </c>
      <c r="I613" t="s">
        <v>25</v>
      </c>
      <c r="J613" t="s">
        <v>26</v>
      </c>
      <c r="K613" t="s">
        <v>27</v>
      </c>
      <c r="L613" t="s">
        <v>28</v>
      </c>
      <c r="M613" t="s">
        <v>153</v>
      </c>
      <c r="N613" t="s">
        <v>1925</v>
      </c>
      <c r="O613" t="s">
        <v>44</v>
      </c>
      <c r="P613">
        <v>8</v>
      </c>
      <c r="Q613">
        <v>655.28</v>
      </c>
      <c r="R613">
        <v>0.1</v>
      </c>
      <c r="S613">
        <v>4718.0200000000004</v>
      </c>
      <c r="T613">
        <v>3908.23</v>
      </c>
      <c r="U613">
        <v>809.79</v>
      </c>
      <c r="V613" t="s">
        <v>32</v>
      </c>
      <c r="W613" t="s">
        <v>33</v>
      </c>
      <c r="X613" t="str">
        <f>_xlfn.TEXTJOIN("|", TRUE, A613:W613)</f>
        <v>ORD-2025-10612|45846|45853|7|OK|CUST-6108|Ananya Rao|Small Business|North|Rajasthan|Jaipur|Office Supplies|Binders|Max Binders 785|Same Day|8|655.28|0.1|4718.02|3908.23|809.79|Paid|Completed</v>
      </c>
      <c r="Y613">
        <f>COUNTIF($X$2:$X$1000, X613)</f>
        <v>1</v>
      </c>
      <c r="Z613">
        <f>COUNTIF($A$2:$A$1000, A613)</f>
        <v>1</v>
      </c>
      <c r="AA613" t="str">
        <f>IF(Y613&gt;1, "Exact Duplicate",
  IF(Z613&gt;1, "Conflicting Duplicate - Review",
    "Unique"))</f>
        <v>Unique</v>
      </c>
      <c r="AB613" s="2">
        <f>IF(ISBLANK(R613), 0, IF(ISTEXT(R613), VALUE(SUBSTITUTE(R613, "%", ""))/100, IF(OR(R613&lt;0, R613&gt;1), "Invalid", R613)))</f>
        <v>0.1</v>
      </c>
      <c r="AC613" s="4">
        <f>IF(AB613="Invalid", "Error", P613 * Q613 * (1 - AB613))</f>
        <v>4718.0159999999996</v>
      </c>
      <c r="AD613" s="4">
        <f>IF(AC613="Error", "Error", AC613 - T613)</f>
        <v>809.7859999999996</v>
      </c>
      <c r="AE613" s="2">
        <f>IF(AC613="Error", "Error", IF(AC613=0, 0, AD613 / AC613))</f>
        <v>0.17163697622051297</v>
      </c>
      <c r="AF613" s="7">
        <f>C613-B613</f>
        <v>7</v>
      </c>
      <c r="AG613" s="2" t="str">
        <f>TEXT(B613, "mmmm")</f>
        <v>July</v>
      </c>
      <c r="AH613" s="4">
        <f>YEAR(B613)</f>
        <v>2025</v>
      </c>
      <c r="AI613" s="2" t="str">
        <f t="shared" si="23"/>
        <v>Clean</v>
      </c>
      <c r="AJ613">
        <f>COUNTIFS($A$2:$A$1000,A613,$B$2:$B$1000,B613,$C$2:$C$1000,C613,$D$2:$D$1000,D613,$E$2:$E$1000,E613,$F$2:$F$1000,F613)</f>
        <v>1</v>
      </c>
      <c r="AK613">
        <f>COUNTIF($A$2:$A$1000, A613)</f>
        <v>1</v>
      </c>
    </row>
    <row r="614" spans="1:37">
      <c r="A614" t="s">
        <v>1926</v>
      </c>
      <c r="B614" s="5">
        <v>45753</v>
      </c>
      <c r="C614" s="5">
        <v>45760</v>
      </c>
      <c r="D614" s="6">
        <f>IF(AND(C614&lt;&gt;"",B614&lt;&gt;""), C614-B614, "Missing Date")</f>
        <v>7</v>
      </c>
      <c r="E614" s="6" t="str">
        <f>IF(OR(B614="",C614=""), "Missing Date",
    IF(C614&lt;B614, "Invalid: Ship before Order",
      "OK"))</f>
        <v>OK</v>
      </c>
      <c r="F614" t="s">
        <v>1927</v>
      </c>
      <c r="G614" t="s">
        <v>89</v>
      </c>
      <c r="H614" t="s">
        <v>24</v>
      </c>
      <c r="I614" t="s">
        <v>2762</v>
      </c>
      <c r="J614" t="s">
        <v>39</v>
      </c>
      <c r="K614" t="s">
        <v>40</v>
      </c>
      <c r="L614" t="s">
        <v>74</v>
      </c>
      <c r="M614" t="s">
        <v>171</v>
      </c>
      <c r="N614" t="s">
        <v>1928</v>
      </c>
      <c r="O614" t="s">
        <v>59</v>
      </c>
      <c r="P614">
        <v>1</v>
      </c>
      <c r="Q614">
        <v>3844.01</v>
      </c>
      <c r="R614">
        <v>0</v>
      </c>
      <c r="S614">
        <v>3844.01</v>
      </c>
      <c r="T614">
        <v>2195.79</v>
      </c>
      <c r="U614">
        <v>1648.22</v>
      </c>
      <c r="V614" t="s">
        <v>32</v>
      </c>
      <c r="W614" t="s">
        <v>33</v>
      </c>
      <c r="X614" t="str">
        <f>_xlfn.TEXTJOIN("|", TRUE, A614:W614)</f>
        <v>ORD-2025-10613|45753|45760|7|OK|CUST-5663|Aditi Sen|Consumer|Unknown|Odisha|Bhubaneswar|Technology|Phones|Elite Phones 239|Standard Class|1|3844.01|0|3844.01|2195.79|1648.22|Paid|Completed</v>
      </c>
      <c r="Y614">
        <f>COUNTIF($X$2:$X$1000, X614)</f>
        <v>1</v>
      </c>
      <c r="Z614">
        <f>COUNTIF($A$2:$A$1000, A614)</f>
        <v>1</v>
      </c>
      <c r="AA614" t="str">
        <f>IF(Y614&gt;1, "Exact Duplicate",
  IF(Z614&gt;1, "Conflicting Duplicate - Review",
    "Unique"))</f>
        <v>Unique</v>
      </c>
      <c r="AB614" s="2">
        <f>IF(ISBLANK(R614), 0, IF(ISTEXT(R614), VALUE(SUBSTITUTE(R614, "%", ""))/100, IF(OR(R614&lt;0, R614&gt;1), "Invalid", R614)))</f>
        <v>0</v>
      </c>
      <c r="AC614" s="4">
        <f>IF(AB614="Invalid", "Error", P614 * Q614 * (1 - AB614))</f>
        <v>3844.01</v>
      </c>
      <c r="AD614" s="4">
        <f>IF(AC614="Error", "Error", AC614 - T614)</f>
        <v>1648.2200000000003</v>
      </c>
      <c r="AE614" s="2">
        <f>IF(AC614="Error", "Error", IF(AC614=0, 0, AD614 / AC614))</f>
        <v>0.42877619985379856</v>
      </c>
      <c r="AF614" s="7">
        <f>C614-B614</f>
        <v>7</v>
      </c>
      <c r="AG614" s="2" t="str">
        <f>TEXT(B614, "mmmm")</f>
        <v>April</v>
      </c>
      <c r="AH614" s="4">
        <f>YEAR(B614)</f>
        <v>2025</v>
      </c>
      <c r="AI614" s="2" t="str">
        <f t="shared" si="23"/>
        <v>Warning: Missing Region</v>
      </c>
      <c r="AJ614">
        <f>COUNTIFS($A$2:$A$1000,A614,$B$2:$B$1000,B614,$C$2:$C$1000,C614,$D$2:$D$1000,D614,$E$2:$E$1000,E614,$F$2:$F$1000,F614)</f>
        <v>1</v>
      </c>
      <c r="AK614">
        <f>COUNTIF($A$2:$A$1000, A614)</f>
        <v>1</v>
      </c>
    </row>
    <row r="615" spans="1:37">
      <c r="A615" t="s">
        <v>1929</v>
      </c>
      <c r="B615" s="5">
        <v>45570</v>
      </c>
      <c r="C615" s="5">
        <v>45575</v>
      </c>
      <c r="D615" s="6">
        <f>IF(AND(C615&lt;&gt;"",B615&lt;&gt;""), C615-B615, "Missing Date")</f>
        <v>5</v>
      </c>
      <c r="E615" s="6" t="str">
        <f>IF(OR(B615="",C615=""), "Missing Date",
    IF(C615&lt;B615, "Invalid: Ship before Order",
      "OK"))</f>
        <v>OK</v>
      </c>
      <c r="F615" t="s">
        <v>1930</v>
      </c>
      <c r="G615" t="s">
        <v>162</v>
      </c>
      <c r="H615" t="s">
        <v>95</v>
      </c>
      <c r="I615" t="s">
        <v>63</v>
      </c>
      <c r="J615" t="s">
        <v>180</v>
      </c>
      <c r="K615" t="s">
        <v>181</v>
      </c>
      <c r="L615" t="s">
        <v>74</v>
      </c>
      <c r="M615" t="s">
        <v>274</v>
      </c>
      <c r="N615" t="s">
        <v>1931</v>
      </c>
      <c r="O615" t="s">
        <v>44</v>
      </c>
      <c r="P615">
        <v>9</v>
      </c>
      <c r="Q615">
        <v>3361.3</v>
      </c>
      <c r="R615">
        <v>0.25</v>
      </c>
      <c r="S615">
        <v>22688.78</v>
      </c>
      <c r="T615">
        <v>14672.41</v>
      </c>
      <c r="U615">
        <v>8016.37</v>
      </c>
      <c r="V615" t="s">
        <v>32</v>
      </c>
      <c r="W615" t="s">
        <v>33</v>
      </c>
      <c r="X615" t="str">
        <f>_xlfn.TEXTJOIN("|", TRUE, A615:W615)</f>
        <v>ORD-2024-10614|45570|45575|5|OK|CUST-9311|Diya Patel|Home Office|West|Gujarat|Ahmedabad|Technology|Machines|Basic Machines 413|Same Day|9|3361.3|0.25|22688.78|14672.41|8016.37|Paid|Completed</v>
      </c>
      <c r="Y615">
        <f>COUNTIF($X$2:$X$1000, X615)</f>
        <v>1</v>
      </c>
      <c r="Z615">
        <f>COUNTIF($A$2:$A$1000, A615)</f>
        <v>1</v>
      </c>
      <c r="AA615" t="str">
        <f>IF(Y615&gt;1, "Exact Duplicate",
  IF(Z615&gt;1, "Conflicting Duplicate - Review",
    "Unique"))</f>
        <v>Unique</v>
      </c>
      <c r="AB615" s="2">
        <f>IF(ISBLANK(R615), 0, IF(ISTEXT(R615), VALUE(SUBSTITUTE(R615, "%", ""))/100, IF(OR(R615&lt;0, R615&gt;1), "Invalid", R615)))</f>
        <v>0.25</v>
      </c>
      <c r="AC615" s="4">
        <f>IF(AB615="Invalid", "Error", P615 * Q615 * (1 - AB615))</f>
        <v>22688.775000000001</v>
      </c>
      <c r="AD615" s="4">
        <f>IF(AC615="Error", "Error", AC615 - T615)</f>
        <v>8016.3650000000016</v>
      </c>
      <c r="AE615" s="2">
        <f>IF(AC615="Error", "Error", IF(AC615=0, 0, AD615 / AC615))</f>
        <v>0.35331854628555315</v>
      </c>
      <c r="AF615" s="7">
        <f>C615-B615</f>
        <v>5</v>
      </c>
      <c r="AG615" s="2" t="str">
        <f>TEXT(B615, "mmmm")</f>
        <v>October</v>
      </c>
      <c r="AH615" s="4">
        <f>YEAR(B615)</f>
        <v>2024</v>
      </c>
      <c r="AI615" s="2" t="str">
        <f t="shared" si="23"/>
        <v>Clean</v>
      </c>
      <c r="AJ615">
        <f>COUNTIFS($A$2:$A$1000,A615,$B$2:$B$1000,B615,$C$2:$C$1000,C615,$D$2:$D$1000,D615,$E$2:$E$1000,E615,$F$2:$F$1000,F615)</f>
        <v>1</v>
      </c>
      <c r="AK615">
        <f>COUNTIF($A$2:$A$1000, A615)</f>
        <v>1</v>
      </c>
    </row>
    <row r="616" spans="1:37">
      <c r="A616" t="s">
        <v>1932</v>
      </c>
      <c r="B616" s="5">
        <v>45333</v>
      </c>
      <c r="C616" s="5">
        <v>45341</v>
      </c>
      <c r="D616" s="6">
        <f>IF(AND(C616&lt;&gt;"",B616&lt;&gt;""), C616-B616, "Missing Date")</f>
        <v>8</v>
      </c>
      <c r="E616" s="6" t="str">
        <f>IF(OR(B616="",C616=""), "Missing Date",
    IF(C616&lt;B616, "Invalid: Ship before Order",
      "OK"))</f>
        <v>OK</v>
      </c>
      <c r="F616" t="s">
        <v>1933</v>
      </c>
      <c r="G616" t="s">
        <v>62</v>
      </c>
      <c r="H616" t="s">
        <v>95</v>
      </c>
      <c r="I616" t="s">
        <v>54</v>
      </c>
      <c r="J616" t="s">
        <v>55</v>
      </c>
      <c r="K616" t="s">
        <v>56</v>
      </c>
      <c r="L616" t="s">
        <v>41</v>
      </c>
      <c r="M616" t="s">
        <v>66</v>
      </c>
      <c r="N616" t="s">
        <v>1934</v>
      </c>
      <c r="O616" t="s">
        <v>59</v>
      </c>
      <c r="P616">
        <v>8</v>
      </c>
      <c r="Q616">
        <v>3398.32</v>
      </c>
      <c r="R616">
        <v>0.25</v>
      </c>
      <c r="S616">
        <v>20389.919999999998</v>
      </c>
      <c r="T616">
        <v>16661.080000000002</v>
      </c>
      <c r="U616">
        <v>3728.84</v>
      </c>
      <c r="V616" t="s">
        <v>102</v>
      </c>
      <c r="W616" t="s">
        <v>68</v>
      </c>
      <c r="X616" t="str">
        <f>_xlfn.TEXTJOIN("|", TRUE, A616:W616)</f>
        <v>ORD-2024-10615|45333|45341|8|OK|CUST-8154|Ananya Rao|Home Office|South|Telangana|Hyderabad|Furniture|Chairs|Elite Chairs 140|Standard Class|8|3398.32|0.25|20389.92|16661.08|3728.84|Refunded|Cancelled</v>
      </c>
      <c r="Y616">
        <f>COUNTIF($X$2:$X$1000, X616)</f>
        <v>1</v>
      </c>
      <c r="Z616">
        <f>COUNTIF($A$2:$A$1000, A616)</f>
        <v>1</v>
      </c>
      <c r="AA616" t="str">
        <f>IF(Y616&gt;1, "Exact Duplicate",
  IF(Z616&gt;1, "Conflicting Duplicate - Review",
    "Unique"))</f>
        <v>Unique</v>
      </c>
      <c r="AB616" s="2">
        <f>IF(ISBLANK(R616), 0, IF(ISTEXT(R616), VALUE(SUBSTITUTE(R616, "%", ""))/100, IF(OR(R616&lt;0, R616&gt;1), "Invalid", R616)))</f>
        <v>0.25</v>
      </c>
      <c r="AC616" s="4">
        <f>IF(AB616="Invalid", "Error", P616 * Q616 * (1 - AB616))</f>
        <v>20389.920000000002</v>
      </c>
      <c r="AD616" s="4">
        <f>IF(AC616="Error", "Error", AC616 - T616)</f>
        <v>3728.84</v>
      </c>
      <c r="AE616" s="2">
        <f>IF(AC616="Error", "Error", IF(AC616=0, 0, AD616 / AC616))</f>
        <v>0.18287663708342161</v>
      </c>
      <c r="AF616" s="7">
        <f>C616-B616</f>
        <v>8</v>
      </c>
      <c r="AG616" s="2" t="str">
        <f>TEXT(B616, "mmmm")</f>
        <v>February</v>
      </c>
      <c r="AH616" s="4">
        <f>YEAR(B616)</f>
        <v>2024</v>
      </c>
      <c r="AI616" s="2" t="str">
        <f t="shared" si="23"/>
        <v>Excluded from Sales</v>
      </c>
      <c r="AJ616">
        <f>COUNTIFS($A$2:$A$1000,A616,$B$2:$B$1000,B616,$C$2:$C$1000,C616,$D$2:$D$1000,D616,$E$2:$E$1000,E616,$F$2:$F$1000,F616)</f>
        <v>1</v>
      </c>
      <c r="AK616">
        <f>COUNTIF($A$2:$A$1000, A616)</f>
        <v>1</v>
      </c>
    </row>
    <row r="617" spans="1:37">
      <c r="A617" t="s">
        <v>1935</v>
      </c>
      <c r="B617" s="5">
        <v>45569</v>
      </c>
      <c r="C617" s="5">
        <v>45483</v>
      </c>
      <c r="D617" s="6">
        <f>IF(AND(C617&lt;&gt;"",B617&lt;&gt;""), C617-B617, "Missing Date")</f>
        <v>-86</v>
      </c>
      <c r="E617" s="6" t="str">
        <f>IF(OR(B617="",C617=""), "Missing Date",
    IF(C617&lt;B617, "Invalid: Ship before Order",
      "OK"))</f>
        <v>Invalid: Ship before Order</v>
      </c>
      <c r="F617" t="s">
        <v>1936</v>
      </c>
      <c r="G617" t="s">
        <v>118</v>
      </c>
      <c r="H617" t="s">
        <v>90</v>
      </c>
      <c r="I617" t="s">
        <v>54</v>
      </c>
      <c r="J617" t="s">
        <v>185</v>
      </c>
      <c r="K617" t="s">
        <v>186</v>
      </c>
      <c r="L617" t="s">
        <v>28</v>
      </c>
      <c r="M617" t="s">
        <v>48</v>
      </c>
      <c r="N617" t="s">
        <v>1937</v>
      </c>
      <c r="O617" t="s">
        <v>31</v>
      </c>
      <c r="P617">
        <v>2</v>
      </c>
      <c r="Q617">
        <v>3144.38</v>
      </c>
      <c r="R617">
        <v>0.1</v>
      </c>
      <c r="S617">
        <v>5904.57</v>
      </c>
      <c r="T617">
        <v>4337.79</v>
      </c>
      <c r="U617">
        <v>1322.09</v>
      </c>
      <c r="V617" t="s">
        <v>32</v>
      </c>
      <c r="W617" t="s">
        <v>33</v>
      </c>
      <c r="X617" t="str">
        <f>_xlfn.TEXTJOIN("|", TRUE, A617:W617)</f>
        <v>ORD-2024-10616|45569|45483|-86|Invalid: Ship before Order|CUST-4462|Rahul Verma|Corporate|South|Kerala|Kochi|Office Supplies|Art|Basic Art 771|Second Class|2|3144.38|0.1|5904.57|4337.79|1322.09|Paid|Completed</v>
      </c>
      <c r="Y617">
        <f>COUNTIF($X$2:$X$1000, X617)</f>
        <v>1</v>
      </c>
      <c r="Z617">
        <f>COUNTIF($A$2:$A$1000, A617)</f>
        <v>1</v>
      </c>
      <c r="AA617" t="str">
        <f>IF(Y617&gt;1, "Exact Duplicate",
  IF(Z617&gt;1, "Conflicting Duplicate - Review",
    "Unique"))</f>
        <v>Unique</v>
      </c>
      <c r="AB617" s="2">
        <f>IF(ISBLANK(R617), 0, IF(ISTEXT(R617), VALUE(SUBSTITUTE(R617, "%", ""))/100, IF(OR(R617&lt;0, R617&gt;1), "Invalid", R617)))</f>
        <v>0.1</v>
      </c>
      <c r="AC617" s="4">
        <f>IF(AB617="Invalid", "Error", P617 * Q617 * (1 - AB617))</f>
        <v>5659.884</v>
      </c>
      <c r="AD617" s="4">
        <f>IF(AC617="Error", "Error", AC617 - T617)</f>
        <v>1322.0940000000001</v>
      </c>
      <c r="AE617" s="2">
        <f>IF(AC617="Error", "Error", IF(AC617=0, 0, AD617 / AC617))</f>
        <v>0.23359029973052453</v>
      </c>
      <c r="AF617" s="7">
        <f>C617-B617</f>
        <v>-86</v>
      </c>
      <c r="AG617" s="2" t="str">
        <f>TEXT(B617, "mmmm")</f>
        <v>October</v>
      </c>
      <c r="AH617" s="4">
        <f>YEAR(B617)</f>
        <v>2024</v>
      </c>
      <c r="AI617" s="2" t="str">
        <f t="shared" si="23"/>
        <v>Invalid Shipping Record</v>
      </c>
      <c r="AJ617">
        <f>COUNTIFS($A$2:$A$1000,A617,$B$2:$B$1000,B617,$C$2:$C$1000,C617,$D$2:$D$1000,D617,$E$2:$E$1000,E617,$F$2:$F$1000,F617)</f>
        <v>1</v>
      </c>
      <c r="AK617">
        <f>COUNTIF($A$2:$A$1000, A617)</f>
        <v>1</v>
      </c>
    </row>
    <row r="618" spans="1:37">
      <c r="A618" t="s">
        <v>1938</v>
      </c>
      <c r="B618" s="5">
        <v>45520</v>
      </c>
      <c r="C618" s="5">
        <v>45523</v>
      </c>
      <c r="D618" s="6">
        <f>IF(AND(C618&lt;&gt;"",B618&lt;&gt;""), C618-B618, "Missing Date")</f>
        <v>3</v>
      </c>
      <c r="E618" s="6" t="str">
        <f>IF(OR(B618="",C618=""), "Missing Date",
    IF(C618&lt;B618, "Invalid: Ship before Order",
      "OK"))</f>
        <v>OK</v>
      </c>
      <c r="F618" t="s">
        <v>1939</v>
      </c>
      <c r="G618" t="s">
        <v>264</v>
      </c>
      <c r="H618" t="s">
        <v>24</v>
      </c>
      <c r="I618" t="s">
        <v>54</v>
      </c>
      <c r="J618" t="s">
        <v>55</v>
      </c>
      <c r="K618" t="s">
        <v>56</v>
      </c>
      <c r="L618" t="s">
        <v>28</v>
      </c>
      <c r="M618" t="s">
        <v>29</v>
      </c>
      <c r="N618" t="s">
        <v>1940</v>
      </c>
      <c r="O618" t="s">
        <v>59</v>
      </c>
      <c r="P618">
        <v>6</v>
      </c>
      <c r="Q618">
        <v>3925.55</v>
      </c>
      <c r="R618">
        <v>0.2</v>
      </c>
      <c r="S618">
        <v>18842.64</v>
      </c>
      <c r="T618">
        <v>11840.58</v>
      </c>
      <c r="U618">
        <v>7002.06</v>
      </c>
      <c r="V618" t="s">
        <v>32</v>
      </c>
      <c r="W618" t="s">
        <v>33</v>
      </c>
      <c r="X618" t="str">
        <f>_xlfn.TEXTJOIN("|", TRUE, A618:W618)</f>
        <v>ORD-2024-10617|45520|45523|3|OK|CUST-4660|Kabir Singh|Consumer|South|Telangana|Hyderabad|Office Supplies|Paper|Prime Paper 664|Standard Class|6|3925.55|0.2|18842.64|11840.58|7002.06|Paid|Completed</v>
      </c>
      <c r="Y618">
        <f>COUNTIF($X$2:$X$1000, X618)</f>
        <v>1</v>
      </c>
      <c r="Z618">
        <f>COUNTIF($A$2:$A$1000, A618)</f>
        <v>1</v>
      </c>
      <c r="AA618" t="str">
        <f>IF(Y618&gt;1, "Exact Duplicate",
  IF(Z618&gt;1, "Conflicting Duplicate - Review",
    "Unique"))</f>
        <v>Unique</v>
      </c>
      <c r="AB618" s="2">
        <f>IF(ISBLANK(R618), 0, IF(ISTEXT(R618), VALUE(SUBSTITUTE(R618, "%", ""))/100, IF(OR(R618&lt;0, R618&gt;1), "Invalid", R618)))</f>
        <v>0.2</v>
      </c>
      <c r="AC618" s="4">
        <f>IF(AB618="Invalid", "Error", P618 * Q618 * (1 - AB618))</f>
        <v>18842.640000000003</v>
      </c>
      <c r="AD618" s="4">
        <f>IF(AC618="Error", "Error", AC618 - T618)</f>
        <v>7002.0600000000031</v>
      </c>
      <c r="AE618" s="2">
        <f>IF(AC618="Error", "Error", IF(AC618=0, 0, AD618 / AC618))</f>
        <v>0.37160716332743193</v>
      </c>
      <c r="AF618" s="7">
        <f>C618-B618</f>
        <v>3</v>
      </c>
      <c r="AG618" s="2" t="str">
        <f>TEXT(B618, "mmmm")</f>
        <v>August</v>
      </c>
      <c r="AH618" s="4">
        <f>YEAR(B618)</f>
        <v>2024</v>
      </c>
      <c r="AI618" s="2" t="str">
        <f t="shared" si="23"/>
        <v>Clean</v>
      </c>
      <c r="AJ618">
        <f>COUNTIFS($A$2:$A$1000,A618,$B$2:$B$1000,B618,$C$2:$C$1000,C618,$D$2:$D$1000,D618,$E$2:$E$1000,E618,$F$2:$F$1000,F618)</f>
        <v>1</v>
      </c>
      <c r="AK618">
        <f>COUNTIF($A$2:$A$1000, A618)</f>
        <v>1</v>
      </c>
    </row>
    <row r="619" spans="1:37">
      <c r="A619" t="s">
        <v>1941</v>
      </c>
      <c r="B619" s="5">
        <v>45564</v>
      </c>
      <c r="C619" s="5">
        <v>45565</v>
      </c>
      <c r="D619" s="6">
        <f>IF(AND(C619&lt;&gt;"",B619&lt;&gt;""), C619-B619, "Missing Date")</f>
        <v>1</v>
      </c>
      <c r="E619" s="6" t="str">
        <f>IF(OR(B619="",C619=""), "Missing Date",
    IF(C619&lt;B619, "Invalid: Ship before Order",
      "OK"))</f>
        <v>OK</v>
      </c>
      <c r="F619" t="s">
        <v>1942</v>
      </c>
      <c r="G619" t="s">
        <v>36</v>
      </c>
      <c r="H619" t="s">
        <v>95</v>
      </c>
      <c r="I619" t="s">
        <v>54</v>
      </c>
      <c r="J619" t="s">
        <v>55</v>
      </c>
      <c r="K619" t="s">
        <v>56</v>
      </c>
      <c r="L619" t="s">
        <v>74</v>
      </c>
      <c r="M619" t="s">
        <v>171</v>
      </c>
      <c r="N619" t="s">
        <v>1943</v>
      </c>
      <c r="O619" t="s">
        <v>59</v>
      </c>
      <c r="P619">
        <v>9</v>
      </c>
      <c r="Q619">
        <v>2741.91</v>
      </c>
      <c r="R619">
        <v>0</v>
      </c>
      <c r="S619">
        <v>24677.19</v>
      </c>
      <c r="T619">
        <v>20350.849999999999</v>
      </c>
      <c r="U619">
        <v>4326.34</v>
      </c>
      <c r="V619" t="s">
        <v>32</v>
      </c>
      <c r="W619" t="s">
        <v>33</v>
      </c>
      <c r="X619" t="str">
        <f>_xlfn.TEXTJOIN("|", TRUE, A619:W619)</f>
        <v>ORD-2024-10618|45564|45565|1|OK|CUST-9002|Mira Das|Home Office|South|Telangana|Hyderabad|Technology|Phones|Pro Phones 226|Standard Class|9|2741.91|0|24677.19|20350.85|4326.34|Paid|Completed</v>
      </c>
      <c r="Y619">
        <f>COUNTIF($X$2:$X$1000, X619)</f>
        <v>1</v>
      </c>
      <c r="Z619">
        <f>COUNTIF($A$2:$A$1000, A619)</f>
        <v>1</v>
      </c>
      <c r="AA619" t="str">
        <f>IF(Y619&gt;1, "Exact Duplicate",
  IF(Z619&gt;1, "Conflicting Duplicate - Review",
    "Unique"))</f>
        <v>Unique</v>
      </c>
      <c r="AB619" s="2">
        <f>IF(ISBLANK(R619), 0, IF(ISTEXT(R619), VALUE(SUBSTITUTE(R619, "%", ""))/100, IF(OR(R619&lt;0, R619&gt;1), "Invalid", R619)))</f>
        <v>0</v>
      </c>
      <c r="AC619" s="4">
        <f>IF(AB619="Invalid", "Error", P619 * Q619 * (1 - AB619))</f>
        <v>24677.19</v>
      </c>
      <c r="AD619" s="4">
        <f>IF(AC619="Error", "Error", AC619 - T619)</f>
        <v>4326.34</v>
      </c>
      <c r="AE619" s="2">
        <f>IF(AC619="Error", "Error", IF(AC619=0, 0, AD619 / AC619))</f>
        <v>0.17531736798233513</v>
      </c>
      <c r="AF619" s="7">
        <f>C619-B619</f>
        <v>1</v>
      </c>
      <c r="AG619" s="2" t="str">
        <f>TEXT(B619, "mmmm")</f>
        <v>September</v>
      </c>
      <c r="AH619" s="4">
        <f>YEAR(B619)</f>
        <v>2024</v>
      </c>
      <c r="AI619" s="2" t="str">
        <f t="shared" si="23"/>
        <v>Clean</v>
      </c>
      <c r="AJ619">
        <f>COUNTIFS($A$2:$A$1000,A619,$B$2:$B$1000,B619,$C$2:$C$1000,C619,$D$2:$D$1000,D619,$E$2:$E$1000,E619,$F$2:$F$1000,F619)</f>
        <v>1</v>
      </c>
      <c r="AK619">
        <f>COUNTIF($A$2:$A$1000, A619)</f>
        <v>1</v>
      </c>
    </row>
    <row r="620" spans="1:37">
      <c r="A620" t="s">
        <v>1944</v>
      </c>
      <c r="B620" s="5">
        <v>45496</v>
      </c>
      <c r="C620" s="5">
        <v>45503</v>
      </c>
      <c r="D620" s="6">
        <f>IF(AND(C620&lt;&gt;"",B620&lt;&gt;""), C620-B620, "Missing Date")</f>
        <v>7</v>
      </c>
      <c r="E620" s="6" t="str">
        <f>IF(OR(B620="",C620=""), "Missing Date",
    IF(C620&lt;B620, "Invalid: Ship before Order",
      "OK"))</f>
        <v>OK</v>
      </c>
      <c r="F620" t="s">
        <v>1945</v>
      </c>
      <c r="G620" t="s">
        <v>264</v>
      </c>
      <c r="H620" t="s">
        <v>90</v>
      </c>
      <c r="I620" t="s">
        <v>25</v>
      </c>
      <c r="J620" t="s">
        <v>26</v>
      </c>
      <c r="K620" t="s">
        <v>27</v>
      </c>
      <c r="L620" t="s">
        <v>41</v>
      </c>
      <c r="M620" t="s">
        <v>42</v>
      </c>
      <c r="N620" t="s">
        <v>1946</v>
      </c>
      <c r="O620" t="s">
        <v>44</v>
      </c>
      <c r="P620">
        <v>9</v>
      </c>
      <c r="Q620">
        <v>1870.11</v>
      </c>
      <c r="R620">
        <v>0.25</v>
      </c>
      <c r="S620">
        <v>12623.24</v>
      </c>
      <c r="T620">
        <v>10540.8</v>
      </c>
      <c r="U620">
        <v>2082.44</v>
      </c>
      <c r="V620" t="s">
        <v>155</v>
      </c>
      <c r="W620" t="s">
        <v>68</v>
      </c>
      <c r="X620" t="str">
        <f>_xlfn.TEXTJOIN("|", TRUE, A620:W620)</f>
        <v>ORD-2024-10619|45496|45503|7|OK|CUST-1057|Kabir Singh|Corporate|North|Rajasthan|Jaipur|Furniture|Tables|Basic Tables 684|Same Day|9|1870.11|0.25|12623.24|10540.8|2082.44|Failed|Cancelled</v>
      </c>
      <c r="Y620">
        <f>COUNTIF($X$2:$X$1000, X620)</f>
        <v>1</v>
      </c>
      <c r="Z620">
        <f>COUNTIF($A$2:$A$1000, A620)</f>
        <v>1</v>
      </c>
      <c r="AA620" t="str">
        <f>IF(Y620&gt;1, "Exact Duplicate",
  IF(Z620&gt;1, "Conflicting Duplicate - Review",
    "Unique"))</f>
        <v>Unique</v>
      </c>
      <c r="AB620" s="2">
        <f>IF(ISBLANK(R620), 0, IF(ISTEXT(R620), VALUE(SUBSTITUTE(R620, "%", ""))/100, IF(OR(R620&lt;0, R620&gt;1), "Invalid", R620)))</f>
        <v>0.25</v>
      </c>
      <c r="AC620" s="4">
        <f>IF(AB620="Invalid", "Error", P620 * Q620 * (1 - AB620))</f>
        <v>12623.242499999998</v>
      </c>
      <c r="AD620" s="4">
        <f>IF(AC620="Error", "Error", AC620 - T620)</f>
        <v>2082.4424999999992</v>
      </c>
      <c r="AE620" s="2">
        <f>IF(AC620="Error", "Error", IF(AC620=0, 0, AD620 / AC620))</f>
        <v>0.16496890557239943</v>
      </c>
      <c r="AF620" s="7">
        <f>C620-B620</f>
        <v>7</v>
      </c>
      <c r="AG620" s="2" t="str">
        <f>TEXT(B620, "mmmm")</f>
        <v>July</v>
      </c>
      <c r="AH620" s="4">
        <f>YEAR(B620)</f>
        <v>2024</v>
      </c>
      <c r="AI620" s="2" t="str">
        <f t="shared" si="23"/>
        <v>Excluded from Sales</v>
      </c>
      <c r="AJ620">
        <f>COUNTIFS($A$2:$A$1000,A620,$B$2:$B$1000,B620,$C$2:$C$1000,C620,$D$2:$D$1000,D620,$E$2:$E$1000,E620,$F$2:$F$1000,F620)</f>
        <v>1</v>
      </c>
      <c r="AK620">
        <f>COUNTIF($A$2:$A$1000, A620)</f>
        <v>1</v>
      </c>
    </row>
    <row r="621" spans="1:37">
      <c r="A621" t="s">
        <v>1947</v>
      </c>
      <c r="B621" s="5">
        <v>45618</v>
      </c>
      <c r="C621" s="5">
        <v>45623</v>
      </c>
      <c r="D621" s="6">
        <f>IF(AND(C621&lt;&gt;"",B621&lt;&gt;""), C621-B621, "Missing Date")</f>
        <v>5</v>
      </c>
      <c r="E621" s="6" t="str">
        <f>IF(OR(B621="",C621=""), "Missing Date",
    IF(C621&lt;B621, "Invalid: Ship before Order",
      "OK"))</f>
        <v>OK</v>
      </c>
      <c r="F621" t="s">
        <v>1948</v>
      </c>
      <c r="G621" t="s">
        <v>114</v>
      </c>
      <c r="H621" t="s">
        <v>90</v>
      </c>
      <c r="I621" t="s">
        <v>54</v>
      </c>
      <c r="J621" t="s">
        <v>247</v>
      </c>
      <c r="K621" t="s">
        <v>248</v>
      </c>
      <c r="L621" t="s">
        <v>28</v>
      </c>
      <c r="M621" t="s">
        <v>153</v>
      </c>
      <c r="N621" t="s">
        <v>1949</v>
      </c>
      <c r="O621" t="s">
        <v>50</v>
      </c>
      <c r="P621">
        <v>1</v>
      </c>
      <c r="Q621">
        <v>4251.26</v>
      </c>
      <c r="R621">
        <v>0.2</v>
      </c>
      <c r="S621">
        <v>3401.01</v>
      </c>
      <c r="T621">
        <v>2917.54</v>
      </c>
      <c r="U621">
        <v>483.47</v>
      </c>
      <c r="V621" t="s">
        <v>102</v>
      </c>
      <c r="W621" t="s">
        <v>103</v>
      </c>
      <c r="X621" t="str">
        <f>_xlfn.TEXTJOIN("|", TRUE, A621:W621)</f>
        <v>ORD-2024-10620|45618|45623|5|OK|CUST-9596|Priya Menon|Corporate|South|Tamil Nadu|Chennai|Office Supplies|Binders|Prime Binders 938|First Class|1|4251.26|0.2|3401.01|2917.54|483.47|Refunded|Returned</v>
      </c>
      <c r="Y621">
        <f>COUNTIF($X$2:$X$1000, X621)</f>
        <v>1</v>
      </c>
      <c r="Z621">
        <f>COUNTIF($A$2:$A$1000, A621)</f>
        <v>1</v>
      </c>
      <c r="AA621" t="str">
        <f>IF(Y621&gt;1, "Exact Duplicate",
  IF(Z621&gt;1, "Conflicting Duplicate - Review",
    "Unique"))</f>
        <v>Unique</v>
      </c>
      <c r="AB621" s="2">
        <f>IF(ISBLANK(R621), 0, IF(ISTEXT(R621), VALUE(SUBSTITUTE(R621, "%", ""))/100, IF(OR(R621&lt;0, R621&gt;1), "Invalid", R621)))</f>
        <v>0.2</v>
      </c>
      <c r="AC621" s="4">
        <f>IF(AB621="Invalid", "Error", P621 * Q621 * (1 - AB621))</f>
        <v>3401.0080000000003</v>
      </c>
      <c r="AD621" s="4">
        <f>IF(AC621="Error", "Error", AC621 - T621)</f>
        <v>483.4680000000003</v>
      </c>
      <c r="AE621" s="2">
        <f>IF(AC621="Error", "Error", IF(AC621=0, 0, AD621 / AC621))</f>
        <v>0.14215432601158254</v>
      </c>
      <c r="AF621" s="7">
        <f>C621-B621</f>
        <v>5</v>
      </c>
      <c r="AG621" s="2" t="str">
        <f>TEXT(B621, "mmmm")</f>
        <v>November</v>
      </c>
      <c r="AH621" s="4">
        <f>YEAR(B621)</f>
        <v>2024</v>
      </c>
      <c r="AI621" s="2" t="str">
        <f t="shared" si="23"/>
        <v>Clean</v>
      </c>
      <c r="AJ621">
        <f>COUNTIFS($A$2:$A$1000,A621,$B$2:$B$1000,B621,$C$2:$C$1000,C621,$D$2:$D$1000,D621,$E$2:$E$1000,E621,$F$2:$F$1000,F621)</f>
        <v>1</v>
      </c>
      <c r="AK621">
        <f>COUNTIF($A$2:$A$1000, A621)</f>
        <v>1</v>
      </c>
    </row>
    <row r="622" spans="1:37">
      <c r="A622" t="s">
        <v>1950</v>
      </c>
      <c r="B622" s="5">
        <v>45522</v>
      </c>
      <c r="C622" s="5">
        <v>45525</v>
      </c>
      <c r="D622" s="6">
        <f>IF(AND(C622&lt;&gt;"",B622&lt;&gt;""), C622-B622, "Missing Date")</f>
        <v>3</v>
      </c>
      <c r="E622" s="6" t="str">
        <f>IF(OR(B622="",C622=""), "Missing Date",
    IF(C622&lt;B622, "Invalid: Ship before Order",
      "OK"))</f>
        <v>OK</v>
      </c>
      <c r="F622" t="s">
        <v>1951</v>
      </c>
      <c r="G622" t="s">
        <v>71</v>
      </c>
      <c r="H622" t="s">
        <v>24</v>
      </c>
      <c r="I622" t="s">
        <v>25</v>
      </c>
      <c r="J622" t="s">
        <v>136</v>
      </c>
      <c r="K622" t="s">
        <v>137</v>
      </c>
      <c r="L622" t="s">
        <v>74</v>
      </c>
      <c r="M622" t="s">
        <v>274</v>
      </c>
      <c r="N622" t="s">
        <v>1952</v>
      </c>
      <c r="O622" t="s">
        <v>59</v>
      </c>
      <c r="P622">
        <v>9</v>
      </c>
      <c r="Q622">
        <v>734.34</v>
      </c>
      <c r="R622">
        <v>0</v>
      </c>
      <c r="S622">
        <v>6609.06</v>
      </c>
      <c r="T622">
        <v>4946.78</v>
      </c>
      <c r="U622">
        <v>1662.28</v>
      </c>
      <c r="V622" t="s">
        <v>32</v>
      </c>
      <c r="W622" t="s">
        <v>33</v>
      </c>
      <c r="X622" t="str">
        <f>_xlfn.TEXTJOIN("|", TRUE, A622:W622)</f>
        <v>ORD-2024-10621|45522|45525|3|OK|CUST-6947|Vikram Iyer|Consumer|North|Uttar Pradesh|Noida|Technology|Machines|Classic Machines 337|Standard Class|9|734.34|0|6609.06|4946.78|1662.28|Paid|Completed</v>
      </c>
      <c r="Y622">
        <f>COUNTIF($X$2:$X$1000, X622)</f>
        <v>1</v>
      </c>
      <c r="Z622">
        <f>COUNTIF($A$2:$A$1000, A622)</f>
        <v>1</v>
      </c>
      <c r="AA622" t="str">
        <f>IF(Y622&gt;1, "Exact Duplicate",
  IF(Z622&gt;1, "Conflicting Duplicate - Review",
    "Unique"))</f>
        <v>Unique</v>
      </c>
      <c r="AB622" s="2">
        <f>IF(ISBLANK(R622), 0, IF(ISTEXT(R622), VALUE(SUBSTITUTE(R622, "%", ""))/100, IF(OR(R622&lt;0, R622&gt;1), "Invalid", R622)))</f>
        <v>0</v>
      </c>
      <c r="AC622" s="4">
        <f>IF(AB622="Invalid", "Error", P622 * Q622 * (1 - AB622))</f>
        <v>6609.06</v>
      </c>
      <c r="AD622" s="4">
        <f>IF(AC622="Error", "Error", AC622 - T622)</f>
        <v>1662.2800000000007</v>
      </c>
      <c r="AE622" s="2">
        <f>IF(AC622="Error", "Error", IF(AC622=0, 0, AD622 / AC622))</f>
        <v>0.25151534408826681</v>
      </c>
      <c r="AF622" s="7">
        <f>C622-B622</f>
        <v>3</v>
      </c>
      <c r="AG622" s="2" t="str">
        <f>TEXT(B622, "mmmm")</f>
        <v>August</v>
      </c>
      <c r="AH622" s="4">
        <f>YEAR(B622)</f>
        <v>2024</v>
      </c>
      <c r="AI622" s="2" t="str">
        <f t="shared" si="23"/>
        <v>Clean</v>
      </c>
      <c r="AJ622">
        <f>COUNTIFS($A$2:$A$1000,A622,$B$2:$B$1000,B622,$C$2:$C$1000,C622,$D$2:$D$1000,D622,$E$2:$E$1000,E622,$F$2:$F$1000,F622)</f>
        <v>1</v>
      </c>
      <c r="AK622">
        <f>COUNTIF($A$2:$A$1000, A622)</f>
        <v>1</v>
      </c>
    </row>
    <row r="623" spans="1:37">
      <c r="A623" t="s">
        <v>1953</v>
      </c>
      <c r="B623" s="5">
        <v>45624</v>
      </c>
      <c r="C623" s="5">
        <v>45632</v>
      </c>
      <c r="D623" s="6">
        <f>IF(AND(C623&lt;&gt;"",B623&lt;&gt;""), C623-B623, "Missing Date")</f>
        <v>8</v>
      </c>
      <c r="E623" s="6" t="str">
        <f>IF(OR(B623="",C623=""), "Missing Date",
    IF(C623&lt;B623, "Invalid: Ship before Order",
      "OK"))</f>
        <v>OK</v>
      </c>
      <c r="F623" t="s">
        <v>1954</v>
      </c>
      <c r="G623" t="s">
        <v>89</v>
      </c>
      <c r="H623" t="s">
        <v>24</v>
      </c>
      <c r="I623" t="s">
        <v>63</v>
      </c>
      <c r="J623" t="s">
        <v>64</v>
      </c>
      <c r="K623" t="s">
        <v>65</v>
      </c>
      <c r="L623" t="s">
        <v>41</v>
      </c>
      <c r="M623" t="s">
        <v>66</v>
      </c>
      <c r="N623" t="s">
        <v>1955</v>
      </c>
      <c r="O623" t="s">
        <v>44</v>
      </c>
      <c r="P623">
        <v>5</v>
      </c>
      <c r="Q623">
        <v>1092.8399999999999</v>
      </c>
      <c r="S623">
        <v>5464.2</v>
      </c>
      <c r="T623">
        <v>3318.09</v>
      </c>
      <c r="U623">
        <v>2146.11</v>
      </c>
      <c r="V623" t="s">
        <v>32</v>
      </c>
      <c r="W623" t="s">
        <v>33</v>
      </c>
      <c r="X623" t="str">
        <f>_xlfn.TEXTJOIN("|", TRUE, A623:W623)</f>
        <v>ORD-2024-10622|45624|45632|8|OK|CUST-7236|Aditi Sen|Consumer|West|Maharashtra|Mumbai|Furniture|Chairs|Max Chairs 748|Same Day|5|1092.84|5464.2|3318.09|2146.11|Paid|Completed</v>
      </c>
      <c r="Y623">
        <f>COUNTIF($X$2:$X$1000, X623)</f>
        <v>1</v>
      </c>
      <c r="Z623">
        <f>COUNTIF($A$2:$A$1000, A623)</f>
        <v>1</v>
      </c>
      <c r="AA623" t="str">
        <f>IF(Y623&gt;1, "Exact Duplicate",
  IF(Z623&gt;1, "Conflicting Duplicate - Review",
    "Unique"))</f>
        <v>Unique</v>
      </c>
      <c r="AB623" s="2">
        <f>IF(ISBLANK(R623), 0, IF(ISTEXT(R623), VALUE(SUBSTITUTE(R623, "%", ""))/100, IF(OR(R623&lt;0, R623&gt;1), "Invalid", R623)))</f>
        <v>0</v>
      </c>
      <c r="AC623" s="4">
        <f>IF(AB623="Invalid", "Error", P623 * Q623 * (1 - AB623))</f>
        <v>5464.2</v>
      </c>
      <c r="AD623" s="4">
        <f>IF(AC623="Error", "Error", AC623 - T623)</f>
        <v>2146.1099999999997</v>
      </c>
      <c r="AE623" s="2">
        <f>IF(AC623="Error", "Error", IF(AC623=0, 0, AD623 / AC623))</f>
        <v>0.39275831777753373</v>
      </c>
      <c r="AF623" s="7">
        <f>C623-B623</f>
        <v>8</v>
      </c>
      <c r="AG623" s="2" t="str">
        <f>TEXT(B623, "mmmm")</f>
        <v>November</v>
      </c>
      <c r="AH623" s="4">
        <f>YEAR(B623)</f>
        <v>2024</v>
      </c>
      <c r="AI623" s="2" t="str">
        <f t="shared" si="23"/>
        <v>Clean</v>
      </c>
      <c r="AJ623">
        <f>COUNTIFS($A$2:$A$1000,A623,$B$2:$B$1000,B623,$C$2:$C$1000,C623,$D$2:$D$1000,D623,$E$2:$E$1000,E623,$F$2:$F$1000,F623)</f>
        <v>1</v>
      </c>
      <c r="AK623">
        <f>COUNTIF($A$2:$A$1000, A623)</f>
        <v>1</v>
      </c>
    </row>
    <row r="624" spans="1:37">
      <c r="A624" t="s">
        <v>1956</v>
      </c>
      <c r="B624" s="5">
        <v>45686</v>
      </c>
      <c r="C624" s="5">
        <v>45694</v>
      </c>
      <c r="D624" s="6">
        <f>IF(AND(C624&lt;&gt;"",B624&lt;&gt;""), C624-B624, "Missing Date")</f>
        <v>8</v>
      </c>
      <c r="E624" s="6" t="str">
        <f>IF(OR(B624="",C624=""), "Missing Date",
    IF(C624&lt;B624, "Invalid: Ship before Order",
      "OK"))</f>
        <v>OK</v>
      </c>
      <c r="F624" t="s">
        <v>1957</v>
      </c>
      <c r="G624" t="s">
        <v>71</v>
      </c>
      <c r="H624" t="s">
        <v>24</v>
      </c>
      <c r="I624" t="s">
        <v>38</v>
      </c>
      <c r="J624" t="s">
        <v>145</v>
      </c>
      <c r="K624" t="s">
        <v>146</v>
      </c>
      <c r="L624" t="s">
        <v>28</v>
      </c>
      <c r="M624" t="s">
        <v>124</v>
      </c>
      <c r="N624" t="s">
        <v>1958</v>
      </c>
      <c r="O624" t="s">
        <v>59</v>
      </c>
      <c r="P624">
        <v>4</v>
      </c>
      <c r="Q624">
        <v>2759.01</v>
      </c>
      <c r="R624">
        <v>0.05</v>
      </c>
      <c r="S624">
        <v>10484.24</v>
      </c>
      <c r="T624">
        <v>6680.15</v>
      </c>
      <c r="U624">
        <v>3804.09</v>
      </c>
      <c r="V624" t="s">
        <v>32</v>
      </c>
      <c r="W624" t="s">
        <v>33</v>
      </c>
      <c r="X624" t="str">
        <f>_xlfn.TEXTJOIN("|", TRUE, A624:W624)</f>
        <v>ORD-2025-10623|45686|45694|8|OK|CUST-1127|Vikram Iyer|Consumer|East|Bihar|Patna|Office Supplies|Storage|Basic Storage 934|Standard Class|4|2759.01|0.05|10484.24|6680.15|3804.09|Paid|Completed</v>
      </c>
      <c r="Y624">
        <f>COUNTIF($X$2:$X$1000, X624)</f>
        <v>1</v>
      </c>
      <c r="Z624">
        <f>COUNTIF($A$2:$A$1000, A624)</f>
        <v>1</v>
      </c>
      <c r="AA624" t="str">
        <f>IF(Y624&gt;1, "Exact Duplicate",
  IF(Z624&gt;1, "Conflicting Duplicate - Review",
    "Unique"))</f>
        <v>Unique</v>
      </c>
      <c r="AB624" s="2">
        <f>IF(ISBLANK(R624), 0, IF(ISTEXT(R624), VALUE(SUBSTITUTE(R624, "%", ""))/100, IF(OR(R624&lt;0, R624&gt;1), "Invalid", R624)))</f>
        <v>0.05</v>
      </c>
      <c r="AC624" s="4">
        <f>IF(AB624="Invalid", "Error", P624 * Q624 * (1 - AB624))</f>
        <v>10484.238000000001</v>
      </c>
      <c r="AD624" s="4">
        <f>IF(AC624="Error", "Error", AC624 - T624)</f>
        <v>3804.0880000000016</v>
      </c>
      <c r="AE624" s="2">
        <f>IF(AC624="Error", "Error", IF(AC624=0, 0, AD624 / AC624))</f>
        <v>0.36283876806306775</v>
      </c>
      <c r="AF624" s="7">
        <f>C624-B624</f>
        <v>8</v>
      </c>
      <c r="AG624" s="2" t="str">
        <f>TEXT(B624, "mmmm")</f>
        <v>January</v>
      </c>
      <c r="AH624" s="4">
        <f>YEAR(B624)</f>
        <v>2025</v>
      </c>
      <c r="AI624" s="2" t="str">
        <f t="shared" si="23"/>
        <v>Clean</v>
      </c>
      <c r="AJ624">
        <f>COUNTIFS($A$2:$A$1000,A624,$B$2:$B$1000,B624,$C$2:$C$1000,C624,$D$2:$D$1000,D624,$E$2:$E$1000,E624,$F$2:$F$1000,F624)</f>
        <v>1</v>
      </c>
      <c r="AK624">
        <f>COUNTIF($A$2:$A$1000, A624)</f>
        <v>1</v>
      </c>
    </row>
    <row r="625" spans="1:37">
      <c r="A625" t="s">
        <v>1959</v>
      </c>
      <c r="B625" s="5">
        <v>45512</v>
      </c>
      <c r="C625" s="5">
        <v>45518</v>
      </c>
      <c r="D625" s="6">
        <f>IF(AND(C625&lt;&gt;"",B625&lt;&gt;""), C625-B625, "Missing Date")</f>
        <v>6</v>
      </c>
      <c r="E625" s="6" t="str">
        <f>IF(OR(B625="",C625=""), "Missing Date",
    IF(C625&lt;B625, "Invalid: Ship before Order",
      "OK"))</f>
        <v>OK</v>
      </c>
      <c r="F625" t="s">
        <v>1960</v>
      </c>
      <c r="G625" t="s">
        <v>71</v>
      </c>
      <c r="H625" t="s">
        <v>95</v>
      </c>
      <c r="I625" t="s">
        <v>25</v>
      </c>
      <c r="J625" t="s">
        <v>122</v>
      </c>
      <c r="K625" t="s">
        <v>123</v>
      </c>
      <c r="L625" t="s">
        <v>28</v>
      </c>
      <c r="M625" t="s">
        <v>124</v>
      </c>
      <c r="N625" t="s">
        <v>1961</v>
      </c>
      <c r="O625" t="s">
        <v>31</v>
      </c>
      <c r="P625">
        <v>8</v>
      </c>
      <c r="Q625">
        <v>1359.19</v>
      </c>
      <c r="R625">
        <v>0.05</v>
      </c>
      <c r="S625">
        <v>10329.84</v>
      </c>
      <c r="T625">
        <v>7512.22</v>
      </c>
      <c r="U625">
        <v>2817.62</v>
      </c>
      <c r="V625" t="s">
        <v>32</v>
      </c>
      <c r="W625" t="s">
        <v>33</v>
      </c>
      <c r="X625" t="str">
        <f>_xlfn.TEXTJOIN("|", TRUE, A625:W625)</f>
        <v>ORD-2024-10624|45512|45518|6|OK|CUST-6262|Vikram Iyer|Home Office|North|Punjab|Ludhiana|Office Supplies|Storage|Pro Storage 509|Second Class|8|1359.19|0.05|10329.84|7512.22|2817.62|Paid|Completed</v>
      </c>
      <c r="Y625">
        <f>COUNTIF($X$2:$X$1000, X625)</f>
        <v>1</v>
      </c>
      <c r="Z625">
        <f>COUNTIF($A$2:$A$1000, A625)</f>
        <v>1</v>
      </c>
      <c r="AA625" t="str">
        <f>IF(Y625&gt;1, "Exact Duplicate",
  IF(Z625&gt;1, "Conflicting Duplicate - Review",
    "Unique"))</f>
        <v>Unique</v>
      </c>
      <c r="AB625" s="2">
        <f>IF(ISBLANK(R625), 0, IF(ISTEXT(R625), VALUE(SUBSTITUTE(R625, "%", ""))/100, IF(OR(R625&lt;0, R625&gt;1), "Invalid", R625)))</f>
        <v>0.05</v>
      </c>
      <c r="AC625" s="4">
        <f>IF(AB625="Invalid", "Error", P625 * Q625 * (1 - AB625))</f>
        <v>10329.843999999999</v>
      </c>
      <c r="AD625" s="4">
        <f>IF(AC625="Error", "Error", AC625 - T625)</f>
        <v>2817.6239999999989</v>
      </c>
      <c r="AE625" s="2">
        <f>IF(AC625="Error", "Error", IF(AC625=0, 0, AD625 / AC625))</f>
        <v>0.27276539703794161</v>
      </c>
      <c r="AF625" s="7">
        <f>C625-B625</f>
        <v>6</v>
      </c>
      <c r="AG625" s="2" t="str">
        <f>TEXT(B625, "mmmm")</f>
        <v>August</v>
      </c>
      <c r="AH625" s="4">
        <f>YEAR(B625)</f>
        <v>2024</v>
      </c>
      <c r="AI625" s="2" t="str">
        <f t="shared" si="23"/>
        <v>Clean</v>
      </c>
      <c r="AJ625">
        <f>COUNTIFS($A$2:$A$1000,A625,$B$2:$B$1000,B625,$C$2:$C$1000,C625,$D$2:$D$1000,D625,$E$2:$E$1000,E625,$F$2:$F$1000,F625)</f>
        <v>1</v>
      </c>
      <c r="AK625">
        <f>COUNTIF($A$2:$A$1000, A625)</f>
        <v>1</v>
      </c>
    </row>
    <row r="626" spans="1:37">
      <c r="A626" t="s">
        <v>1962</v>
      </c>
      <c r="B626" s="5">
        <v>45321</v>
      </c>
      <c r="C626" s="5">
        <v>45323</v>
      </c>
      <c r="D626" s="6">
        <f>IF(AND(C626&lt;&gt;"",B626&lt;&gt;""), C626-B626, "Missing Date")</f>
        <v>2</v>
      </c>
      <c r="E626" s="6" t="str">
        <f>IF(OR(B626="",C626=""), "Missing Date",
    IF(C626&lt;B626, "Invalid: Ship before Order",
      "OK"))</f>
        <v>OK</v>
      </c>
      <c r="F626" t="s">
        <v>1963</v>
      </c>
      <c r="G626" t="s">
        <v>79</v>
      </c>
      <c r="H626" t="s">
        <v>95</v>
      </c>
      <c r="I626" t="s">
        <v>38</v>
      </c>
      <c r="J626" t="s">
        <v>166</v>
      </c>
      <c r="K626" t="s">
        <v>167</v>
      </c>
      <c r="L626" t="s">
        <v>41</v>
      </c>
      <c r="M626" t="s">
        <v>66</v>
      </c>
      <c r="N626" t="s">
        <v>1964</v>
      </c>
      <c r="O626" t="s">
        <v>50</v>
      </c>
      <c r="P626">
        <v>2</v>
      </c>
      <c r="Q626">
        <v>4451.03</v>
      </c>
      <c r="R626">
        <v>0.05</v>
      </c>
      <c r="S626">
        <v>8456.9599999999991</v>
      </c>
      <c r="T626">
        <v>5462.85</v>
      </c>
      <c r="U626">
        <v>2994.11</v>
      </c>
      <c r="V626" t="s">
        <v>32</v>
      </c>
      <c r="W626" t="s">
        <v>33</v>
      </c>
      <c r="X626" t="str">
        <f>_xlfn.TEXTJOIN("|", TRUE, A626:W626)</f>
        <v>ORD-2024-10625|45321|45323|2|OK|CUST-5070|Neha Gupta|Home Office|East|Assam|Guwahati|Furniture|Chairs|Prime Chairs 765|First Class|2|4451.03|0.05|8456.96|5462.85|2994.11|Paid|Completed</v>
      </c>
      <c r="Y626">
        <f>COUNTIF($X$2:$X$1000, X626)</f>
        <v>1</v>
      </c>
      <c r="Z626">
        <f>COUNTIF($A$2:$A$1000, A626)</f>
        <v>1</v>
      </c>
      <c r="AA626" t="str">
        <f>IF(Y626&gt;1, "Exact Duplicate",
  IF(Z626&gt;1, "Conflicting Duplicate - Review",
    "Unique"))</f>
        <v>Unique</v>
      </c>
      <c r="AB626" s="2">
        <f>IF(ISBLANK(R626), 0, IF(ISTEXT(R626), VALUE(SUBSTITUTE(R626, "%", ""))/100, IF(OR(R626&lt;0, R626&gt;1), "Invalid", R626)))</f>
        <v>0.05</v>
      </c>
      <c r="AC626" s="4">
        <f>IF(AB626="Invalid", "Error", P626 * Q626 * (1 - AB626))</f>
        <v>8456.9569999999985</v>
      </c>
      <c r="AD626" s="4">
        <f>IF(AC626="Error", "Error", AC626 - T626)</f>
        <v>2994.1069999999982</v>
      </c>
      <c r="AE626" s="2">
        <f>IF(AC626="Error", "Error", IF(AC626=0, 0, AD626 / AC626))</f>
        <v>0.35404070282017502</v>
      </c>
      <c r="AF626" s="7">
        <f>C626-B626</f>
        <v>2</v>
      </c>
      <c r="AG626" s="2" t="str">
        <f>TEXT(B626, "mmmm")</f>
        <v>January</v>
      </c>
      <c r="AH626" s="4">
        <f>YEAR(B626)</f>
        <v>2024</v>
      </c>
      <c r="AI626" s="2" t="str">
        <f t="shared" si="23"/>
        <v>Clean</v>
      </c>
      <c r="AJ626">
        <f>COUNTIFS($A$2:$A$1000,A626,$B$2:$B$1000,B626,$C$2:$C$1000,C626,$D$2:$D$1000,D626,$E$2:$E$1000,E626,$F$2:$F$1000,F626)</f>
        <v>1</v>
      </c>
      <c r="AK626">
        <f>COUNTIF($A$2:$A$1000, A626)</f>
        <v>1</v>
      </c>
    </row>
    <row r="627" spans="1:37">
      <c r="A627" t="s">
        <v>1965</v>
      </c>
      <c r="B627" s="5">
        <v>45641</v>
      </c>
      <c r="C627" s="5">
        <v>45647</v>
      </c>
      <c r="D627" s="6">
        <f>IF(AND(C627&lt;&gt;"",B627&lt;&gt;""), C627-B627, "Missing Date")</f>
        <v>6</v>
      </c>
      <c r="E627" s="6" t="str">
        <f>IF(OR(B627="",C627=""), "Missing Date",
    IF(C627&lt;B627, "Invalid: Ship before Order",
      "OK"))</f>
        <v>OK</v>
      </c>
      <c r="F627" t="s">
        <v>1966</v>
      </c>
      <c r="G627" t="s">
        <v>162</v>
      </c>
      <c r="H627" t="s">
        <v>90</v>
      </c>
      <c r="I627" t="s">
        <v>63</v>
      </c>
      <c r="J627" t="s">
        <v>26</v>
      </c>
      <c r="K627" t="s">
        <v>109</v>
      </c>
      <c r="L627" t="s">
        <v>41</v>
      </c>
      <c r="M627" t="s">
        <v>66</v>
      </c>
      <c r="N627" t="s">
        <v>1967</v>
      </c>
      <c r="O627" t="s">
        <v>44</v>
      </c>
      <c r="P627">
        <v>3</v>
      </c>
      <c r="Q627">
        <v>527.66999999999996</v>
      </c>
      <c r="R627">
        <v>0.2</v>
      </c>
      <c r="S627">
        <v>1266.4100000000001</v>
      </c>
      <c r="T627">
        <v>983.92</v>
      </c>
      <c r="U627">
        <v>282.49</v>
      </c>
      <c r="V627" t="s">
        <v>32</v>
      </c>
      <c r="W627" t="s">
        <v>33</v>
      </c>
      <c r="X627" t="str">
        <f>_xlfn.TEXTJOIN("|", TRUE, A627:W627)</f>
        <v>ORD-2024-10626|45641|45647|6|OK|CUST-7946|Diya Patel|Corporate|West|Rajasthan|Udaipur|Furniture|Chairs|Elite Chairs 358|Same Day|3|527.67|0.2|1266.41|983.92|282.49|Paid|Completed</v>
      </c>
      <c r="Y627">
        <f>COUNTIF($X$2:$X$1000, X627)</f>
        <v>1</v>
      </c>
      <c r="Z627">
        <f>COUNTIF($A$2:$A$1000, A627)</f>
        <v>1</v>
      </c>
      <c r="AA627" t="str">
        <f>IF(Y627&gt;1, "Exact Duplicate",
  IF(Z627&gt;1, "Conflicting Duplicate - Review",
    "Unique"))</f>
        <v>Unique</v>
      </c>
      <c r="AB627" s="2">
        <f>IF(ISBLANK(R627), 0, IF(ISTEXT(R627), VALUE(SUBSTITUTE(R627, "%", ""))/100, IF(OR(R627&lt;0, R627&gt;1), "Invalid", R627)))</f>
        <v>0.2</v>
      </c>
      <c r="AC627" s="4">
        <f>IF(AB627="Invalid", "Error", P627 * Q627 * (1 - AB627))</f>
        <v>1266.4079999999999</v>
      </c>
      <c r="AD627" s="4">
        <f>IF(AC627="Error", "Error", AC627 - T627)</f>
        <v>282.48799999999994</v>
      </c>
      <c r="AE627" s="2">
        <f>IF(AC627="Error", "Error", IF(AC627=0, 0, AD627 / AC627))</f>
        <v>0.22306239379410109</v>
      </c>
      <c r="AF627" s="7">
        <f>C627-B627</f>
        <v>6</v>
      </c>
      <c r="AG627" s="2" t="str">
        <f>TEXT(B627, "mmmm")</f>
        <v>December</v>
      </c>
      <c r="AH627" s="4">
        <f>YEAR(B627)</f>
        <v>2024</v>
      </c>
      <c r="AI627" s="2" t="str">
        <f t="shared" si="23"/>
        <v>Clean</v>
      </c>
      <c r="AJ627">
        <f>COUNTIFS($A$2:$A$1000,A627,$B$2:$B$1000,B627,$C$2:$C$1000,C627,$D$2:$D$1000,D627,$E$2:$E$1000,E627,$F$2:$F$1000,F627)</f>
        <v>1</v>
      </c>
      <c r="AK627">
        <f>COUNTIF($A$2:$A$1000, A627)</f>
        <v>1</v>
      </c>
    </row>
    <row r="628" spans="1:37">
      <c r="A628" t="s">
        <v>1968</v>
      </c>
      <c r="B628" s="5">
        <v>45812</v>
      </c>
      <c r="C628" s="5">
        <v>45844</v>
      </c>
      <c r="D628" s="6">
        <f>IF(AND(C628&lt;&gt;"",B628&lt;&gt;""), C628-B628, "Missing Date")</f>
        <v>32</v>
      </c>
      <c r="E628" s="6" t="str">
        <f>IF(OR(B628="",C628=""), "Missing Date",
    IF(C628&lt;B628, "Invalid: Ship before Order",
      "OK"))</f>
        <v>OK</v>
      </c>
      <c r="F628" t="s">
        <v>1969</v>
      </c>
      <c r="G628" t="s">
        <v>132</v>
      </c>
      <c r="H628" t="s">
        <v>95</v>
      </c>
      <c r="I628" t="s">
        <v>38</v>
      </c>
      <c r="J628" t="s">
        <v>166</v>
      </c>
      <c r="K628" t="s">
        <v>167</v>
      </c>
      <c r="L628" t="s">
        <v>74</v>
      </c>
      <c r="M628" t="s">
        <v>274</v>
      </c>
      <c r="N628" t="s">
        <v>1970</v>
      </c>
      <c r="O628" t="s">
        <v>59</v>
      </c>
      <c r="P628">
        <v>8</v>
      </c>
      <c r="Q628">
        <v>1434.13</v>
      </c>
      <c r="R628">
        <v>0</v>
      </c>
      <c r="S628">
        <v>11473.04</v>
      </c>
      <c r="T628">
        <v>8931.33</v>
      </c>
      <c r="U628">
        <v>2541.71</v>
      </c>
      <c r="V628" t="s">
        <v>111</v>
      </c>
      <c r="W628" t="s">
        <v>103</v>
      </c>
      <c r="X628" t="str">
        <f>_xlfn.TEXTJOIN("|", TRUE, A628:W628)</f>
        <v>ORD-2025-10627|45812|45844|32|OK|CUST-1793|Sneha Kapoor|Home Office|East|Assam|Guwahati|Technology|Machines|Elite Machines 971|Standard Class|8|1434.13|0|11473.04|8931.33|2541.71|Pending|Returned</v>
      </c>
      <c r="Y628">
        <f>COUNTIF($X$2:$X$1000, X628)</f>
        <v>1</v>
      </c>
      <c r="Z628">
        <f>COUNTIF($A$2:$A$1000, A628)</f>
        <v>1</v>
      </c>
      <c r="AA628" t="str">
        <f>IF(Y628&gt;1, "Exact Duplicate",
  IF(Z628&gt;1, "Conflicting Duplicate - Review",
    "Unique"))</f>
        <v>Unique</v>
      </c>
      <c r="AB628" s="2">
        <f>IF(ISBLANK(R628), 0, IF(ISTEXT(R628), VALUE(SUBSTITUTE(R628, "%", ""))/100, IF(OR(R628&lt;0, R628&gt;1), "Invalid", R628)))</f>
        <v>0</v>
      </c>
      <c r="AC628" s="4">
        <f>IF(AB628="Invalid", "Error", P628 * Q628 * (1 - AB628))</f>
        <v>11473.04</v>
      </c>
      <c r="AD628" s="4">
        <f>IF(AC628="Error", "Error", AC628 - T628)</f>
        <v>2541.7100000000009</v>
      </c>
      <c r="AE628" s="2">
        <f>IF(AC628="Error", "Error", IF(AC628=0, 0, AD628 / AC628))</f>
        <v>0.22153762211236086</v>
      </c>
      <c r="AF628" s="7">
        <f>C628-B628</f>
        <v>32</v>
      </c>
      <c r="AG628" s="2" t="str">
        <f>TEXT(B628, "mmmm")</f>
        <v>June</v>
      </c>
      <c r="AH628" s="4">
        <f>YEAR(B628)</f>
        <v>2025</v>
      </c>
      <c r="AI628" s="2" t="str">
        <f t="shared" si="23"/>
        <v>Clean</v>
      </c>
      <c r="AJ628">
        <f>COUNTIFS($A$2:$A$1000,A628,$B$2:$B$1000,B628,$C$2:$C$1000,C628,$D$2:$D$1000,D628,$E$2:$E$1000,E628,$F$2:$F$1000,F628)</f>
        <v>1</v>
      </c>
      <c r="AK628">
        <f>COUNTIF($A$2:$A$1000, A628)</f>
        <v>1</v>
      </c>
    </row>
    <row r="629" spans="1:37">
      <c r="A629" t="s">
        <v>1971</v>
      </c>
      <c r="B629" s="5">
        <v>45701</v>
      </c>
      <c r="C629" s="5">
        <v>45709</v>
      </c>
      <c r="D629" s="6">
        <f>IF(AND(C629&lt;&gt;"",B629&lt;&gt;""), C629-B629, "Missing Date")</f>
        <v>8</v>
      </c>
      <c r="E629" s="6" t="str">
        <f>IF(OR(B629="",C629=""), "Missing Date",
    IF(C629&lt;B629, "Invalid: Ship before Order",
      "OK"))</f>
        <v>OK</v>
      </c>
      <c r="F629" t="s">
        <v>1972</v>
      </c>
      <c r="G629" t="s">
        <v>23</v>
      </c>
      <c r="H629" t="s">
        <v>37</v>
      </c>
      <c r="I629" t="s">
        <v>54</v>
      </c>
      <c r="J629" t="s">
        <v>185</v>
      </c>
      <c r="K629" t="s">
        <v>186</v>
      </c>
      <c r="L629" t="s">
        <v>74</v>
      </c>
      <c r="M629" t="s">
        <v>171</v>
      </c>
      <c r="N629" t="s">
        <v>1973</v>
      </c>
      <c r="O629" t="s">
        <v>31</v>
      </c>
      <c r="P629">
        <v>2</v>
      </c>
      <c r="Q629">
        <v>2360.02</v>
      </c>
      <c r="R629">
        <v>0.15</v>
      </c>
      <c r="S629">
        <v>4012.03</v>
      </c>
      <c r="T629">
        <v>3142.92</v>
      </c>
      <c r="U629">
        <v>869.11</v>
      </c>
      <c r="V629" t="s">
        <v>111</v>
      </c>
      <c r="W629" t="s">
        <v>68</v>
      </c>
      <c r="X629" t="str">
        <f>_xlfn.TEXTJOIN("|", TRUE, A629:W629)</f>
        <v>ORD-2025-10628|45701|45709|8|OK|CUST-8839|Karan Malhotra|Small Business|South|Kerala|Kochi|Technology|Phones|Max Phones 825|Second Class|2|2360.02|0.15|4012.03|3142.92|869.11|Pending|Cancelled</v>
      </c>
      <c r="Y629">
        <f>COUNTIF($X$2:$X$1000, X629)</f>
        <v>1</v>
      </c>
      <c r="Z629">
        <f>COUNTIF($A$2:$A$1000, A629)</f>
        <v>1</v>
      </c>
      <c r="AA629" t="str">
        <f>IF(Y629&gt;1, "Exact Duplicate",
  IF(Z629&gt;1, "Conflicting Duplicate - Review",
    "Unique"))</f>
        <v>Unique</v>
      </c>
      <c r="AB629" s="2">
        <f>IF(ISBLANK(R629), 0, IF(ISTEXT(R629), VALUE(SUBSTITUTE(R629, "%", ""))/100, IF(OR(R629&lt;0, R629&gt;1), "Invalid", R629)))</f>
        <v>0.15</v>
      </c>
      <c r="AC629" s="4">
        <f>IF(AB629="Invalid", "Error", P629 * Q629 * (1 - AB629))</f>
        <v>4012.0339999999997</v>
      </c>
      <c r="AD629" s="4">
        <f>IF(AC629="Error", "Error", AC629 - T629)</f>
        <v>869.11399999999958</v>
      </c>
      <c r="AE629" s="2">
        <f>IF(AC629="Error", "Error", IF(AC629=0, 0, AD629 / AC629))</f>
        <v>0.21662677833737193</v>
      </c>
      <c r="AF629" s="7">
        <f>C629-B629</f>
        <v>8</v>
      </c>
      <c r="AG629" s="2" t="str">
        <f>TEXT(B629, "mmmm")</f>
        <v>February</v>
      </c>
      <c r="AH629" s="4">
        <f>YEAR(B629)</f>
        <v>2025</v>
      </c>
      <c r="AI629" s="2" t="str">
        <f t="shared" si="23"/>
        <v>Excluded from Sales</v>
      </c>
      <c r="AJ629">
        <f>COUNTIFS($A$2:$A$1000,A629,$B$2:$B$1000,B629,$C$2:$C$1000,C629,$D$2:$D$1000,D629,$E$2:$E$1000,E629,$F$2:$F$1000,F629)</f>
        <v>1</v>
      </c>
      <c r="AK629">
        <f>COUNTIF($A$2:$A$1000, A629)</f>
        <v>1</v>
      </c>
    </row>
    <row r="630" spans="1:37">
      <c r="A630" t="s">
        <v>1974</v>
      </c>
      <c r="B630" s="5">
        <v>45935</v>
      </c>
      <c r="C630" s="5">
        <v>45942</v>
      </c>
      <c r="D630" s="6">
        <f>IF(AND(C630&lt;&gt;"",B630&lt;&gt;""), C630-B630, "Missing Date")</f>
        <v>7</v>
      </c>
      <c r="E630" s="6" t="str">
        <f>IF(OR(B630="",C630=""), "Missing Date",
    IF(C630&lt;B630, "Invalid: Ship before Order",
      "OK"))</f>
        <v>OK</v>
      </c>
      <c r="F630" t="s">
        <v>1975</v>
      </c>
      <c r="G630" t="s">
        <v>62</v>
      </c>
      <c r="H630" t="s">
        <v>95</v>
      </c>
      <c r="I630" t="s">
        <v>38</v>
      </c>
      <c r="J630" t="s">
        <v>228</v>
      </c>
      <c r="K630" t="s">
        <v>229</v>
      </c>
      <c r="L630" t="s">
        <v>74</v>
      </c>
      <c r="M630" t="s">
        <v>75</v>
      </c>
      <c r="N630" t="s">
        <v>1976</v>
      </c>
      <c r="O630" t="s">
        <v>44</v>
      </c>
      <c r="P630">
        <v>7</v>
      </c>
      <c r="Q630">
        <v>806.67</v>
      </c>
      <c r="R630">
        <v>0.05</v>
      </c>
      <c r="S630">
        <v>5364.36</v>
      </c>
      <c r="T630">
        <v>4391.29</v>
      </c>
      <c r="U630">
        <v>973.07</v>
      </c>
      <c r="V630" t="s">
        <v>32</v>
      </c>
      <c r="W630" t="s">
        <v>33</v>
      </c>
      <c r="X630" t="str">
        <f>_xlfn.TEXTJOIN("|", TRUE, A630:W630)</f>
        <v>ORD-2025-10629|45935|45942|7|OK|CUST-6725|Ananya Rao|Home Office|East|Jharkhand|Ranchi|Technology|Accessories|Eco Accessories 933|Same Day|7|806.67|0.05|5364.36|4391.29|973.07|Paid|Completed</v>
      </c>
      <c r="Y630">
        <f>COUNTIF($X$2:$X$1000, X630)</f>
        <v>1</v>
      </c>
      <c r="Z630">
        <f>COUNTIF($A$2:$A$1000, A630)</f>
        <v>1</v>
      </c>
      <c r="AA630" t="str">
        <f>IF(Y630&gt;1, "Exact Duplicate",
  IF(Z630&gt;1, "Conflicting Duplicate - Review",
    "Unique"))</f>
        <v>Unique</v>
      </c>
      <c r="AB630" s="2">
        <f>IF(ISBLANK(R630), 0, IF(ISTEXT(R630), VALUE(SUBSTITUTE(R630, "%", ""))/100, IF(OR(R630&lt;0, R630&gt;1), "Invalid", R630)))</f>
        <v>0.05</v>
      </c>
      <c r="AC630" s="4">
        <f>IF(AB630="Invalid", "Error", P630 * Q630 * (1 - AB630))</f>
        <v>5364.3554999999997</v>
      </c>
      <c r="AD630" s="4">
        <f>IF(AC630="Error", "Error", AC630 - T630)</f>
        <v>973.0654999999997</v>
      </c>
      <c r="AE630" s="2">
        <f>IF(AC630="Error", "Error", IF(AC630=0, 0, AD630 / AC630))</f>
        <v>0.18139467080434915</v>
      </c>
      <c r="AF630" s="7">
        <f>C630-B630</f>
        <v>7</v>
      </c>
      <c r="AG630" s="2" t="str">
        <f>TEXT(B630, "mmmm")</f>
        <v>October</v>
      </c>
      <c r="AH630" s="4">
        <f>YEAR(B630)</f>
        <v>2025</v>
      </c>
      <c r="AI630" s="2" t="str">
        <f t="shared" si="23"/>
        <v>Clean</v>
      </c>
      <c r="AJ630">
        <f>COUNTIFS($A$2:$A$1000,A630,$B$2:$B$1000,B630,$C$2:$C$1000,C630,$D$2:$D$1000,D630,$E$2:$E$1000,E630,$F$2:$F$1000,F630)</f>
        <v>1</v>
      </c>
      <c r="AK630">
        <f>COUNTIF($A$2:$A$1000, A630)</f>
        <v>1</v>
      </c>
    </row>
    <row r="631" spans="1:37">
      <c r="A631" t="s">
        <v>1977</v>
      </c>
      <c r="B631" s="5">
        <v>45939</v>
      </c>
      <c r="C631" s="5">
        <v>45914</v>
      </c>
      <c r="D631" s="6">
        <f>IF(AND(C631&lt;&gt;"",B631&lt;&gt;""), C631-B631, "Missing Date")</f>
        <v>-25</v>
      </c>
      <c r="E631" s="6" t="str">
        <f>IF(OR(B631="",C631=""), "Missing Date",
    IF(C631&lt;B631, "Invalid: Ship before Order",
      "OK"))</f>
        <v>Invalid: Ship before Order</v>
      </c>
      <c r="F631" t="s">
        <v>1978</v>
      </c>
      <c r="G631" t="s">
        <v>53</v>
      </c>
      <c r="H631" t="s">
        <v>95</v>
      </c>
      <c r="I631" t="s">
        <v>63</v>
      </c>
      <c r="J631" t="s">
        <v>180</v>
      </c>
      <c r="K631" t="s">
        <v>181</v>
      </c>
      <c r="L631" t="s">
        <v>41</v>
      </c>
      <c r="M631" t="s">
        <v>42</v>
      </c>
      <c r="N631" t="s">
        <v>1979</v>
      </c>
      <c r="O631" t="s">
        <v>44</v>
      </c>
      <c r="P631">
        <v>3</v>
      </c>
      <c r="Q631">
        <v>4198.46</v>
      </c>
      <c r="R631">
        <v>0.15</v>
      </c>
      <c r="S631">
        <v>10706.07</v>
      </c>
      <c r="T631">
        <v>5927.1</v>
      </c>
      <c r="U631">
        <v>4778.97</v>
      </c>
      <c r="V631" t="s">
        <v>32</v>
      </c>
      <c r="W631" t="s">
        <v>33</v>
      </c>
      <c r="X631" t="str">
        <f>_xlfn.TEXTJOIN("|", TRUE, A631:W631)</f>
        <v>ORD-2025-10630|45939|45914|-25|Invalid: Ship before Order|CUST-3793|Arjun Bose|Home Office|West|Gujarat|Ahmedabad|Furniture|Tables|Max Tables 908|Same Day|3|4198.46|0.15|10706.07|5927.1|4778.97|Paid|Completed</v>
      </c>
      <c r="Y631">
        <f>COUNTIF($X$2:$X$1000, X631)</f>
        <v>1</v>
      </c>
      <c r="Z631">
        <f>COUNTIF($A$2:$A$1000, A631)</f>
        <v>1</v>
      </c>
      <c r="AA631" t="str">
        <f>IF(Y631&gt;1, "Exact Duplicate",
  IF(Z631&gt;1, "Conflicting Duplicate - Review",
    "Unique"))</f>
        <v>Unique</v>
      </c>
      <c r="AB631" s="2">
        <f>IF(ISBLANK(R631), 0, IF(ISTEXT(R631), VALUE(SUBSTITUTE(R631, "%", ""))/100, IF(OR(R631&lt;0, R631&gt;1), "Invalid", R631)))</f>
        <v>0.15</v>
      </c>
      <c r="AC631" s="4">
        <f>IF(AB631="Invalid", "Error", P631 * Q631 * (1 - AB631))</f>
        <v>10706.073</v>
      </c>
      <c r="AD631" s="4">
        <f>IF(AC631="Error", "Error", AC631 - T631)</f>
        <v>4778.973</v>
      </c>
      <c r="AE631" s="2">
        <f>IF(AC631="Error", "Error", IF(AC631=0, 0, AD631 / AC631))</f>
        <v>0.44637963892082555</v>
      </c>
      <c r="AF631" s="7">
        <f>C631-B631</f>
        <v>-25</v>
      </c>
      <c r="AG631" s="2" t="str">
        <f>TEXT(B631, "mmmm")</f>
        <v>October</v>
      </c>
      <c r="AH631" s="4">
        <f>YEAR(B631)</f>
        <v>2025</v>
      </c>
      <c r="AI631" s="2" t="str">
        <f t="shared" si="23"/>
        <v>Invalid Shipping Record</v>
      </c>
      <c r="AJ631">
        <f>COUNTIFS($A$2:$A$1000,A631,$B$2:$B$1000,B631,$C$2:$C$1000,C631,$D$2:$D$1000,D631,$E$2:$E$1000,E631,$F$2:$F$1000,F631)</f>
        <v>1</v>
      </c>
      <c r="AK631">
        <f>COUNTIF($A$2:$A$1000, A631)</f>
        <v>1</v>
      </c>
    </row>
    <row r="632" spans="1:37">
      <c r="A632" t="s">
        <v>1980</v>
      </c>
      <c r="B632" s="5">
        <v>45391</v>
      </c>
      <c r="C632" s="5">
        <v>45392</v>
      </c>
      <c r="D632" s="6">
        <f>IF(AND(C632&lt;&gt;"",B632&lt;&gt;""), C632-B632, "Missing Date")</f>
        <v>1</v>
      </c>
      <c r="E632" s="6" t="str">
        <f>IF(OR(B632="",C632=""), "Missing Date",
    IF(C632&lt;B632, "Invalid: Ship before Order",
      "OK"))</f>
        <v>OK</v>
      </c>
      <c r="F632" t="s">
        <v>1981</v>
      </c>
      <c r="G632" t="s">
        <v>114</v>
      </c>
      <c r="H632" t="s">
        <v>90</v>
      </c>
      <c r="I632" t="s">
        <v>38</v>
      </c>
      <c r="J632" t="s">
        <v>166</v>
      </c>
      <c r="K632" t="s">
        <v>167</v>
      </c>
      <c r="L632" t="s">
        <v>28</v>
      </c>
      <c r="M632" t="s">
        <v>29</v>
      </c>
      <c r="N632" t="s">
        <v>1982</v>
      </c>
      <c r="O632" t="s">
        <v>59</v>
      </c>
      <c r="P632">
        <v>4</v>
      </c>
      <c r="Q632">
        <v>3047.05</v>
      </c>
      <c r="R632">
        <v>0.1</v>
      </c>
      <c r="S632">
        <v>10969.38</v>
      </c>
      <c r="T632">
        <v>9254.4599999999991</v>
      </c>
      <c r="U632">
        <v>1714.92</v>
      </c>
      <c r="V632" t="s">
        <v>32</v>
      </c>
      <c r="W632" t="s">
        <v>33</v>
      </c>
      <c r="X632" t="str">
        <f>_xlfn.TEXTJOIN("|", TRUE, A632:W632)</f>
        <v>ORD-2024-10631|45391|45392|1|OK|CUST-6075|Priya Menon|Corporate|East|Assam|Guwahati|Office Supplies|Paper|Elite Paper 239|Standard Class|4|3047.05|0.1|10969.38|9254.46|1714.92|Paid|Completed</v>
      </c>
      <c r="Y632">
        <f>COUNTIF($X$2:$X$1000, X632)</f>
        <v>1</v>
      </c>
      <c r="Z632">
        <f>COUNTIF($A$2:$A$1000, A632)</f>
        <v>1</v>
      </c>
      <c r="AA632" t="str">
        <f>IF(Y632&gt;1, "Exact Duplicate",
  IF(Z632&gt;1, "Conflicting Duplicate - Review",
    "Unique"))</f>
        <v>Unique</v>
      </c>
      <c r="AB632" s="2">
        <f>IF(ISBLANK(R632), 0, IF(ISTEXT(R632), VALUE(SUBSTITUTE(R632, "%", ""))/100, IF(OR(R632&lt;0, R632&gt;1), "Invalid", R632)))</f>
        <v>0.1</v>
      </c>
      <c r="AC632" s="4">
        <f>IF(AB632="Invalid", "Error", P632 * Q632 * (1 - AB632))</f>
        <v>10969.380000000001</v>
      </c>
      <c r="AD632" s="4">
        <f>IF(AC632="Error", "Error", AC632 - T632)</f>
        <v>1714.9200000000019</v>
      </c>
      <c r="AE632" s="2">
        <f>IF(AC632="Error", "Error", IF(AC632=0, 0, AD632 / AC632))</f>
        <v>0.15633700354988173</v>
      </c>
      <c r="AF632" s="7">
        <f>C632-B632</f>
        <v>1</v>
      </c>
      <c r="AG632" s="2" t="str">
        <f>TEXT(B632, "mmmm")</f>
        <v>April</v>
      </c>
      <c r="AH632" s="4">
        <f>YEAR(B632)</f>
        <v>2024</v>
      </c>
      <c r="AI632" s="2" t="str">
        <f t="shared" si="23"/>
        <v>Clean</v>
      </c>
      <c r="AJ632">
        <f>COUNTIFS($A$2:$A$1000,A632,$B$2:$B$1000,B632,$C$2:$C$1000,C632,$D$2:$D$1000,D632,$E$2:$E$1000,E632,$F$2:$F$1000,F632)</f>
        <v>1</v>
      </c>
      <c r="AK632">
        <f>COUNTIF($A$2:$A$1000, A632)</f>
        <v>1</v>
      </c>
    </row>
    <row r="633" spans="1:37">
      <c r="A633" t="s">
        <v>1983</v>
      </c>
      <c r="B633" s="5">
        <v>45392</v>
      </c>
      <c r="C633" s="5">
        <v>45397</v>
      </c>
      <c r="D633" s="6">
        <f>IF(AND(C633&lt;&gt;"",B633&lt;&gt;""), C633-B633, "Missing Date")</f>
        <v>5</v>
      </c>
      <c r="E633" s="6" t="str">
        <f>IF(OR(B633="",C633=""), "Missing Date",
    IF(C633&lt;B633, "Invalid: Ship before Order",
      "OK"))</f>
        <v>OK</v>
      </c>
      <c r="F633" t="s">
        <v>1984</v>
      </c>
      <c r="G633" t="s">
        <v>128</v>
      </c>
      <c r="H633" t="s">
        <v>95</v>
      </c>
      <c r="I633" t="s">
        <v>63</v>
      </c>
      <c r="J633" t="s">
        <v>26</v>
      </c>
      <c r="K633" t="s">
        <v>109</v>
      </c>
      <c r="L633" t="s">
        <v>41</v>
      </c>
      <c r="M633" t="s">
        <v>66</v>
      </c>
      <c r="N633" t="s">
        <v>1985</v>
      </c>
      <c r="O633" t="s">
        <v>59</v>
      </c>
      <c r="P633">
        <v>8</v>
      </c>
      <c r="Q633">
        <v>4362.4799999999996</v>
      </c>
      <c r="R633">
        <v>0.1</v>
      </c>
      <c r="S633">
        <v>31409.86</v>
      </c>
      <c r="T633">
        <v>22523.54</v>
      </c>
      <c r="U633">
        <v>8886.32</v>
      </c>
      <c r="V633" t="s">
        <v>32</v>
      </c>
      <c r="W633" t="s">
        <v>33</v>
      </c>
      <c r="X633" t="str">
        <f>_xlfn.TEXTJOIN("|", TRUE, A633:W633)</f>
        <v>ORD-2024-10632|45392|45397|5|OK|CUST-6381|Aarav Sharma|Home Office|West|Rajasthan|Udaipur|Furniture|Chairs|Eco Chairs 452|Standard Class|8|4362.48|0.1|31409.86|22523.54|8886.32|Paid|Completed</v>
      </c>
      <c r="Y633">
        <f>COUNTIF($X$2:$X$1000, X633)</f>
        <v>1</v>
      </c>
      <c r="Z633">
        <f>COUNTIF($A$2:$A$1000, A633)</f>
        <v>1</v>
      </c>
      <c r="AA633" t="str">
        <f>IF(Y633&gt;1, "Exact Duplicate",
  IF(Z633&gt;1, "Conflicting Duplicate - Review",
    "Unique"))</f>
        <v>Unique</v>
      </c>
      <c r="AB633" s="2">
        <f>IF(ISBLANK(R633), 0, IF(ISTEXT(R633), VALUE(SUBSTITUTE(R633, "%", ""))/100, IF(OR(R633&lt;0, R633&gt;1), "Invalid", R633)))</f>
        <v>0.1</v>
      </c>
      <c r="AC633" s="4">
        <f>IF(AB633="Invalid", "Error", P633 * Q633 * (1 - AB633))</f>
        <v>31409.855999999996</v>
      </c>
      <c r="AD633" s="4">
        <f>IF(AC633="Error", "Error", AC633 - T633)</f>
        <v>8886.3159999999953</v>
      </c>
      <c r="AE633" s="2">
        <f>IF(AC633="Error", "Error", IF(AC633=0, 0, AD633 / AC633))</f>
        <v>0.2829148914277097</v>
      </c>
      <c r="AF633" s="7">
        <f>C633-B633</f>
        <v>5</v>
      </c>
      <c r="AG633" s="2" t="str">
        <f>TEXT(B633, "mmmm")</f>
        <v>April</v>
      </c>
      <c r="AH633" s="4">
        <f>YEAR(B633)</f>
        <v>2024</v>
      </c>
      <c r="AI633" s="2" t="str">
        <f t="shared" si="23"/>
        <v>Clean</v>
      </c>
      <c r="AJ633">
        <f>COUNTIFS($A$2:$A$1000,A633,$B$2:$B$1000,B633,$C$2:$C$1000,C633,$D$2:$D$1000,D633,$E$2:$E$1000,E633,$F$2:$F$1000,F633)</f>
        <v>1</v>
      </c>
      <c r="AK633">
        <f>COUNTIF($A$2:$A$1000, A633)</f>
        <v>1</v>
      </c>
    </row>
    <row r="634" spans="1:37">
      <c r="A634" t="s">
        <v>1986</v>
      </c>
      <c r="B634" s="5">
        <v>45762</v>
      </c>
      <c r="C634" s="5">
        <v>45763</v>
      </c>
      <c r="D634" s="6">
        <f>IF(AND(C634&lt;&gt;"",B634&lt;&gt;""), C634-B634, "Missing Date")</f>
        <v>1</v>
      </c>
      <c r="E634" s="6" t="str">
        <f>IF(OR(B634="",C634=""), "Missing Date",
    IF(C634&lt;B634, "Invalid: Ship before Order",
      "OK"))</f>
        <v>OK</v>
      </c>
      <c r="F634" t="s">
        <v>1987</v>
      </c>
      <c r="G634" t="s">
        <v>132</v>
      </c>
      <c r="H634" t="s">
        <v>37</v>
      </c>
      <c r="I634" t="s">
        <v>54</v>
      </c>
      <c r="J634" t="s">
        <v>175</v>
      </c>
      <c r="K634" t="s">
        <v>176</v>
      </c>
      <c r="L634" t="s">
        <v>41</v>
      </c>
      <c r="M634" t="s">
        <v>57</v>
      </c>
      <c r="N634" t="s">
        <v>1988</v>
      </c>
      <c r="O634" t="s">
        <v>50</v>
      </c>
      <c r="P634">
        <v>5</v>
      </c>
      <c r="Q634">
        <v>2850.53</v>
      </c>
      <c r="R634">
        <v>0</v>
      </c>
      <c r="S634">
        <v>14252.65</v>
      </c>
      <c r="T634">
        <v>11558.31</v>
      </c>
      <c r="U634">
        <v>2694.34</v>
      </c>
      <c r="V634" t="s">
        <v>32</v>
      </c>
      <c r="W634" t="s">
        <v>33</v>
      </c>
      <c r="X634" t="str">
        <f>_xlfn.TEXTJOIN("|", TRUE, A634:W634)</f>
        <v>ORD-2025-10633|45762|45763|1|OK|CUST-4593|Sneha Kapoor|Small Business|South|Karnataka|Bengaluru|Furniture|Furnishings|Smart Furnishings 721|First Class|5|2850.53|0|14252.65|11558.31|2694.34|Paid|Completed</v>
      </c>
      <c r="Y634">
        <f>COUNTIF($X$2:$X$1000, X634)</f>
        <v>1</v>
      </c>
      <c r="Z634">
        <f>COUNTIF($A$2:$A$1000, A634)</f>
        <v>2</v>
      </c>
      <c r="AA634" t="str">
        <f>IF(Y634&gt;1, "Exact Duplicate",
  IF(Z634&gt;1, "Conflicting Duplicate - Review",
    "Unique"))</f>
        <v>Conflicting Duplicate - Review</v>
      </c>
      <c r="AB634" s="2">
        <f>IF(ISBLANK(R634), 0, IF(ISTEXT(R634), VALUE(SUBSTITUTE(R634, "%", ""))/100, IF(OR(R634&lt;0, R634&gt;1), "Invalid", R634)))</f>
        <v>0</v>
      </c>
      <c r="AC634" s="4">
        <f>IF(AB634="Invalid", "Error", P634 * Q634 * (1 - AB634))</f>
        <v>14252.650000000001</v>
      </c>
      <c r="AD634" s="4">
        <f>IF(AC634="Error", "Error", AC634 - T634)</f>
        <v>2694.340000000002</v>
      </c>
      <c r="AE634" s="2">
        <f>IF(AC634="Error", "Error", IF(AC634=0, 0, AD634 / AC634))</f>
        <v>0.18904133617257154</v>
      </c>
      <c r="AF634" s="7">
        <f>C634-B634</f>
        <v>1</v>
      </c>
      <c r="AG634" s="2" t="str">
        <f>TEXT(B634, "mmmm")</f>
        <v>April</v>
      </c>
      <c r="AH634" s="4">
        <f>YEAR(B634)</f>
        <v>2025</v>
      </c>
      <c r="AI634" s="2" t="str">
        <f t="shared" si="23"/>
        <v>Clean</v>
      </c>
      <c r="AJ634">
        <f>COUNTIFS($A$2:$A$1000,A634,$B$2:$B$1000,B634,$C$2:$C$1000,C634,$D$2:$D$1000,D634,$E$2:$E$1000,E634,$F$2:$F$1000,F634)</f>
        <v>2</v>
      </c>
      <c r="AK634">
        <f>COUNTIF($A$2:$A$1000, A634)</f>
        <v>2</v>
      </c>
    </row>
    <row r="635" spans="1:37">
      <c r="A635" t="s">
        <v>1989</v>
      </c>
      <c r="B635" s="5">
        <v>45765</v>
      </c>
      <c r="C635" s="5">
        <v>45767</v>
      </c>
      <c r="D635" s="6">
        <f>IF(AND(C635&lt;&gt;"",B635&lt;&gt;""), C635-B635, "Missing Date")</f>
        <v>2</v>
      </c>
      <c r="E635" s="6" t="str">
        <f>IF(OR(B635="",C635=""), "Missing Date",
    IF(C635&lt;B635, "Invalid: Ship before Order",
      "OK"))</f>
        <v>OK</v>
      </c>
      <c r="F635" t="s">
        <v>1990</v>
      </c>
      <c r="G635" t="s">
        <v>128</v>
      </c>
      <c r="H635" t="s">
        <v>37</v>
      </c>
      <c r="I635" t="s">
        <v>54</v>
      </c>
      <c r="J635" t="s">
        <v>247</v>
      </c>
      <c r="K635" t="s">
        <v>248</v>
      </c>
      <c r="L635" t="s">
        <v>74</v>
      </c>
      <c r="M635" t="s">
        <v>75</v>
      </c>
      <c r="N635" t="s">
        <v>1991</v>
      </c>
      <c r="O635" t="s">
        <v>31</v>
      </c>
      <c r="P635">
        <v>1</v>
      </c>
      <c r="Q635">
        <v>1626.08</v>
      </c>
      <c r="R635">
        <v>0.15</v>
      </c>
      <c r="S635">
        <v>1382.17</v>
      </c>
      <c r="T635">
        <v>810.03</v>
      </c>
      <c r="U635">
        <v>572.14</v>
      </c>
      <c r="V635" t="s">
        <v>32</v>
      </c>
      <c r="W635" t="s">
        <v>33</v>
      </c>
      <c r="X635" t="str">
        <f>_xlfn.TEXTJOIN("|", TRUE, A635:W635)</f>
        <v>ORD-2025-10634|45765|45767|2|OK|CUST-5043|Aarav Sharma|Small Business|South|Tamil Nadu|Chennai|Technology|Accessories|Basic Accessories 729|Second Class|1|1626.08|0.15|1382.17|810.03|572.14|Paid|Completed</v>
      </c>
      <c r="Y635">
        <f>COUNTIF($X$2:$X$1000, X635)</f>
        <v>1</v>
      </c>
      <c r="Z635">
        <f>COUNTIF($A$2:$A$1000, A635)</f>
        <v>1</v>
      </c>
      <c r="AA635" t="str">
        <f>IF(Y635&gt;1, "Exact Duplicate",
  IF(Z635&gt;1, "Conflicting Duplicate - Review",
    "Unique"))</f>
        <v>Unique</v>
      </c>
      <c r="AB635" s="2">
        <f>IF(ISBLANK(R635), 0, IF(ISTEXT(R635), VALUE(SUBSTITUTE(R635, "%", ""))/100, IF(OR(R635&lt;0, R635&gt;1), "Invalid", R635)))</f>
        <v>0.15</v>
      </c>
      <c r="AC635" s="4">
        <f>IF(AB635="Invalid", "Error", P635 * Q635 * (1 - AB635))</f>
        <v>1382.1679999999999</v>
      </c>
      <c r="AD635" s="4">
        <f>IF(AC635="Error", "Error", AC635 - T635)</f>
        <v>572.13799999999992</v>
      </c>
      <c r="AE635" s="2">
        <f>IF(AC635="Error", "Error", IF(AC635=0, 0, AD635 / AC635))</f>
        <v>0.4139424440444287</v>
      </c>
      <c r="AF635" s="7">
        <f>C635-B635</f>
        <v>2</v>
      </c>
      <c r="AG635" s="2" t="str">
        <f>TEXT(B635, "mmmm")</f>
        <v>April</v>
      </c>
      <c r="AH635" s="4">
        <f>YEAR(B635)</f>
        <v>2025</v>
      </c>
      <c r="AI635" s="2" t="str">
        <f t="shared" si="23"/>
        <v>Clean</v>
      </c>
      <c r="AJ635">
        <f>COUNTIFS($A$2:$A$1000,A635,$B$2:$B$1000,B635,$C$2:$C$1000,C635,$D$2:$D$1000,D635,$E$2:$E$1000,E635,$F$2:$F$1000,F635)</f>
        <v>1</v>
      </c>
      <c r="AK635">
        <f>COUNTIF($A$2:$A$1000, A635)</f>
        <v>1</v>
      </c>
    </row>
    <row r="636" spans="1:37">
      <c r="A636" t="s">
        <v>1992</v>
      </c>
      <c r="B636" s="5">
        <v>45962</v>
      </c>
      <c r="C636" s="5">
        <v>45669</v>
      </c>
      <c r="D636" s="6">
        <f>IF(AND(C636&lt;&gt;"",B636&lt;&gt;""), C636-B636, "Missing Date")</f>
        <v>-293</v>
      </c>
      <c r="E636" s="6" t="str">
        <f>IF(OR(B636="",C636=""), "Missing Date",
    IF(C636&lt;B636, "Invalid: Ship before Order",
      "OK"))</f>
        <v>Invalid: Ship before Order</v>
      </c>
      <c r="F636" t="s">
        <v>1993</v>
      </c>
      <c r="G636" t="s">
        <v>89</v>
      </c>
      <c r="H636" t="s">
        <v>24</v>
      </c>
      <c r="I636" t="s">
        <v>54</v>
      </c>
      <c r="J636" t="s">
        <v>55</v>
      </c>
      <c r="K636" t="s">
        <v>56</v>
      </c>
      <c r="L636" t="s">
        <v>41</v>
      </c>
      <c r="M636" t="s">
        <v>66</v>
      </c>
      <c r="N636" t="s">
        <v>1994</v>
      </c>
      <c r="O636" t="s">
        <v>31</v>
      </c>
      <c r="P636">
        <v>4</v>
      </c>
      <c r="Q636">
        <v>2427.15</v>
      </c>
      <c r="R636">
        <v>0.05</v>
      </c>
      <c r="S636">
        <v>9223.17</v>
      </c>
      <c r="T636">
        <v>5103.7</v>
      </c>
      <c r="U636">
        <v>4119.47</v>
      </c>
      <c r="V636" t="s">
        <v>32</v>
      </c>
      <c r="W636" t="s">
        <v>33</v>
      </c>
      <c r="X636" t="str">
        <f>_xlfn.TEXTJOIN("|", TRUE, A636:W636)</f>
        <v>ORD-2025-10635|45962|45669|-293|Invalid: Ship before Order|CUST-4722|Aditi Sen|Consumer|South|Telangana|Hyderabad|Furniture|Chairs|Classic Chairs 220|Second Class|4|2427.15|0.05|9223.17|5103.7|4119.47|Paid|Completed</v>
      </c>
      <c r="Y636">
        <f>COUNTIF($X$2:$X$1000, X636)</f>
        <v>1</v>
      </c>
      <c r="Z636">
        <f>COUNTIF($A$2:$A$1000, A636)</f>
        <v>1</v>
      </c>
      <c r="AA636" t="str">
        <f>IF(Y636&gt;1, "Exact Duplicate",
  IF(Z636&gt;1, "Conflicting Duplicate - Review",
    "Unique"))</f>
        <v>Unique</v>
      </c>
      <c r="AB636" s="2">
        <f>IF(ISBLANK(R636), 0, IF(ISTEXT(R636), VALUE(SUBSTITUTE(R636, "%", ""))/100, IF(OR(R636&lt;0, R636&gt;1), "Invalid", R636)))</f>
        <v>0.05</v>
      </c>
      <c r="AC636" s="4">
        <f>IF(AB636="Invalid", "Error", P636 * Q636 * (1 - AB636))</f>
        <v>9223.17</v>
      </c>
      <c r="AD636" s="4">
        <f>IF(AC636="Error", "Error", AC636 - T636)</f>
        <v>4119.47</v>
      </c>
      <c r="AE636" s="2">
        <f>IF(AC636="Error", "Error", IF(AC636=0, 0, AD636 / AC636))</f>
        <v>0.44664361602355807</v>
      </c>
      <c r="AF636" s="7">
        <f>C636-B636</f>
        <v>-293</v>
      </c>
      <c r="AG636" s="2" t="str">
        <f>TEXT(B636, "mmmm")</f>
        <v>November</v>
      </c>
      <c r="AH636" s="4">
        <f>YEAR(B636)</f>
        <v>2025</v>
      </c>
      <c r="AI636" s="2" t="str">
        <f t="shared" si="23"/>
        <v>Invalid Shipping Record</v>
      </c>
      <c r="AJ636">
        <f>COUNTIFS($A$2:$A$1000,A636,$B$2:$B$1000,B636,$C$2:$C$1000,C636,$D$2:$D$1000,D636,$E$2:$E$1000,E636,$F$2:$F$1000,F636)</f>
        <v>1</v>
      </c>
      <c r="AK636">
        <f>COUNTIF($A$2:$A$1000, A636)</f>
        <v>1</v>
      </c>
    </row>
    <row r="637" spans="1:37">
      <c r="A637" t="s">
        <v>1995</v>
      </c>
      <c r="B637" s="5">
        <v>45432</v>
      </c>
      <c r="C637" s="5">
        <v>45437</v>
      </c>
      <c r="D637" s="6">
        <f>IF(AND(C637&lt;&gt;"",B637&lt;&gt;""), C637-B637, "Missing Date")</f>
        <v>5</v>
      </c>
      <c r="E637" s="6" t="str">
        <f>IF(OR(B637="",C637=""), "Missing Date",
    IF(C637&lt;B637, "Invalid: Ship before Order",
      "OK"))</f>
        <v>OK</v>
      </c>
      <c r="F637" t="s">
        <v>1996</v>
      </c>
      <c r="G637" t="s">
        <v>36</v>
      </c>
      <c r="H637" t="s">
        <v>90</v>
      </c>
      <c r="I637" t="s">
        <v>54</v>
      </c>
      <c r="J637" t="s">
        <v>84</v>
      </c>
      <c r="K637" t="s">
        <v>85</v>
      </c>
      <c r="L637" t="s">
        <v>41</v>
      </c>
      <c r="M637" t="s">
        <v>66</v>
      </c>
      <c r="N637" t="s">
        <v>1997</v>
      </c>
      <c r="O637" t="s">
        <v>44</v>
      </c>
      <c r="P637">
        <v>7</v>
      </c>
      <c r="Q637">
        <v>3122.85</v>
      </c>
      <c r="R637">
        <v>0.25</v>
      </c>
      <c r="S637">
        <v>16394.96</v>
      </c>
      <c r="T637">
        <v>10404.17</v>
      </c>
      <c r="U637">
        <v>5990.79</v>
      </c>
      <c r="V637" t="s">
        <v>32</v>
      </c>
      <c r="W637" t="s">
        <v>33</v>
      </c>
      <c r="X637" t="str">
        <f>_xlfn.TEXTJOIN("|", TRUE, A637:W637)</f>
        <v>ORD-2024-10636|45432|45437|5|OK|CUST-7931|Mira Das|Corporate|South|Andhra Pradesh|Vijayawada|Furniture|Chairs|Max Chairs 305|Same Day|7|3122.85|0.25|16394.96|10404.17|5990.79|Paid|Completed</v>
      </c>
      <c r="Y637">
        <f>COUNTIF($X$2:$X$1000, X637)</f>
        <v>1</v>
      </c>
      <c r="Z637">
        <f>COUNTIF($A$2:$A$1000, A637)</f>
        <v>1</v>
      </c>
      <c r="AA637" t="str">
        <f>IF(Y637&gt;1, "Exact Duplicate",
  IF(Z637&gt;1, "Conflicting Duplicate - Review",
    "Unique"))</f>
        <v>Unique</v>
      </c>
      <c r="AB637" s="2">
        <f>IF(ISBLANK(R637), 0, IF(ISTEXT(R637), VALUE(SUBSTITUTE(R637, "%", ""))/100, IF(OR(R637&lt;0, R637&gt;1), "Invalid", R637)))</f>
        <v>0.25</v>
      </c>
      <c r="AC637" s="4">
        <f>IF(AB637="Invalid", "Error", P637 * Q637 * (1 - AB637))</f>
        <v>16394.962500000001</v>
      </c>
      <c r="AD637" s="4">
        <f>IF(AC637="Error", "Error", AC637 - T637)</f>
        <v>5990.7925000000014</v>
      </c>
      <c r="AE637" s="2">
        <f>IF(AC637="Error", "Error", IF(AC637=0, 0, AD637 / AC637))</f>
        <v>0.36540446493854445</v>
      </c>
      <c r="AF637" s="7">
        <f>C637-B637</f>
        <v>5</v>
      </c>
      <c r="AG637" s="2" t="str">
        <f>TEXT(B637, "mmmm")</f>
        <v>May</v>
      </c>
      <c r="AH637" s="4">
        <f>YEAR(B637)</f>
        <v>2024</v>
      </c>
      <c r="AI637" s="2" t="str">
        <f t="shared" si="23"/>
        <v>Clean</v>
      </c>
      <c r="AJ637">
        <f>COUNTIFS($A$2:$A$1000,A637,$B$2:$B$1000,B637,$C$2:$C$1000,C637,$D$2:$D$1000,D637,$E$2:$E$1000,E637,$F$2:$F$1000,F637)</f>
        <v>1</v>
      </c>
      <c r="AK637">
        <f>COUNTIF($A$2:$A$1000, A637)</f>
        <v>1</v>
      </c>
    </row>
    <row r="638" spans="1:37">
      <c r="A638" t="s">
        <v>1998</v>
      </c>
      <c r="B638" s="5">
        <v>45567</v>
      </c>
      <c r="C638" s="5">
        <v>45574</v>
      </c>
      <c r="D638" s="6">
        <f>IF(AND(C638&lt;&gt;"",B638&lt;&gt;""), C638-B638, "Missing Date")</f>
        <v>7</v>
      </c>
      <c r="E638" s="6" t="str">
        <f>IF(OR(B638="",C638=""), "Missing Date",
    IF(C638&lt;B638, "Invalid: Ship before Order",
      "OK"))</f>
        <v>OK</v>
      </c>
      <c r="F638" t="s">
        <v>1999</v>
      </c>
      <c r="G638" t="s">
        <v>62</v>
      </c>
      <c r="H638" t="s">
        <v>24</v>
      </c>
      <c r="I638" t="s">
        <v>54</v>
      </c>
      <c r="J638" t="s">
        <v>247</v>
      </c>
      <c r="K638" t="s">
        <v>248</v>
      </c>
      <c r="L638" t="s">
        <v>28</v>
      </c>
      <c r="M638" t="s">
        <v>29</v>
      </c>
      <c r="N638" t="s">
        <v>2000</v>
      </c>
      <c r="O638" t="s">
        <v>59</v>
      </c>
      <c r="P638">
        <v>8</v>
      </c>
      <c r="Q638">
        <v>1910.31</v>
      </c>
      <c r="R638">
        <v>0.15</v>
      </c>
      <c r="S638">
        <v>12990.11</v>
      </c>
      <c r="T638">
        <v>10200.799999999999</v>
      </c>
      <c r="U638">
        <v>2789.31</v>
      </c>
      <c r="V638" t="s">
        <v>32</v>
      </c>
      <c r="W638" t="s">
        <v>33</v>
      </c>
      <c r="X638" t="str">
        <f>_xlfn.TEXTJOIN("|", TRUE, A638:W638)</f>
        <v>ORD-2024-10637|45567|45574|7|OK|CUST-7221|Ananya Rao|Consumer|South|Tamil Nadu|Chennai|Office Supplies|Paper|Smart Paper 872|Standard Class|8|1910.31|0.15|12990.11|10200.8|2789.31|Paid|Completed</v>
      </c>
      <c r="Y638">
        <f>COUNTIF($X$2:$X$1000, X638)</f>
        <v>1</v>
      </c>
      <c r="Z638">
        <f>COUNTIF($A$2:$A$1000, A638)</f>
        <v>1</v>
      </c>
      <c r="AA638" t="str">
        <f>IF(Y638&gt;1, "Exact Duplicate",
  IF(Z638&gt;1, "Conflicting Duplicate - Review",
    "Unique"))</f>
        <v>Unique</v>
      </c>
      <c r="AB638" s="2">
        <f>IF(ISBLANK(R638), 0, IF(ISTEXT(R638), VALUE(SUBSTITUTE(R638, "%", ""))/100, IF(OR(R638&lt;0, R638&gt;1), "Invalid", R638)))</f>
        <v>0.15</v>
      </c>
      <c r="AC638" s="4">
        <f>IF(AB638="Invalid", "Error", P638 * Q638 * (1 - AB638))</f>
        <v>12990.108</v>
      </c>
      <c r="AD638" s="4">
        <f>IF(AC638="Error", "Error", AC638 - T638)</f>
        <v>2789.3080000000009</v>
      </c>
      <c r="AE638" s="2">
        <f>IF(AC638="Error", "Error", IF(AC638=0, 0, AD638 / AC638))</f>
        <v>0.2147255434673831</v>
      </c>
      <c r="AF638" s="7">
        <f>C638-B638</f>
        <v>7</v>
      </c>
      <c r="AG638" s="2" t="str">
        <f>TEXT(B638, "mmmm")</f>
        <v>October</v>
      </c>
      <c r="AH638" s="4">
        <f>YEAR(B638)</f>
        <v>2024</v>
      </c>
      <c r="AI638" s="2" t="str">
        <f t="shared" si="23"/>
        <v>Clean</v>
      </c>
      <c r="AJ638">
        <f>COUNTIFS($A$2:$A$1000,A638,$B$2:$B$1000,B638,$C$2:$C$1000,C638,$D$2:$D$1000,D638,$E$2:$E$1000,E638,$F$2:$F$1000,F638)</f>
        <v>1</v>
      </c>
      <c r="AK638">
        <f>COUNTIF($A$2:$A$1000, A638)</f>
        <v>1</v>
      </c>
    </row>
    <row r="639" spans="1:37">
      <c r="A639" t="s">
        <v>2001</v>
      </c>
      <c r="B639" s="5">
        <v>45438</v>
      </c>
      <c r="C639" s="5">
        <v>45438</v>
      </c>
      <c r="D639" s="6">
        <f>IF(AND(C639&lt;&gt;"",B639&lt;&gt;""), C639-B639, "Missing Date")</f>
        <v>0</v>
      </c>
      <c r="E639" s="6" t="str">
        <f>IF(OR(B639="",C639=""), "Missing Date",
    IF(C639&lt;B639, "Invalid: Ship before Order",
      "OK"))</f>
        <v>OK</v>
      </c>
      <c r="F639" t="s">
        <v>2002</v>
      </c>
      <c r="G639" t="s">
        <v>118</v>
      </c>
      <c r="H639" t="s">
        <v>37</v>
      </c>
      <c r="I639" t="s">
        <v>63</v>
      </c>
      <c r="J639" t="s">
        <v>190</v>
      </c>
      <c r="K639" t="s">
        <v>191</v>
      </c>
      <c r="L639" t="s">
        <v>74</v>
      </c>
      <c r="M639" t="s">
        <v>80</v>
      </c>
      <c r="N639" t="s">
        <v>2003</v>
      </c>
      <c r="O639" t="s">
        <v>50</v>
      </c>
      <c r="P639">
        <v>2</v>
      </c>
      <c r="Q639">
        <v>3192.47</v>
      </c>
      <c r="R639">
        <v>0.2</v>
      </c>
      <c r="S639">
        <v>5107.95</v>
      </c>
      <c r="T639">
        <v>3133.08</v>
      </c>
      <c r="U639">
        <v>1974.87</v>
      </c>
      <c r="V639" t="s">
        <v>32</v>
      </c>
      <c r="W639" t="s">
        <v>33</v>
      </c>
      <c r="X639" t="str">
        <f>_xlfn.TEXTJOIN("|", TRUE, A639:W639)</f>
        <v>ORD-2024-10638|45438|45438|0|OK|CUST-2594|Rahul Verma|Small Business|West|Goa|Panaji|Technology|Copiers|Max Copiers 994|First Class|2|3192.47|0.2|5107.95|3133.08|1974.87|Paid|Completed</v>
      </c>
      <c r="Y639">
        <f>COUNTIF($X$2:$X$1000, X639)</f>
        <v>1</v>
      </c>
      <c r="Z639">
        <f>COUNTIF($A$2:$A$1000, A639)</f>
        <v>1</v>
      </c>
      <c r="AA639" t="str">
        <f>IF(Y639&gt;1, "Exact Duplicate",
  IF(Z639&gt;1, "Conflicting Duplicate - Review",
    "Unique"))</f>
        <v>Unique</v>
      </c>
      <c r="AB639" s="2">
        <f>IF(ISBLANK(R639), 0, IF(ISTEXT(R639), VALUE(SUBSTITUTE(R639, "%", ""))/100, IF(OR(R639&lt;0, R639&gt;1), "Invalid", R639)))</f>
        <v>0.2</v>
      </c>
      <c r="AC639" s="4">
        <f>IF(AB639="Invalid", "Error", P639 * Q639 * (1 - AB639))</f>
        <v>5107.9520000000002</v>
      </c>
      <c r="AD639" s="4">
        <f>IF(AC639="Error", "Error", AC639 - T639)</f>
        <v>1974.8720000000003</v>
      </c>
      <c r="AE639" s="2">
        <f>IF(AC639="Error", "Error", IF(AC639=0, 0, AD639 / AC639))</f>
        <v>0.38662696908663202</v>
      </c>
      <c r="AF639" s="7">
        <f>C639-B639</f>
        <v>0</v>
      </c>
      <c r="AG639" s="2" t="str">
        <f>TEXT(B639, "mmmm")</f>
        <v>May</v>
      </c>
      <c r="AH639" s="4">
        <f>YEAR(B639)</f>
        <v>2024</v>
      </c>
      <c r="AI639" s="2" t="str">
        <f t="shared" si="23"/>
        <v>Clean</v>
      </c>
      <c r="AJ639">
        <f>COUNTIFS($A$2:$A$1000,A639,$B$2:$B$1000,B639,$C$2:$C$1000,C639,$D$2:$D$1000,D639,$E$2:$E$1000,E639,$F$2:$F$1000,F639)</f>
        <v>1</v>
      </c>
      <c r="AK639">
        <f>COUNTIF($A$2:$A$1000, A639)</f>
        <v>1</v>
      </c>
    </row>
    <row r="640" spans="1:37">
      <c r="A640" t="s">
        <v>2004</v>
      </c>
      <c r="B640" s="5">
        <v>45317</v>
      </c>
      <c r="C640" s="5">
        <v>45322</v>
      </c>
      <c r="D640" s="6">
        <f>IF(AND(C640&lt;&gt;"",B640&lt;&gt;""), C640-B640, "Missing Date")</f>
        <v>5</v>
      </c>
      <c r="E640" s="6" t="str">
        <f>IF(OR(B640="",C640=""), "Missing Date",
    IF(C640&lt;B640, "Invalid: Ship before Order",
      "OK"))</f>
        <v>OK</v>
      </c>
      <c r="F640" t="s">
        <v>2005</v>
      </c>
      <c r="G640" t="s">
        <v>23</v>
      </c>
      <c r="H640" t="s">
        <v>90</v>
      </c>
      <c r="I640" t="s">
        <v>54</v>
      </c>
      <c r="J640" t="s">
        <v>185</v>
      </c>
      <c r="K640" t="s">
        <v>186</v>
      </c>
      <c r="L640" t="s">
        <v>28</v>
      </c>
      <c r="M640" t="s">
        <v>124</v>
      </c>
      <c r="N640" t="s">
        <v>2006</v>
      </c>
      <c r="O640" t="s">
        <v>31</v>
      </c>
      <c r="P640">
        <v>3</v>
      </c>
      <c r="Q640">
        <v>3224.32</v>
      </c>
      <c r="R640">
        <v>0.2</v>
      </c>
      <c r="S640">
        <v>7738.37</v>
      </c>
      <c r="T640">
        <v>4626.8500000000004</v>
      </c>
      <c r="U640">
        <v>3111.52</v>
      </c>
      <c r="V640" t="s">
        <v>155</v>
      </c>
      <c r="W640" t="s">
        <v>103</v>
      </c>
      <c r="X640" t="str">
        <f>_xlfn.TEXTJOIN("|", TRUE, A640:W640)</f>
        <v>ORD-2024-10639|45317|45322|5|OK|CUST-2111|Karan Malhotra|Corporate|South|Kerala|Kochi|Office Supplies|Storage|Pro Storage 744|Second Class|3|3224.32|0.2|7738.37|4626.85|3111.52|Failed|Returned</v>
      </c>
      <c r="Y640">
        <f>COUNTIF($X$2:$X$1000, X640)</f>
        <v>1</v>
      </c>
      <c r="Z640">
        <f>COUNTIF($A$2:$A$1000, A640)</f>
        <v>1</v>
      </c>
      <c r="AA640" t="str">
        <f>IF(Y640&gt;1, "Exact Duplicate",
  IF(Z640&gt;1, "Conflicting Duplicate - Review",
    "Unique"))</f>
        <v>Unique</v>
      </c>
      <c r="AB640" s="2">
        <f>IF(ISBLANK(R640), 0, IF(ISTEXT(R640), VALUE(SUBSTITUTE(R640, "%", ""))/100, IF(OR(R640&lt;0, R640&gt;1), "Invalid", R640)))</f>
        <v>0.2</v>
      </c>
      <c r="AC640" s="4">
        <f>IF(AB640="Invalid", "Error", P640 * Q640 * (1 - AB640))</f>
        <v>7738.3680000000013</v>
      </c>
      <c r="AD640" s="4">
        <f>IF(AC640="Error", "Error", AC640 - T640)</f>
        <v>3111.5180000000009</v>
      </c>
      <c r="AE640" s="2">
        <f>IF(AC640="Error", "Error", IF(AC640=0, 0, AD640 / AC640))</f>
        <v>0.40208969126306743</v>
      </c>
      <c r="AF640" s="7">
        <f>C640-B640</f>
        <v>5</v>
      </c>
      <c r="AG640" s="2" t="str">
        <f>TEXT(B640, "mmmm")</f>
        <v>January</v>
      </c>
      <c r="AH640" s="4">
        <f>YEAR(B640)</f>
        <v>2024</v>
      </c>
      <c r="AI640" s="2" t="str">
        <f t="shared" si="23"/>
        <v>Excluded from Sales</v>
      </c>
      <c r="AJ640">
        <f>COUNTIFS($A$2:$A$1000,A640,$B$2:$B$1000,B640,$C$2:$C$1000,C640,$D$2:$D$1000,D640,$E$2:$E$1000,E640,$F$2:$F$1000,F640)</f>
        <v>1</v>
      </c>
      <c r="AK640">
        <f>COUNTIF($A$2:$A$1000, A640)</f>
        <v>1</v>
      </c>
    </row>
    <row r="641" spans="1:37">
      <c r="A641" t="s">
        <v>2007</v>
      </c>
      <c r="B641" s="5">
        <v>45653</v>
      </c>
      <c r="C641" s="5">
        <v>45657</v>
      </c>
      <c r="D641" s="6">
        <f>IF(AND(C641&lt;&gt;"",B641&lt;&gt;""), C641-B641, "Missing Date")</f>
        <v>4</v>
      </c>
      <c r="E641" s="6" t="str">
        <f>IF(OR(B641="",C641=""), "Missing Date",
    IF(C641&lt;B641, "Invalid: Ship before Order",
      "OK"))</f>
        <v>OK</v>
      </c>
      <c r="F641" t="s">
        <v>2008</v>
      </c>
      <c r="G641" t="s">
        <v>47</v>
      </c>
      <c r="H641" t="s">
        <v>37</v>
      </c>
      <c r="I641" t="s">
        <v>38</v>
      </c>
      <c r="J641" t="s">
        <v>39</v>
      </c>
      <c r="K641" t="s">
        <v>40</v>
      </c>
      <c r="L641" t="s">
        <v>41</v>
      </c>
      <c r="M641" t="s">
        <v>66</v>
      </c>
      <c r="N641" t="s">
        <v>2009</v>
      </c>
      <c r="O641" t="s">
        <v>31</v>
      </c>
      <c r="P641">
        <v>1</v>
      </c>
      <c r="Q641">
        <v>1594.7</v>
      </c>
      <c r="R641">
        <v>0.05</v>
      </c>
      <c r="S641">
        <v>1514.96</v>
      </c>
      <c r="T641">
        <v>1046.17</v>
      </c>
      <c r="U641">
        <v>468.79</v>
      </c>
      <c r="V641" t="s">
        <v>32</v>
      </c>
      <c r="W641" t="s">
        <v>33</v>
      </c>
      <c r="X641" t="str">
        <f>_xlfn.TEXTJOIN("|", TRUE, A641:W641)</f>
        <v>ORD-2024-10640|45653|45657|4|OK|CUST-6829|Isha Nair|Small Business|East|Odisha|Bhubaneswar|Furniture|Chairs|Elite Chairs 744|Second Class|1|1594.7|0.05|1514.96|1046.17|468.79|Paid|Completed</v>
      </c>
      <c r="Y641">
        <f>COUNTIF($X$2:$X$1000, X641)</f>
        <v>1</v>
      </c>
      <c r="Z641">
        <f>COUNTIF($A$2:$A$1000, A641)</f>
        <v>1</v>
      </c>
      <c r="AA641" t="str">
        <f>IF(Y641&gt;1, "Exact Duplicate",
  IF(Z641&gt;1, "Conflicting Duplicate - Review",
    "Unique"))</f>
        <v>Unique</v>
      </c>
      <c r="AB641" s="2">
        <f>IF(ISBLANK(R641), 0, IF(ISTEXT(R641), VALUE(SUBSTITUTE(R641, "%", ""))/100, IF(OR(R641&lt;0, R641&gt;1), "Invalid", R641)))</f>
        <v>0.05</v>
      </c>
      <c r="AC641" s="4">
        <f>IF(AB641="Invalid", "Error", P641 * Q641 * (1 - AB641))</f>
        <v>1514.9649999999999</v>
      </c>
      <c r="AD641" s="4">
        <f>IF(AC641="Error", "Error", AC641 - T641)</f>
        <v>468.79499999999985</v>
      </c>
      <c r="AE641" s="2">
        <f>IF(AC641="Error", "Error", IF(AC641=0, 0, AD641 / AC641))</f>
        <v>0.3094427924077453</v>
      </c>
      <c r="AF641" s="7">
        <f>C641-B641</f>
        <v>4</v>
      </c>
      <c r="AG641" s="2" t="str">
        <f>TEXT(B641, "mmmm")</f>
        <v>December</v>
      </c>
      <c r="AH641" s="4">
        <f>YEAR(B641)</f>
        <v>2024</v>
      </c>
      <c r="AI641" s="2" t="str">
        <f t="shared" si="23"/>
        <v>Clean</v>
      </c>
      <c r="AJ641">
        <f>COUNTIFS($A$2:$A$1000,A641,$B$2:$B$1000,B641,$C$2:$C$1000,C641,$D$2:$D$1000,D641,$E$2:$E$1000,E641,$F$2:$F$1000,F641)</f>
        <v>1</v>
      </c>
      <c r="AK641">
        <f>COUNTIF($A$2:$A$1000, A641)</f>
        <v>1</v>
      </c>
    </row>
    <row r="642" spans="1:37">
      <c r="A642" t="s">
        <v>2010</v>
      </c>
      <c r="B642" s="5">
        <v>45671</v>
      </c>
      <c r="C642" s="5">
        <v>45674</v>
      </c>
      <c r="D642" s="6">
        <f>IF(AND(C642&lt;&gt;"",B642&lt;&gt;""), C642-B642, "Missing Date")</f>
        <v>3</v>
      </c>
      <c r="E642" s="6" t="str">
        <f>IF(OR(B642="",C642=""), "Missing Date",
    IF(C642&lt;B642, "Invalid: Ship before Order",
      "OK"))</f>
        <v>OK</v>
      </c>
      <c r="F642" t="s">
        <v>2011</v>
      </c>
      <c r="G642" t="s">
        <v>71</v>
      </c>
      <c r="H642" t="s">
        <v>24</v>
      </c>
      <c r="I642" t="s">
        <v>63</v>
      </c>
      <c r="J642" t="s">
        <v>190</v>
      </c>
      <c r="K642" t="s">
        <v>191</v>
      </c>
      <c r="L642" t="s">
        <v>28</v>
      </c>
      <c r="M642" t="s">
        <v>124</v>
      </c>
      <c r="N642" t="s">
        <v>2012</v>
      </c>
      <c r="O642" t="s">
        <v>50</v>
      </c>
      <c r="P642">
        <v>1</v>
      </c>
      <c r="Q642">
        <v>1584.12</v>
      </c>
      <c r="R642">
        <v>0.2</v>
      </c>
      <c r="S642">
        <v>1267.3</v>
      </c>
      <c r="T642">
        <v>923.53</v>
      </c>
      <c r="U642">
        <v>343.77</v>
      </c>
      <c r="V642" t="s">
        <v>32</v>
      </c>
      <c r="W642" t="s">
        <v>33</v>
      </c>
      <c r="X642" t="str">
        <f>_xlfn.TEXTJOIN("|", TRUE, A642:W642)</f>
        <v>ORD-2025-10641|45671|45674|3|OK|CUST-5061|Vikram Iyer|Consumer|West|Goa|Panaji|Office Supplies|Storage|Basic Storage 973|First Class|1|1584.12|0.2|1267.3|923.53|343.77|Paid|Completed</v>
      </c>
      <c r="Y642">
        <f>COUNTIF($X$2:$X$1000, X642)</f>
        <v>1</v>
      </c>
      <c r="Z642">
        <f>COUNTIF($A$2:$A$1000, A642)</f>
        <v>1</v>
      </c>
      <c r="AA642" t="str">
        <f>IF(Y642&gt;1, "Exact Duplicate",
  IF(Z642&gt;1, "Conflicting Duplicate - Review",
    "Unique"))</f>
        <v>Unique</v>
      </c>
      <c r="AB642" s="2">
        <f>IF(ISBLANK(R642), 0, IF(ISTEXT(R642), VALUE(SUBSTITUTE(R642, "%", ""))/100, IF(OR(R642&lt;0, R642&gt;1), "Invalid", R642)))</f>
        <v>0.2</v>
      </c>
      <c r="AC642" s="4">
        <f>IF(AB642="Invalid", "Error", P642 * Q642 * (1 - AB642))</f>
        <v>1267.296</v>
      </c>
      <c r="AD642" s="4">
        <f>IF(AC642="Error", "Error", AC642 - T642)</f>
        <v>343.76600000000008</v>
      </c>
      <c r="AE642" s="2">
        <f>IF(AC642="Error", "Error", IF(AC642=0, 0, AD642 / AC642))</f>
        <v>0.27125943741635739</v>
      </c>
      <c r="AF642" s="7">
        <f>C642-B642</f>
        <v>3</v>
      </c>
      <c r="AG642" s="2" t="str">
        <f>TEXT(B642, "mmmm")</f>
        <v>January</v>
      </c>
      <c r="AH642" s="4">
        <f>YEAR(B642)</f>
        <v>2025</v>
      </c>
      <c r="AI642" s="2" t="str">
        <f t="shared" si="23"/>
        <v>Clean</v>
      </c>
      <c r="AJ642">
        <f>COUNTIFS($A$2:$A$1000,A642,$B$2:$B$1000,B642,$C$2:$C$1000,C642,$D$2:$D$1000,D642,$E$2:$E$1000,E642,$F$2:$F$1000,F642)</f>
        <v>1</v>
      </c>
      <c r="AK642">
        <f>COUNTIF($A$2:$A$1000, A642)</f>
        <v>1</v>
      </c>
    </row>
    <row r="643" spans="1:37">
      <c r="A643" t="s">
        <v>2013</v>
      </c>
      <c r="B643" s="5">
        <v>45756</v>
      </c>
      <c r="C643" s="5">
        <v>45761</v>
      </c>
      <c r="D643" s="6">
        <f>IF(AND(C643&lt;&gt;"",B643&lt;&gt;""), C643-B643, "Missing Date")</f>
        <v>5</v>
      </c>
      <c r="E643" s="6" t="str">
        <f>IF(OR(B643="",C643=""), "Missing Date",
    IF(C643&lt;B643, "Invalid: Ship before Order",
      "OK"))</f>
        <v>OK</v>
      </c>
      <c r="F643" t="s">
        <v>2014</v>
      </c>
      <c r="G643" t="s">
        <v>23</v>
      </c>
      <c r="H643" t="s">
        <v>24</v>
      </c>
      <c r="I643" t="s">
        <v>25</v>
      </c>
      <c r="J643" t="s">
        <v>350</v>
      </c>
      <c r="K643" t="s">
        <v>351</v>
      </c>
      <c r="L643" t="s">
        <v>41</v>
      </c>
      <c r="M643" t="s">
        <v>57</v>
      </c>
      <c r="N643" t="s">
        <v>2015</v>
      </c>
      <c r="O643" t="s">
        <v>44</v>
      </c>
      <c r="P643">
        <v>2</v>
      </c>
      <c r="Q643">
        <v>3202.87</v>
      </c>
      <c r="R643">
        <v>0</v>
      </c>
      <c r="S643">
        <v>6405.74</v>
      </c>
      <c r="T643">
        <v>3561.87</v>
      </c>
      <c r="U643">
        <v>2843.87</v>
      </c>
      <c r="V643" t="s">
        <v>32</v>
      </c>
      <c r="W643" t="s">
        <v>33</v>
      </c>
      <c r="X643" t="str">
        <f>_xlfn.TEXTJOIN("|", TRUE, A643:W643)</f>
        <v>ORD-2025-10642|45756|45761|5|OK|CUST-7915|Karan Malhotra|Consumer|North|Delhi|New Delhi|Furniture|Furnishings|Smart Furnishings 783|Same Day|2|3202.87|0|6405.74|3561.87|2843.87|Paid|Completed</v>
      </c>
      <c r="Y643">
        <f>COUNTIF($X$2:$X$1000, X643)</f>
        <v>1</v>
      </c>
      <c r="Z643">
        <f>COUNTIF($A$2:$A$1000, A643)</f>
        <v>1</v>
      </c>
      <c r="AA643" t="str">
        <f>IF(Y643&gt;1, "Exact Duplicate",
  IF(Z643&gt;1, "Conflicting Duplicate - Review",
    "Unique"))</f>
        <v>Unique</v>
      </c>
      <c r="AB643" s="2">
        <f>IF(ISBLANK(R643), 0, IF(ISTEXT(R643), VALUE(SUBSTITUTE(R643, "%", ""))/100, IF(OR(R643&lt;0, R643&gt;1), "Invalid", R643)))</f>
        <v>0</v>
      </c>
      <c r="AC643" s="4">
        <f>IF(AB643="Invalid", "Error", P643 * Q643 * (1 - AB643))</f>
        <v>6405.74</v>
      </c>
      <c r="AD643" s="4">
        <f>IF(AC643="Error", "Error", AC643 - T643)</f>
        <v>2843.87</v>
      </c>
      <c r="AE643" s="2">
        <f>IF(AC643="Error", "Error", IF(AC643=0, 0, AD643 / AC643))</f>
        <v>0.44395651400150488</v>
      </c>
      <c r="AF643" s="7">
        <f>C643-B643</f>
        <v>5</v>
      </c>
      <c r="AG643" s="2" t="str">
        <f>TEXT(B643, "mmmm")</f>
        <v>April</v>
      </c>
      <c r="AH643" s="4">
        <f>YEAR(B643)</f>
        <v>2025</v>
      </c>
      <c r="AI643" s="2" t="str">
        <f t="shared" ref="AI643:AI706" si="24">IF(OR(R643&lt;0,R643&gt;1),"Invalid: Discount",
IF(AND(I643="Unknown",J643&lt;&gt;""),"Warning: Missing Region",
IF(W643="Cancelled","Excluded from Sales",
IF(V643="Failed","Excluded from Sales",
IF(O643="Unknown","Warning: Missing Shipping Mode",
IF(W643="Refunded","Refund – Separate Summary",
IF(C643&lt;B643,"Invalid Shipping Record",
"Clean")))))))</f>
        <v>Clean</v>
      </c>
      <c r="AJ643">
        <f>COUNTIFS($A$2:$A$1000,A643,$B$2:$B$1000,B643,$C$2:$C$1000,C643,$D$2:$D$1000,D643,$E$2:$E$1000,E643,$F$2:$F$1000,F643)</f>
        <v>1</v>
      </c>
      <c r="AK643">
        <f>COUNTIF($A$2:$A$1000, A643)</f>
        <v>1</v>
      </c>
    </row>
    <row r="644" spans="1:37">
      <c r="A644" t="s">
        <v>2016</v>
      </c>
      <c r="B644" s="5">
        <v>45533</v>
      </c>
      <c r="C644" s="5">
        <v>45535</v>
      </c>
      <c r="D644" s="6">
        <f>IF(AND(C644&lt;&gt;"",B644&lt;&gt;""), C644-B644, "Missing Date")</f>
        <v>2</v>
      </c>
      <c r="E644" s="6" t="str">
        <f>IF(OR(B644="",C644=""), "Missing Date",
    IF(C644&lt;B644, "Invalid: Ship before Order",
      "OK"))</f>
        <v>OK</v>
      </c>
      <c r="F644" t="s">
        <v>2017</v>
      </c>
      <c r="G644" t="s">
        <v>47</v>
      </c>
      <c r="H644" t="s">
        <v>95</v>
      </c>
      <c r="I644" t="s">
        <v>38</v>
      </c>
      <c r="J644" t="s">
        <v>166</v>
      </c>
      <c r="K644" t="s">
        <v>167</v>
      </c>
      <c r="L644" t="s">
        <v>28</v>
      </c>
      <c r="M644" t="s">
        <v>153</v>
      </c>
      <c r="N644" t="s">
        <v>2018</v>
      </c>
      <c r="O644" t="s">
        <v>31</v>
      </c>
      <c r="P644">
        <v>9</v>
      </c>
      <c r="Q644">
        <v>1275.21</v>
      </c>
      <c r="R644">
        <v>0.25</v>
      </c>
      <c r="S644">
        <v>8607.67</v>
      </c>
      <c r="T644">
        <v>5337.64</v>
      </c>
      <c r="U644">
        <v>3270.03</v>
      </c>
      <c r="V644" t="s">
        <v>155</v>
      </c>
      <c r="W644" t="s">
        <v>103</v>
      </c>
      <c r="X644" t="str">
        <f>_xlfn.TEXTJOIN("|", TRUE, A644:W644)</f>
        <v>ORD-2024-10643|45533|45535|2|OK|CUST-1940|Isha Nair|Home Office|East|Assam|Guwahati|Office Supplies|Binders|Prime Binders 287|Second Class|9|1275.21|0.25|8607.67|5337.64|3270.03|Failed|Returned</v>
      </c>
      <c r="Y644">
        <f>COUNTIF($X$2:$X$1000, X644)</f>
        <v>1</v>
      </c>
      <c r="Z644">
        <f>COUNTIF($A$2:$A$1000, A644)</f>
        <v>1</v>
      </c>
      <c r="AA644" t="str">
        <f>IF(Y644&gt;1, "Exact Duplicate",
  IF(Z644&gt;1, "Conflicting Duplicate - Review",
    "Unique"))</f>
        <v>Unique</v>
      </c>
      <c r="AB644" s="2">
        <f>IF(ISBLANK(R644), 0, IF(ISTEXT(R644), VALUE(SUBSTITUTE(R644, "%", ""))/100, IF(OR(R644&lt;0, R644&gt;1), "Invalid", R644)))</f>
        <v>0.25</v>
      </c>
      <c r="AC644" s="4">
        <f>IF(AB644="Invalid", "Error", P644 * Q644 * (1 - AB644))</f>
        <v>8607.6674999999996</v>
      </c>
      <c r="AD644" s="4">
        <f>IF(AC644="Error", "Error", AC644 - T644)</f>
        <v>3270.0274999999992</v>
      </c>
      <c r="AE644" s="2">
        <f>IF(AC644="Error", "Error", IF(AC644=0, 0, AD644 / AC644))</f>
        <v>0.37989705108846261</v>
      </c>
      <c r="AF644" s="7">
        <f>C644-B644</f>
        <v>2</v>
      </c>
      <c r="AG644" s="2" t="str">
        <f>TEXT(B644, "mmmm")</f>
        <v>August</v>
      </c>
      <c r="AH644" s="4">
        <f>YEAR(B644)</f>
        <v>2024</v>
      </c>
      <c r="AI644" s="2" t="str">
        <f t="shared" si="24"/>
        <v>Excluded from Sales</v>
      </c>
      <c r="AJ644">
        <f>COUNTIFS($A$2:$A$1000,A644,$B$2:$B$1000,B644,$C$2:$C$1000,C644,$D$2:$D$1000,D644,$E$2:$E$1000,E644,$F$2:$F$1000,F644)</f>
        <v>1</v>
      </c>
      <c r="AK644">
        <f>COUNTIF($A$2:$A$1000, A644)</f>
        <v>1</v>
      </c>
    </row>
    <row r="645" spans="1:37">
      <c r="A645" t="s">
        <v>2019</v>
      </c>
      <c r="B645" s="5">
        <v>45327</v>
      </c>
      <c r="C645" s="5">
        <v>45335</v>
      </c>
      <c r="D645" s="6">
        <f>IF(AND(C645&lt;&gt;"",B645&lt;&gt;""), C645-B645, "Missing Date")</f>
        <v>8</v>
      </c>
      <c r="E645" s="6" t="str">
        <f>IF(OR(B645="",C645=""), "Missing Date",
    IF(C645&lt;B645, "Invalid: Ship before Order",
      "OK"))</f>
        <v>OK</v>
      </c>
      <c r="F645" t="s">
        <v>720</v>
      </c>
      <c r="G645" t="s">
        <v>128</v>
      </c>
      <c r="H645" t="s">
        <v>95</v>
      </c>
      <c r="I645" t="s">
        <v>25</v>
      </c>
      <c r="J645" t="s">
        <v>136</v>
      </c>
      <c r="K645" t="s">
        <v>137</v>
      </c>
      <c r="L645" t="s">
        <v>28</v>
      </c>
      <c r="M645" t="s">
        <v>91</v>
      </c>
      <c r="N645" t="s">
        <v>2020</v>
      </c>
      <c r="O645" t="s">
        <v>59</v>
      </c>
      <c r="P645">
        <v>8</v>
      </c>
      <c r="Q645">
        <v>3871.18</v>
      </c>
      <c r="R645">
        <v>0.15</v>
      </c>
      <c r="S645">
        <v>26324.02</v>
      </c>
      <c r="T645">
        <v>16277.96</v>
      </c>
      <c r="U645">
        <v>10046.06</v>
      </c>
      <c r="V645" t="s">
        <v>155</v>
      </c>
      <c r="W645" t="s">
        <v>103</v>
      </c>
      <c r="X645" t="str">
        <f>_xlfn.TEXTJOIN("|", TRUE, A645:W645)</f>
        <v>ORD-2024-10644|45327|45335|8|OK|CUST-1986|Aarav Sharma|Home Office|North|Uttar Pradesh|Noida|Office Supplies|Labels|Elite Labels 654|Standard Class|8|3871.18|0.15|26324.02|16277.96|10046.06|Failed|Returned</v>
      </c>
      <c r="Y645">
        <f>COUNTIF($X$2:$X$1000, X645)</f>
        <v>1</v>
      </c>
      <c r="Z645">
        <f>COUNTIF($A$2:$A$1000, A645)</f>
        <v>1</v>
      </c>
      <c r="AA645" t="str">
        <f>IF(Y645&gt;1, "Exact Duplicate",
  IF(Z645&gt;1, "Conflicting Duplicate - Review",
    "Unique"))</f>
        <v>Unique</v>
      </c>
      <c r="AB645" s="2">
        <f>IF(ISBLANK(R645), 0, IF(ISTEXT(R645), VALUE(SUBSTITUTE(R645, "%", ""))/100, IF(OR(R645&lt;0, R645&gt;1), "Invalid", R645)))</f>
        <v>0.15</v>
      </c>
      <c r="AC645" s="4">
        <f>IF(AB645="Invalid", "Error", P645 * Q645 * (1 - AB645))</f>
        <v>26324.023999999998</v>
      </c>
      <c r="AD645" s="4">
        <f>IF(AC645="Error", "Error", AC645 - T645)</f>
        <v>10046.063999999998</v>
      </c>
      <c r="AE645" s="2">
        <f>IF(AC645="Error", "Error", IF(AC645=0, 0, AD645 / AC645))</f>
        <v>0.3816310150758106</v>
      </c>
      <c r="AF645" s="7">
        <f>C645-B645</f>
        <v>8</v>
      </c>
      <c r="AG645" s="2" t="str">
        <f>TEXT(B645, "mmmm")</f>
        <v>February</v>
      </c>
      <c r="AH645" s="4">
        <f>YEAR(B645)</f>
        <v>2024</v>
      </c>
      <c r="AI645" s="2" t="str">
        <f t="shared" si="24"/>
        <v>Excluded from Sales</v>
      </c>
      <c r="AJ645">
        <f>COUNTIFS($A$2:$A$1000,A645,$B$2:$B$1000,B645,$C$2:$C$1000,C645,$D$2:$D$1000,D645,$E$2:$E$1000,E645,$F$2:$F$1000,F645)</f>
        <v>1</v>
      </c>
      <c r="AK645">
        <f>COUNTIF($A$2:$A$1000, A645)</f>
        <v>1</v>
      </c>
    </row>
    <row r="646" spans="1:37">
      <c r="A646" t="s">
        <v>2021</v>
      </c>
      <c r="B646" s="5">
        <v>45757</v>
      </c>
      <c r="C646" s="5">
        <v>45764</v>
      </c>
      <c r="D646" s="6">
        <f>IF(AND(C646&lt;&gt;"",B646&lt;&gt;""), C646-B646, "Missing Date")</f>
        <v>7</v>
      </c>
      <c r="E646" s="6" t="str">
        <f>IF(OR(B646="",C646=""), "Missing Date",
    IF(C646&lt;B646, "Invalid: Ship before Order",
      "OK"))</f>
        <v>OK</v>
      </c>
      <c r="F646" t="s">
        <v>2022</v>
      </c>
      <c r="G646" t="s">
        <v>71</v>
      </c>
      <c r="H646" t="s">
        <v>24</v>
      </c>
      <c r="I646" t="s">
        <v>38</v>
      </c>
      <c r="J646" t="s">
        <v>99</v>
      </c>
      <c r="K646" t="s">
        <v>100</v>
      </c>
      <c r="L646" t="s">
        <v>41</v>
      </c>
      <c r="M646" t="s">
        <v>66</v>
      </c>
      <c r="N646" t="s">
        <v>2023</v>
      </c>
      <c r="O646" t="s">
        <v>59</v>
      </c>
      <c r="P646">
        <v>4</v>
      </c>
      <c r="Q646">
        <v>3750.02</v>
      </c>
      <c r="R646">
        <v>0.05</v>
      </c>
      <c r="S646">
        <v>14250.08</v>
      </c>
      <c r="T646">
        <v>10914.92</v>
      </c>
      <c r="U646">
        <v>3335.16</v>
      </c>
      <c r="V646" t="s">
        <v>32</v>
      </c>
      <c r="W646" t="s">
        <v>33</v>
      </c>
      <c r="X646" t="str">
        <f>_xlfn.TEXTJOIN("|", TRUE, A646:W646)</f>
        <v>ORD-2025-10645|45757|45764|7|OK|CUST-5549|Vikram Iyer|Consumer|East|West Bengal|Kolkata|Furniture|Chairs|Pro Chairs 812|Standard Class|4|3750.02|0.05|14250.08|10914.92|3335.16|Paid|Completed</v>
      </c>
      <c r="Y646">
        <f>COUNTIF($X$2:$X$1000, X646)</f>
        <v>1</v>
      </c>
      <c r="Z646">
        <f>COUNTIF($A$2:$A$1000, A646)</f>
        <v>1</v>
      </c>
      <c r="AA646" t="str">
        <f>IF(Y646&gt;1, "Exact Duplicate",
  IF(Z646&gt;1, "Conflicting Duplicate - Review",
    "Unique"))</f>
        <v>Unique</v>
      </c>
      <c r="AB646" s="2">
        <f>IF(ISBLANK(R646), 0, IF(ISTEXT(R646), VALUE(SUBSTITUTE(R646, "%", ""))/100, IF(OR(R646&lt;0, R646&gt;1), "Invalid", R646)))</f>
        <v>0.05</v>
      </c>
      <c r="AC646" s="4">
        <f>IF(AB646="Invalid", "Error", P646 * Q646 * (1 - AB646))</f>
        <v>14250.075999999999</v>
      </c>
      <c r="AD646" s="4">
        <f>IF(AC646="Error", "Error", AC646 - T646)</f>
        <v>3335.155999999999</v>
      </c>
      <c r="AE646" s="2">
        <f>IF(AC646="Error", "Error", IF(AC646=0, 0, AD646 / AC646))</f>
        <v>0.23404478684885605</v>
      </c>
      <c r="AF646" s="7">
        <f>C646-B646</f>
        <v>7</v>
      </c>
      <c r="AG646" s="2" t="str">
        <f>TEXT(B646, "mmmm")</f>
        <v>April</v>
      </c>
      <c r="AH646" s="4">
        <f>YEAR(B646)</f>
        <v>2025</v>
      </c>
      <c r="AI646" s="2" t="str">
        <f t="shared" si="24"/>
        <v>Clean</v>
      </c>
      <c r="AJ646">
        <f>COUNTIFS($A$2:$A$1000,A646,$B$2:$B$1000,B646,$C$2:$C$1000,C646,$D$2:$D$1000,D646,$E$2:$E$1000,E646,$F$2:$F$1000,F646)</f>
        <v>1</v>
      </c>
      <c r="AK646">
        <f>COUNTIF($A$2:$A$1000, A646)</f>
        <v>1</v>
      </c>
    </row>
    <row r="647" spans="1:37">
      <c r="A647" t="s">
        <v>2024</v>
      </c>
      <c r="B647" s="5">
        <v>45295</v>
      </c>
      <c r="C647" s="5">
        <v>45300</v>
      </c>
      <c r="D647" s="6">
        <f>IF(AND(C647&lt;&gt;"",B647&lt;&gt;""), C647-B647, "Missing Date")</f>
        <v>5</v>
      </c>
      <c r="E647" s="6" t="str">
        <f>IF(OR(B647="",C647=""), "Missing Date",
    IF(C647&lt;B647, "Invalid: Ship before Order",
      "OK"))</f>
        <v>OK</v>
      </c>
      <c r="F647" t="s">
        <v>2025</v>
      </c>
      <c r="G647" t="s">
        <v>264</v>
      </c>
      <c r="H647" t="s">
        <v>24</v>
      </c>
      <c r="I647" t="s">
        <v>38</v>
      </c>
      <c r="J647" t="s">
        <v>145</v>
      </c>
      <c r="K647" t="s">
        <v>146</v>
      </c>
      <c r="L647" t="s">
        <v>41</v>
      </c>
      <c r="M647" t="s">
        <v>66</v>
      </c>
      <c r="N647" t="s">
        <v>2026</v>
      </c>
      <c r="O647" t="s">
        <v>31</v>
      </c>
      <c r="P647">
        <v>6</v>
      </c>
      <c r="Q647">
        <v>2423.61</v>
      </c>
      <c r="R647">
        <v>0.1</v>
      </c>
      <c r="S647">
        <v>13087.49</v>
      </c>
      <c r="T647">
        <v>7608.89</v>
      </c>
      <c r="U647">
        <v>5133.22</v>
      </c>
      <c r="V647" t="s">
        <v>32</v>
      </c>
      <c r="W647" t="s">
        <v>33</v>
      </c>
      <c r="X647" t="str">
        <f>_xlfn.TEXTJOIN("|", TRUE, A647:W647)</f>
        <v>ORD-2024-10646|45295|45300|5|OK|CUST-2314|Kabir Singh|Consumer|East|Bihar|Patna|Furniture|Chairs|Basic Chairs 480|Second Class|6|2423.61|0.1|13087.49|7608.89|5133.22|Paid|Completed</v>
      </c>
      <c r="Y647">
        <f>COUNTIF($X$2:$X$1000, X647)</f>
        <v>1</v>
      </c>
      <c r="Z647">
        <f>COUNTIF($A$2:$A$1000, A647)</f>
        <v>1</v>
      </c>
      <c r="AA647" t="str">
        <f>IF(Y647&gt;1, "Exact Duplicate",
  IF(Z647&gt;1, "Conflicting Duplicate - Review",
    "Unique"))</f>
        <v>Unique</v>
      </c>
      <c r="AB647" s="2">
        <f>IF(ISBLANK(R647), 0, IF(ISTEXT(R647), VALUE(SUBSTITUTE(R647, "%", ""))/100, IF(OR(R647&lt;0, R647&gt;1), "Invalid", R647)))</f>
        <v>0.1</v>
      </c>
      <c r="AC647" s="4">
        <f>IF(AB647="Invalid", "Error", P647 * Q647 * (1 - AB647))</f>
        <v>13087.494000000001</v>
      </c>
      <c r="AD647" s="4">
        <f>IF(AC647="Error", "Error", AC647 - T647)</f>
        <v>5478.6040000000003</v>
      </c>
      <c r="AE647" s="2">
        <f>IF(AC647="Error", "Error", IF(AC647=0, 0, AD647 / AC647))</f>
        <v>0.41861367806548755</v>
      </c>
      <c r="AF647" s="7">
        <f>C647-B647</f>
        <v>5</v>
      </c>
      <c r="AG647" s="2" t="str">
        <f>TEXT(B647, "mmmm")</f>
        <v>January</v>
      </c>
      <c r="AH647" s="4">
        <f>YEAR(B647)</f>
        <v>2024</v>
      </c>
      <c r="AI647" s="2" t="str">
        <f t="shared" si="24"/>
        <v>Clean</v>
      </c>
      <c r="AJ647">
        <f>COUNTIFS($A$2:$A$1000,A647,$B$2:$B$1000,B647,$C$2:$C$1000,C647,$D$2:$D$1000,D647,$E$2:$E$1000,E647,$F$2:$F$1000,F647)</f>
        <v>1</v>
      </c>
      <c r="AK647">
        <f>COUNTIF($A$2:$A$1000, A647)</f>
        <v>1</v>
      </c>
    </row>
    <row r="648" spans="1:37">
      <c r="A648" t="s">
        <v>2027</v>
      </c>
      <c r="B648" s="5">
        <v>45553</v>
      </c>
      <c r="C648" s="5">
        <v>45559</v>
      </c>
      <c r="D648" s="6">
        <f>IF(AND(C648&lt;&gt;"",B648&lt;&gt;""), C648-B648, "Missing Date")</f>
        <v>6</v>
      </c>
      <c r="E648" s="6" t="str">
        <f>IF(OR(B648="",C648=""), "Missing Date",
    IF(C648&lt;B648, "Invalid: Ship before Order",
      "OK"))</f>
        <v>OK</v>
      </c>
      <c r="F648" t="s">
        <v>2028</v>
      </c>
      <c r="G648" t="s">
        <v>71</v>
      </c>
      <c r="H648" t="s">
        <v>37</v>
      </c>
      <c r="I648" t="s">
        <v>38</v>
      </c>
      <c r="J648" t="s">
        <v>228</v>
      </c>
      <c r="K648" t="s">
        <v>229</v>
      </c>
      <c r="L648" t="s">
        <v>74</v>
      </c>
      <c r="M648" t="s">
        <v>274</v>
      </c>
      <c r="N648" t="s">
        <v>2029</v>
      </c>
      <c r="O648" t="s">
        <v>50</v>
      </c>
      <c r="P648">
        <v>3</v>
      </c>
      <c r="Q648">
        <v>729.14</v>
      </c>
      <c r="R648">
        <v>0.25</v>
      </c>
      <c r="S648">
        <v>1640.57</v>
      </c>
      <c r="T648">
        <v>1136.98</v>
      </c>
      <c r="U648">
        <v>503.59</v>
      </c>
      <c r="V648" t="s">
        <v>32</v>
      </c>
      <c r="W648" t="s">
        <v>33</v>
      </c>
      <c r="X648" t="str">
        <f>_xlfn.TEXTJOIN("|", TRUE, A648:W648)</f>
        <v>ORD-2024-10647|45553|45559|6|OK|CUST-6360|Vikram Iyer|Small Business|East|Jharkhand|Ranchi|Technology|Machines|Elite Machines 955|First Class|3|729.14|0.25|1640.57|1136.98|503.59|Paid|Completed</v>
      </c>
      <c r="Y648">
        <f>COUNTIF($X$2:$X$1000, X648)</f>
        <v>1</v>
      </c>
      <c r="Z648">
        <f>COUNTIF($A$2:$A$1000, A648)</f>
        <v>1</v>
      </c>
      <c r="AA648" t="str">
        <f>IF(Y648&gt;1, "Exact Duplicate",
  IF(Z648&gt;1, "Conflicting Duplicate - Review",
    "Unique"))</f>
        <v>Unique</v>
      </c>
      <c r="AB648" s="2">
        <f>IF(ISBLANK(R648), 0, IF(ISTEXT(R648), VALUE(SUBSTITUTE(R648, "%", ""))/100, IF(OR(R648&lt;0, R648&gt;1), "Invalid", R648)))</f>
        <v>0.25</v>
      </c>
      <c r="AC648" s="4">
        <f>IF(AB648="Invalid", "Error", P648 * Q648 * (1 - AB648))</f>
        <v>1640.5650000000001</v>
      </c>
      <c r="AD648" s="4">
        <f>IF(AC648="Error", "Error", AC648 - T648)</f>
        <v>503.58500000000004</v>
      </c>
      <c r="AE648" s="2">
        <f>IF(AC648="Error", "Error", IF(AC648=0, 0, AD648 / AC648))</f>
        <v>0.30695827352162214</v>
      </c>
      <c r="AF648" s="7">
        <f>C648-B648</f>
        <v>6</v>
      </c>
      <c r="AG648" s="2" t="str">
        <f>TEXT(B648, "mmmm")</f>
        <v>September</v>
      </c>
      <c r="AH648" s="4">
        <f>YEAR(B648)</f>
        <v>2024</v>
      </c>
      <c r="AI648" s="2" t="str">
        <f t="shared" si="24"/>
        <v>Clean</v>
      </c>
      <c r="AJ648">
        <f>COUNTIFS($A$2:$A$1000,A648,$B$2:$B$1000,B648,$C$2:$C$1000,C648,$D$2:$D$1000,D648,$E$2:$E$1000,E648,$F$2:$F$1000,F648)</f>
        <v>1</v>
      </c>
      <c r="AK648">
        <f>COUNTIF($A$2:$A$1000, A648)</f>
        <v>1</v>
      </c>
    </row>
    <row r="649" spans="1:37">
      <c r="A649" t="s">
        <v>2030</v>
      </c>
      <c r="B649" s="5">
        <v>45658</v>
      </c>
      <c r="C649" s="5">
        <v>45666</v>
      </c>
      <c r="D649" s="6">
        <f>IF(AND(C649&lt;&gt;"",B649&lt;&gt;""), C649-B649, "Missing Date")</f>
        <v>8</v>
      </c>
      <c r="E649" s="6" t="str">
        <f>IF(OR(B649="",C649=""), "Missing Date",
    IF(C649&lt;B649, "Invalid: Ship before Order",
      "OK"))</f>
        <v>OK</v>
      </c>
      <c r="F649" t="s">
        <v>2031</v>
      </c>
      <c r="G649" t="s">
        <v>141</v>
      </c>
      <c r="H649" t="s">
        <v>37</v>
      </c>
      <c r="I649" t="s">
        <v>25</v>
      </c>
      <c r="J649" t="s">
        <v>122</v>
      </c>
      <c r="K649" t="s">
        <v>123</v>
      </c>
      <c r="L649" t="s">
        <v>28</v>
      </c>
      <c r="M649" t="s">
        <v>48</v>
      </c>
      <c r="N649" t="s">
        <v>2032</v>
      </c>
      <c r="O649" t="s">
        <v>50</v>
      </c>
      <c r="P649">
        <v>8</v>
      </c>
      <c r="Q649">
        <v>2123.81</v>
      </c>
      <c r="R649">
        <v>0.15</v>
      </c>
      <c r="S649">
        <v>14441.91</v>
      </c>
      <c r="T649">
        <v>10872.89</v>
      </c>
      <c r="U649">
        <v>3569.02</v>
      </c>
      <c r="V649" t="s">
        <v>32</v>
      </c>
      <c r="W649" t="s">
        <v>33</v>
      </c>
      <c r="X649" t="str">
        <f>_xlfn.TEXTJOIN("|", TRUE, A649:W649)</f>
        <v>ORD-2025-10648|45658|45666|8|OK|CUST-9942|Rohan Mehta|Small Business|North|Punjab|Ludhiana|Office Supplies|Art|Prime Art 461|First Class|8|2123.81|0.15|14441.91|10872.89|3569.02|Paid|Completed</v>
      </c>
      <c r="Y649">
        <f>COUNTIF($X$2:$X$1000, X649)</f>
        <v>1</v>
      </c>
      <c r="Z649">
        <f>COUNTIF($A$2:$A$1000, A649)</f>
        <v>1</v>
      </c>
      <c r="AA649" t="str">
        <f>IF(Y649&gt;1, "Exact Duplicate",
  IF(Z649&gt;1, "Conflicting Duplicate - Review",
    "Unique"))</f>
        <v>Unique</v>
      </c>
      <c r="AB649" s="2">
        <f>IF(ISBLANK(R649), 0, IF(ISTEXT(R649), VALUE(SUBSTITUTE(R649, "%", ""))/100, IF(OR(R649&lt;0, R649&gt;1), "Invalid", R649)))</f>
        <v>0.15</v>
      </c>
      <c r="AC649" s="4">
        <f>IF(AB649="Invalid", "Error", P649 * Q649 * (1 - AB649))</f>
        <v>14441.907999999999</v>
      </c>
      <c r="AD649" s="4">
        <f>IF(AC649="Error", "Error", AC649 - T649)</f>
        <v>3569.018</v>
      </c>
      <c r="AE649" s="2">
        <f>IF(AC649="Error", "Error", IF(AC649=0, 0, AD649 / AC649))</f>
        <v>0.24712925743606731</v>
      </c>
      <c r="AF649" s="7">
        <f>C649-B649</f>
        <v>8</v>
      </c>
      <c r="AG649" s="2" t="str">
        <f>TEXT(B649, "mmmm")</f>
        <v>January</v>
      </c>
      <c r="AH649" s="4">
        <f>YEAR(B649)</f>
        <v>2025</v>
      </c>
      <c r="AI649" s="2" t="str">
        <f t="shared" si="24"/>
        <v>Clean</v>
      </c>
      <c r="AJ649">
        <f>COUNTIFS($A$2:$A$1000,A649,$B$2:$B$1000,B649,$C$2:$C$1000,C649,$D$2:$D$1000,D649,$E$2:$E$1000,E649,$F$2:$F$1000,F649)</f>
        <v>1</v>
      </c>
      <c r="AK649">
        <f>COUNTIF($A$2:$A$1000, A649)</f>
        <v>1</v>
      </c>
    </row>
    <row r="650" spans="1:37">
      <c r="A650" t="s">
        <v>2033</v>
      </c>
      <c r="B650" s="5">
        <v>45403</v>
      </c>
      <c r="C650" s="5">
        <v>45406</v>
      </c>
      <c r="D650" s="6">
        <f>IF(AND(C650&lt;&gt;"",B650&lt;&gt;""), C650-B650, "Missing Date")</f>
        <v>3</v>
      </c>
      <c r="E650" s="6" t="str">
        <f>IF(OR(B650="",C650=""), "Missing Date",
    IF(C650&lt;B650, "Invalid: Ship before Order",
      "OK"))</f>
        <v>OK</v>
      </c>
      <c r="F650" t="s">
        <v>2034</v>
      </c>
      <c r="G650" t="s">
        <v>79</v>
      </c>
      <c r="H650" t="s">
        <v>37</v>
      </c>
      <c r="I650" t="s">
        <v>54</v>
      </c>
      <c r="J650" t="s">
        <v>84</v>
      </c>
      <c r="K650" t="s">
        <v>85</v>
      </c>
      <c r="L650" t="s">
        <v>28</v>
      </c>
      <c r="M650" t="s">
        <v>48</v>
      </c>
      <c r="N650" t="s">
        <v>2035</v>
      </c>
      <c r="O650" t="s">
        <v>44</v>
      </c>
      <c r="P650">
        <v>9</v>
      </c>
      <c r="Q650">
        <v>703.59</v>
      </c>
      <c r="R650">
        <v>0.2</v>
      </c>
      <c r="S650">
        <v>5065.8500000000004</v>
      </c>
      <c r="T650">
        <v>3517.23</v>
      </c>
      <c r="U650">
        <v>1548.62</v>
      </c>
      <c r="V650" t="s">
        <v>155</v>
      </c>
      <c r="W650" t="s">
        <v>103</v>
      </c>
      <c r="X650" t="str">
        <f>_xlfn.TEXTJOIN("|", TRUE, A650:W650)</f>
        <v>ORD-2024-10649|45403|45406|3|OK|CUST-1808|Neha Gupta|Small Business|South|Andhra Pradesh|Vijayawada|Office Supplies|Art|Prime Art 301|Same Day|9|703.59|0.2|5065.85|3517.23|1548.62|Failed|Returned</v>
      </c>
      <c r="Y650">
        <f>COUNTIF($X$2:$X$1000, X650)</f>
        <v>1</v>
      </c>
      <c r="Z650">
        <f>COUNTIF($A$2:$A$1000, A650)</f>
        <v>1</v>
      </c>
      <c r="AA650" t="str">
        <f>IF(Y650&gt;1, "Exact Duplicate",
  IF(Z650&gt;1, "Conflicting Duplicate - Review",
    "Unique"))</f>
        <v>Unique</v>
      </c>
      <c r="AB650" s="2">
        <f>IF(ISBLANK(R650), 0, IF(ISTEXT(R650), VALUE(SUBSTITUTE(R650, "%", ""))/100, IF(OR(R650&lt;0, R650&gt;1), "Invalid", R650)))</f>
        <v>0.2</v>
      </c>
      <c r="AC650" s="4">
        <f>IF(AB650="Invalid", "Error", P650 * Q650 * (1 - AB650))</f>
        <v>5065.8480000000009</v>
      </c>
      <c r="AD650" s="4">
        <f>IF(AC650="Error", "Error", AC650 - T650)</f>
        <v>1548.6180000000008</v>
      </c>
      <c r="AE650" s="2">
        <f>IF(AC650="Error", "Error", IF(AC650=0, 0, AD650 / AC650))</f>
        <v>0.30569768378364304</v>
      </c>
      <c r="AF650" s="7">
        <f>C650-B650</f>
        <v>3</v>
      </c>
      <c r="AG650" s="2" t="str">
        <f>TEXT(B650, "mmmm")</f>
        <v>April</v>
      </c>
      <c r="AH650" s="4">
        <f>YEAR(B650)</f>
        <v>2024</v>
      </c>
      <c r="AI650" s="2" t="str">
        <f t="shared" si="24"/>
        <v>Excluded from Sales</v>
      </c>
      <c r="AJ650">
        <f>COUNTIFS($A$2:$A$1000,A650,$B$2:$B$1000,B650,$C$2:$C$1000,C650,$D$2:$D$1000,D650,$E$2:$E$1000,E650,$F$2:$F$1000,F650)</f>
        <v>1</v>
      </c>
      <c r="AK650">
        <f>COUNTIF($A$2:$A$1000, A650)</f>
        <v>1</v>
      </c>
    </row>
    <row r="651" spans="1:37">
      <c r="A651" t="s">
        <v>2036</v>
      </c>
      <c r="B651" s="5">
        <v>45880</v>
      </c>
      <c r="C651" s="5">
        <v>45888</v>
      </c>
      <c r="D651" s="6">
        <f>IF(AND(C651&lt;&gt;"",B651&lt;&gt;""), C651-B651, "Missing Date")</f>
        <v>8</v>
      </c>
      <c r="E651" s="6" t="str">
        <f>IF(OR(B651="",C651=""), "Missing Date",
    IF(C651&lt;B651, "Invalid: Ship before Order",
      "OK"))</f>
        <v>OK</v>
      </c>
      <c r="F651" t="s">
        <v>2037</v>
      </c>
      <c r="G651" t="s">
        <v>264</v>
      </c>
      <c r="H651" t="s">
        <v>37</v>
      </c>
      <c r="I651" t="s">
        <v>54</v>
      </c>
      <c r="J651" t="s">
        <v>185</v>
      </c>
      <c r="K651" t="s">
        <v>186</v>
      </c>
      <c r="L651" t="s">
        <v>74</v>
      </c>
      <c r="M651" t="s">
        <v>75</v>
      </c>
      <c r="N651" t="s">
        <v>2038</v>
      </c>
      <c r="O651" t="s">
        <v>59</v>
      </c>
      <c r="P651">
        <v>4</v>
      </c>
      <c r="Q651">
        <v>2258.96</v>
      </c>
      <c r="R651">
        <v>0.25</v>
      </c>
      <c r="S651">
        <v>6776.88</v>
      </c>
      <c r="T651">
        <v>3836.24</v>
      </c>
      <c r="U651">
        <v>2940.64</v>
      </c>
      <c r="V651" t="s">
        <v>32</v>
      </c>
      <c r="W651" t="s">
        <v>33</v>
      </c>
      <c r="X651" t="str">
        <f>_xlfn.TEXTJOIN("|", TRUE, A651:W651)</f>
        <v>ORD-2025-10650|45880|45888|8|OK|CUST-7277|Kabir Singh|Small Business|South|Kerala|Kochi|Technology|Accessories|Classic Accessories 354|Standard Class|4|2258.96|0.25|6776.88|3836.24|2940.64|Paid|Completed</v>
      </c>
      <c r="Y651">
        <f>COUNTIF($X$2:$X$1000, X651)</f>
        <v>1</v>
      </c>
      <c r="Z651">
        <f>COUNTIF($A$2:$A$1000, A651)</f>
        <v>1</v>
      </c>
      <c r="AA651" t="str">
        <f>IF(Y651&gt;1, "Exact Duplicate",
  IF(Z651&gt;1, "Conflicting Duplicate - Review",
    "Unique"))</f>
        <v>Unique</v>
      </c>
      <c r="AB651" s="2">
        <f>IF(ISBLANK(R651), 0, IF(ISTEXT(R651), VALUE(SUBSTITUTE(R651, "%", ""))/100, IF(OR(R651&lt;0, R651&gt;1), "Invalid", R651)))</f>
        <v>0.25</v>
      </c>
      <c r="AC651" s="4">
        <f>IF(AB651="Invalid", "Error", P651 * Q651 * (1 - AB651))</f>
        <v>6776.88</v>
      </c>
      <c r="AD651" s="4">
        <f>IF(AC651="Error", "Error", AC651 - T651)</f>
        <v>2940.6400000000003</v>
      </c>
      <c r="AE651" s="2">
        <f>IF(AC651="Error", "Error", IF(AC651=0, 0, AD651 / AC651))</f>
        <v>0.43392239496641527</v>
      </c>
      <c r="AF651" s="7">
        <f>C651-B651</f>
        <v>8</v>
      </c>
      <c r="AG651" s="2" t="str">
        <f>TEXT(B651, "mmmm")</f>
        <v>August</v>
      </c>
      <c r="AH651" s="4">
        <f>YEAR(B651)</f>
        <v>2025</v>
      </c>
      <c r="AI651" s="2" t="str">
        <f t="shared" si="24"/>
        <v>Clean</v>
      </c>
      <c r="AJ651">
        <f>COUNTIFS($A$2:$A$1000,A651,$B$2:$B$1000,B651,$C$2:$C$1000,C651,$D$2:$D$1000,D651,$E$2:$E$1000,E651,$F$2:$F$1000,F651)</f>
        <v>1</v>
      </c>
      <c r="AK651">
        <f>COUNTIF($A$2:$A$1000, A651)</f>
        <v>1</v>
      </c>
    </row>
    <row r="652" spans="1:37">
      <c r="A652" t="s">
        <v>2039</v>
      </c>
      <c r="B652" s="5">
        <v>45395</v>
      </c>
      <c r="C652" s="5">
        <v>45403</v>
      </c>
      <c r="D652" s="6">
        <f>IF(AND(C652&lt;&gt;"",B652&lt;&gt;""), C652-B652, "Missing Date")</f>
        <v>8</v>
      </c>
      <c r="E652" s="6" t="str">
        <f>IF(OR(B652="",C652=""), "Missing Date",
    IF(C652&lt;B652, "Invalid: Ship before Order",
      "OK"))</f>
        <v>OK</v>
      </c>
      <c r="F652" t="s">
        <v>378</v>
      </c>
      <c r="G652" t="s">
        <v>128</v>
      </c>
      <c r="H652" t="s">
        <v>95</v>
      </c>
      <c r="I652" t="s">
        <v>38</v>
      </c>
      <c r="J652" t="s">
        <v>145</v>
      </c>
      <c r="K652" t="s">
        <v>146</v>
      </c>
      <c r="L652" t="s">
        <v>74</v>
      </c>
      <c r="M652" t="s">
        <v>75</v>
      </c>
      <c r="N652" t="s">
        <v>2040</v>
      </c>
      <c r="O652" t="s">
        <v>44</v>
      </c>
      <c r="P652">
        <v>7</v>
      </c>
      <c r="Q652">
        <v>2648.76</v>
      </c>
      <c r="R652">
        <v>0.15</v>
      </c>
      <c r="S652">
        <v>15760.12</v>
      </c>
      <c r="T652">
        <v>9931.5300000000007</v>
      </c>
      <c r="U652">
        <v>5828.59</v>
      </c>
      <c r="V652" t="s">
        <v>155</v>
      </c>
      <c r="W652" t="s">
        <v>103</v>
      </c>
      <c r="X652" t="str">
        <f>_xlfn.TEXTJOIN("|", TRUE, A652:W652)</f>
        <v>ORD-2024-10651|45395|45403|8|OK|CUST-7744|Aarav Sharma|Home Office|East|Bihar|Patna|Technology|Accessories|Basic Accessories 210|Same Day|7|2648.76|0.15|15760.12|9931.53|5828.59|Failed|Returned</v>
      </c>
      <c r="Y652">
        <f>COUNTIF($X$2:$X$1000, X652)</f>
        <v>1</v>
      </c>
      <c r="Z652">
        <f>COUNTIF($A$2:$A$1000, A652)</f>
        <v>1</v>
      </c>
      <c r="AA652" t="str">
        <f>IF(Y652&gt;1, "Exact Duplicate",
  IF(Z652&gt;1, "Conflicting Duplicate - Review",
    "Unique"))</f>
        <v>Unique</v>
      </c>
      <c r="AB652" s="2">
        <f>IF(ISBLANK(R652), 0, IF(ISTEXT(R652), VALUE(SUBSTITUTE(R652, "%", ""))/100, IF(OR(R652&lt;0, R652&gt;1), "Invalid", R652)))</f>
        <v>0.15</v>
      </c>
      <c r="AC652" s="4">
        <f>IF(AB652="Invalid", "Error", P652 * Q652 * (1 - AB652))</f>
        <v>15760.121999999999</v>
      </c>
      <c r="AD652" s="4">
        <f>IF(AC652="Error", "Error", AC652 - T652)</f>
        <v>5828.5919999999987</v>
      </c>
      <c r="AE652" s="2">
        <f>IF(AC652="Error", "Error", IF(AC652=0, 0, AD652 / AC652))</f>
        <v>0.36983165485647884</v>
      </c>
      <c r="AF652" s="7">
        <f>C652-B652</f>
        <v>8</v>
      </c>
      <c r="AG652" s="2" t="str">
        <f>TEXT(B652, "mmmm")</f>
        <v>April</v>
      </c>
      <c r="AH652" s="4">
        <f>YEAR(B652)</f>
        <v>2024</v>
      </c>
      <c r="AI652" s="2" t="str">
        <f t="shared" si="24"/>
        <v>Excluded from Sales</v>
      </c>
      <c r="AJ652">
        <f>COUNTIFS($A$2:$A$1000,A652,$B$2:$B$1000,B652,$C$2:$C$1000,C652,$D$2:$D$1000,D652,$E$2:$E$1000,E652,$F$2:$F$1000,F652)</f>
        <v>1</v>
      </c>
      <c r="AK652">
        <f>COUNTIF($A$2:$A$1000, A652)</f>
        <v>1</v>
      </c>
    </row>
    <row r="653" spans="1:37">
      <c r="A653" t="s">
        <v>2041</v>
      </c>
      <c r="B653" s="5">
        <v>45875</v>
      </c>
      <c r="C653" s="5">
        <v>45878</v>
      </c>
      <c r="D653" s="6">
        <f>IF(AND(C653&lt;&gt;"",B653&lt;&gt;""), C653-B653, "Missing Date")</f>
        <v>3</v>
      </c>
      <c r="E653" s="6" t="str">
        <f>IF(OR(B653="",C653=""), "Missing Date",
    IF(C653&lt;B653, "Invalid: Ship before Order",
      "OK"))</f>
        <v>OK</v>
      </c>
      <c r="F653" t="s">
        <v>2042</v>
      </c>
      <c r="G653" t="s">
        <v>36</v>
      </c>
      <c r="H653" t="s">
        <v>37</v>
      </c>
      <c r="I653" t="s">
        <v>54</v>
      </c>
      <c r="J653" t="s">
        <v>84</v>
      </c>
      <c r="K653" t="s">
        <v>85</v>
      </c>
      <c r="L653" t="s">
        <v>28</v>
      </c>
      <c r="M653" t="s">
        <v>29</v>
      </c>
      <c r="N653" t="s">
        <v>2043</v>
      </c>
      <c r="O653" t="s">
        <v>31</v>
      </c>
      <c r="P653">
        <v>3</v>
      </c>
      <c r="Q653">
        <v>598.54999999999995</v>
      </c>
      <c r="R653">
        <v>0</v>
      </c>
      <c r="S653">
        <v>1795.65</v>
      </c>
      <c r="T653">
        <v>996.72</v>
      </c>
      <c r="U653">
        <v>798.93</v>
      </c>
      <c r="V653" t="s">
        <v>32</v>
      </c>
      <c r="W653" t="s">
        <v>33</v>
      </c>
      <c r="X653" t="str">
        <f>_xlfn.TEXTJOIN("|", TRUE, A653:W653)</f>
        <v>ORD-2025-10652|45875|45878|3|OK|CUST-2660|Mira Das|Small Business|South|Andhra Pradesh|Vijayawada|Office Supplies|Paper|Smart Paper 364|Second Class|3|598.55|0|1795.65|996.72|798.93|Paid|Completed</v>
      </c>
      <c r="Y653">
        <f>COUNTIF($X$2:$X$1000, X653)</f>
        <v>1</v>
      </c>
      <c r="Z653">
        <f>COUNTIF($A$2:$A$1000, A653)</f>
        <v>1</v>
      </c>
      <c r="AA653" t="str">
        <f>IF(Y653&gt;1, "Exact Duplicate",
  IF(Z653&gt;1, "Conflicting Duplicate - Review",
    "Unique"))</f>
        <v>Unique</v>
      </c>
      <c r="AB653" s="2">
        <f>IF(ISBLANK(R653), 0, IF(ISTEXT(R653), VALUE(SUBSTITUTE(R653, "%", ""))/100, IF(OR(R653&lt;0, R653&gt;1), "Invalid", R653)))</f>
        <v>0</v>
      </c>
      <c r="AC653" s="4">
        <f>IF(AB653="Invalid", "Error", P653 * Q653 * (1 - AB653))</f>
        <v>1795.6499999999999</v>
      </c>
      <c r="AD653" s="4">
        <f>IF(AC653="Error", "Error", AC653 - T653)</f>
        <v>798.92999999999984</v>
      </c>
      <c r="AE653" s="2">
        <f>IF(AC653="Error", "Error", IF(AC653=0, 0, AD653 / AC653))</f>
        <v>0.44492523598696843</v>
      </c>
      <c r="AF653" s="7">
        <f>C653-B653</f>
        <v>3</v>
      </c>
      <c r="AG653" s="2" t="str">
        <f>TEXT(B653, "mmmm")</f>
        <v>August</v>
      </c>
      <c r="AH653" s="4">
        <f>YEAR(B653)</f>
        <v>2025</v>
      </c>
      <c r="AI653" s="2" t="str">
        <f t="shared" si="24"/>
        <v>Clean</v>
      </c>
      <c r="AJ653">
        <f>COUNTIFS($A$2:$A$1000,A653,$B$2:$B$1000,B653,$C$2:$C$1000,C653,$D$2:$D$1000,D653,$E$2:$E$1000,E653,$F$2:$F$1000,F653)</f>
        <v>1</v>
      </c>
      <c r="AK653">
        <f>COUNTIF($A$2:$A$1000, A653)</f>
        <v>1</v>
      </c>
    </row>
    <row r="654" spans="1:37">
      <c r="A654" t="s">
        <v>2044</v>
      </c>
      <c r="B654" s="5">
        <v>45733</v>
      </c>
      <c r="C654" s="5">
        <v>45737</v>
      </c>
      <c r="D654" s="6">
        <f>IF(AND(C654&lt;&gt;"",B654&lt;&gt;""), C654-B654, "Missing Date")</f>
        <v>4</v>
      </c>
      <c r="E654" s="6" t="str">
        <f>IF(OR(B654="",C654=""), "Missing Date",
    IF(C654&lt;B654, "Invalid: Ship before Order",
      "OK"))</f>
        <v>OK</v>
      </c>
      <c r="F654" t="s">
        <v>1688</v>
      </c>
      <c r="G654" t="s">
        <v>132</v>
      </c>
      <c r="H654" t="s">
        <v>24</v>
      </c>
      <c r="I654" t="s">
        <v>25</v>
      </c>
      <c r="J654" t="s">
        <v>136</v>
      </c>
      <c r="K654" t="s">
        <v>137</v>
      </c>
      <c r="L654" t="s">
        <v>28</v>
      </c>
      <c r="M654" t="s">
        <v>153</v>
      </c>
      <c r="N654" t="s">
        <v>2045</v>
      </c>
      <c r="O654" t="s">
        <v>59</v>
      </c>
      <c r="P654">
        <v>5</v>
      </c>
      <c r="Q654">
        <v>4320.59</v>
      </c>
      <c r="R654">
        <v>0.15</v>
      </c>
      <c r="S654">
        <v>18362.509999999998</v>
      </c>
      <c r="T654">
        <v>11133.97</v>
      </c>
      <c r="U654">
        <v>7228.54</v>
      </c>
      <c r="V654" t="s">
        <v>32</v>
      </c>
      <c r="W654" t="s">
        <v>33</v>
      </c>
      <c r="X654" t="str">
        <f>_xlfn.TEXTJOIN("|", TRUE, A654:W654)</f>
        <v>ORD-2025-10653|45733|45737|4|OK|CUST-8177|Sneha Kapoor|Consumer|North|Uttar Pradesh|Noida|Office Supplies|Binders|Smart Binders 999|Standard Class|5|4320.59|0.15|18362.51|11133.97|7228.54|Paid|Completed</v>
      </c>
      <c r="Y654">
        <f>COUNTIF($X$2:$X$1000, X654)</f>
        <v>1</v>
      </c>
      <c r="Z654">
        <f>COUNTIF($A$2:$A$1000, A654)</f>
        <v>1</v>
      </c>
      <c r="AA654" t="str">
        <f>IF(Y654&gt;1, "Exact Duplicate",
  IF(Z654&gt;1, "Conflicting Duplicate - Review",
    "Unique"))</f>
        <v>Unique</v>
      </c>
      <c r="AB654" s="2">
        <f>IF(ISBLANK(R654), 0, IF(ISTEXT(R654), VALUE(SUBSTITUTE(R654, "%", ""))/100, IF(OR(R654&lt;0, R654&gt;1), "Invalid", R654)))</f>
        <v>0.15</v>
      </c>
      <c r="AC654" s="4">
        <f>IF(AB654="Invalid", "Error", P654 * Q654 * (1 - AB654))</f>
        <v>18362.5075</v>
      </c>
      <c r="AD654" s="4">
        <f>IF(AC654="Error", "Error", AC654 - T654)</f>
        <v>7228.5375000000004</v>
      </c>
      <c r="AE654" s="2">
        <f>IF(AC654="Error", "Error", IF(AC654=0, 0, AD654 / AC654))</f>
        <v>0.39365742941153326</v>
      </c>
      <c r="AF654" s="7">
        <f>C654-B654</f>
        <v>4</v>
      </c>
      <c r="AG654" s="2" t="str">
        <f>TEXT(B654, "mmmm")</f>
        <v>March</v>
      </c>
      <c r="AH654" s="4">
        <f>YEAR(B654)</f>
        <v>2025</v>
      </c>
      <c r="AI654" s="2" t="str">
        <f t="shared" si="24"/>
        <v>Clean</v>
      </c>
      <c r="AJ654">
        <f>COUNTIFS($A$2:$A$1000,A654,$B$2:$B$1000,B654,$C$2:$C$1000,C654,$D$2:$D$1000,D654,$E$2:$E$1000,E654,$F$2:$F$1000,F654)</f>
        <v>1</v>
      </c>
      <c r="AK654">
        <f>COUNTIF($A$2:$A$1000, A654)</f>
        <v>1</v>
      </c>
    </row>
    <row r="655" spans="1:37">
      <c r="A655" t="s">
        <v>2046</v>
      </c>
      <c r="B655" s="5">
        <v>45751</v>
      </c>
      <c r="C655" s="5">
        <v>45842</v>
      </c>
      <c r="D655" s="6">
        <f>IF(AND(C655&lt;&gt;"",B655&lt;&gt;""), C655-B655, "Missing Date")</f>
        <v>91</v>
      </c>
      <c r="E655" s="6" t="str">
        <f>IF(OR(B655="",C655=""), "Missing Date",
    IF(C655&lt;B655, "Invalid: Ship before Order",
      "OK"))</f>
        <v>OK</v>
      </c>
      <c r="F655" t="s">
        <v>2047</v>
      </c>
      <c r="G655" t="s">
        <v>114</v>
      </c>
      <c r="H655" t="s">
        <v>37</v>
      </c>
      <c r="I655" t="s">
        <v>54</v>
      </c>
      <c r="J655" t="s">
        <v>247</v>
      </c>
      <c r="K655" t="s">
        <v>248</v>
      </c>
      <c r="L655" t="s">
        <v>74</v>
      </c>
      <c r="M655" t="s">
        <v>80</v>
      </c>
      <c r="N655" t="s">
        <v>2048</v>
      </c>
      <c r="O655" t="s">
        <v>31</v>
      </c>
      <c r="P655">
        <v>7</v>
      </c>
      <c r="Q655">
        <v>4457.93</v>
      </c>
      <c r="R655">
        <v>0.15</v>
      </c>
      <c r="S655">
        <v>26524.68</v>
      </c>
      <c r="T655">
        <v>20574.3</v>
      </c>
      <c r="U655">
        <v>5950.38</v>
      </c>
      <c r="V655" t="s">
        <v>32</v>
      </c>
      <c r="W655" t="s">
        <v>33</v>
      </c>
      <c r="X655" t="str">
        <f>_xlfn.TEXTJOIN("|", TRUE, A655:W655)</f>
        <v>ORD-2025-10654|45751|45842|91|OK|CUST-3970|Priya Menon|Small Business|South|Tamil Nadu|Chennai|Technology|Copiers|Max Copiers 356|Second Class|7|4457.93|0.15|26524.68|20574.3|5950.38|Paid|Completed</v>
      </c>
      <c r="Y655">
        <f>COUNTIF($X$2:$X$1000, X655)</f>
        <v>1</v>
      </c>
      <c r="Z655">
        <f>COUNTIF($A$2:$A$1000, A655)</f>
        <v>1</v>
      </c>
      <c r="AA655" t="str">
        <f>IF(Y655&gt;1, "Exact Duplicate",
  IF(Z655&gt;1, "Conflicting Duplicate - Review",
    "Unique"))</f>
        <v>Unique</v>
      </c>
      <c r="AB655" s="2">
        <f>IF(ISBLANK(R655), 0, IF(ISTEXT(R655), VALUE(SUBSTITUTE(R655, "%", ""))/100, IF(OR(R655&lt;0, R655&gt;1), "Invalid", R655)))</f>
        <v>0.15</v>
      </c>
      <c r="AC655" s="4">
        <f>IF(AB655="Invalid", "Error", P655 * Q655 * (1 - AB655))</f>
        <v>26524.683500000003</v>
      </c>
      <c r="AD655" s="4">
        <f>IF(AC655="Error", "Error", AC655 - T655)</f>
        <v>5950.3835000000036</v>
      </c>
      <c r="AE655" s="2">
        <f>IF(AC655="Error", "Error", IF(AC655=0, 0, AD655 / AC655))</f>
        <v>0.22433381721595294</v>
      </c>
      <c r="AF655" s="7">
        <f>C655-B655</f>
        <v>91</v>
      </c>
      <c r="AG655" s="2" t="str">
        <f>TEXT(B655, "mmmm")</f>
        <v>April</v>
      </c>
      <c r="AH655" s="4">
        <f>YEAR(B655)</f>
        <v>2025</v>
      </c>
      <c r="AI655" s="2" t="str">
        <f t="shared" si="24"/>
        <v>Clean</v>
      </c>
      <c r="AJ655">
        <f>COUNTIFS($A$2:$A$1000,A655,$B$2:$B$1000,B655,$C$2:$C$1000,C655,$D$2:$D$1000,D655,$E$2:$E$1000,E655,$F$2:$F$1000,F655)</f>
        <v>1</v>
      </c>
      <c r="AK655">
        <f>COUNTIF($A$2:$A$1000, A655)</f>
        <v>1</v>
      </c>
    </row>
    <row r="656" spans="1:37">
      <c r="A656" t="s">
        <v>2049</v>
      </c>
      <c r="B656" s="5">
        <v>46001</v>
      </c>
      <c r="C656" s="5">
        <v>45946</v>
      </c>
      <c r="D656" s="6">
        <f>IF(AND(C656&lt;&gt;"",B656&lt;&gt;""), C656-B656, "Missing Date")</f>
        <v>-55</v>
      </c>
      <c r="E656" s="6" t="str">
        <f>IF(OR(B656="",C656=""), "Missing Date",
    IF(C656&lt;B656, "Invalid: Ship before Order",
      "OK"))</f>
        <v>Invalid: Ship before Order</v>
      </c>
      <c r="F656" t="s">
        <v>926</v>
      </c>
      <c r="G656" t="s">
        <v>162</v>
      </c>
      <c r="H656" t="s">
        <v>90</v>
      </c>
      <c r="I656" t="s">
        <v>38</v>
      </c>
      <c r="J656" t="s">
        <v>145</v>
      </c>
      <c r="K656" t="s">
        <v>146</v>
      </c>
      <c r="L656" t="s">
        <v>74</v>
      </c>
      <c r="M656" t="s">
        <v>274</v>
      </c>
      <c r="N656" t="s">
        <v>2050</v>
      </c>
      <c r="O656" t="s">
        <v>44</v>
      </c>
      <c r="P656">
        <v>1</v>
      </c>
      <c r="Q656">
        <v>2570.06</v>
      </c>
      <c r="R656">
        <v>0.2</v>
      </c>
      <c r="S656">
        <v>2056.0500000000002</v>
      </c>
      <c r="T656">
        <v>1662.39</v>
      </c>
      <c r="U656">
        <v>393.66</v>
      </c>
      <c r="V656" t="s">
        <v>32</v>
      </c>
      <c r="W656" t="s">
        <v>33</v>
      </c>
      <c r="X656" t="str">
        <f>_xlfn.TEXTJOIN("|", TRUE, A656:W656)</f>
        <v>ORD-2025-10655|46001|45946|-55|Invalid: Ship before Order|CUST-8249|Diya Patel|Corporate|East|Bihar|Patna|Technology|Machines|Classic Machines 639|Same Day|1|2570.06|0.2|2056.05|1662.39|393.66|Paid|Completed</v>
      </c>
      <c r="Y656">
        <f>COUNTIF($X$2:$X$1000, X656)</f>
        <v>1</v>
      </c>
      <c r="Z656">
        <f>COUNTIF($A$2:$A$1000, A656)</f>
        <v>1</v>
      </c>
      <c r="AA656" t="str">
        <f>IF(Y656&gt;1, "Exact Duplicate",
  IF(Z656&gt;1, "Conflicting Duplicate - Review",
    "Unique"))</f>
        <v>Unique</v>
      </c>
      <c r="AB656" s="2">
        <f>IF(ISBLANK(R656), 0, IF(ISTEXT(R656), VALUE(SUBSTITUTE(R656, "%", ""))/100, IF(OR(R656&lt;0, R656&gt;1), "Invalid", R656)))</f>
        <v>0.2</v>
      </c>
      <c r="AC656" s="4">
        <f>IF(AB656="Invalid", "Error", P656 * Q656 * (1 - AB656))</f>
        <v>2056.0480000000002</v>
      </c>
      <c r="AD656" s="4">
        <f>IF(AC656="Error", "Error", AC656 - T656)</f>
        <v>393.65800000000013</v>
      </c>
      <c r="AE656" s="2">
        <f>IF(AC656="Error", "Error", IF(AC656=0, 0, AD656 / AC656))</f>
        <v>0.19146342886936496</v>
      </c>
      <c r="AF656" s="7">
        <f>C656-B656</f>
        <v>-55</v>
      </c>
      <c r="AG656" s="2" t="str">
        <f>TEXT(B656, "mmmm")</f>
        <v>December</v>
      </c>
      <c r="AH656" s="4">
        <f>YEAR(B656)</f>
        <v>2025</v>
      </c>
      <c r="AI656" s="2" t="str">
        <f t="shared" si="24"/>
        <v>Invalid Shipping Record</v>
      </c>
      <c r="AJ656">
        <f>COUNTIFS($A$2:$A$1000,A656,$B$2:$B$1000,B656,$C$2:$C$1000,C656,$D$2:$D$1000,D656,$E$2:$E$1000,E656,$F$2:$F$1000,F656)</f>
        <v>1</v>
      </c>
      <c r="AK656">
        <f>COUNTIF($A$2:$A$1000, A656)</f>
        <v>1</v>
      </c>
    </row>
    <row r="657" spans="1:37">
      <c r="A657" t="s">
        <v>2051</v>
      </c>
      <c r="B657" s="5">
        <v>45895</v>
      </c>
      <c r="C657" s="5">
        <v>45895</v>
      </c>
      <c r="D657" s="6">
        <f>IF(AND(C657&lt;&gt;"",B657&lt;&gt;""), C657-B657, "Missing Date")</f>
        <v>0</v>
      </c>
      <c r="E657" s="6" t="str">
        <f>IF(OR(B657="",C657=""), "Missing Date",
    IF(C657&lt;B657, "Invalid: Ship before Order",
      "OK"))</f>
        <v>OK</v>
      </c>
      <c r="F657" t="s">
        <v>2052</v>
      </c>
      <c r="G657" t="s">
        <v>79</v>
      </c>
      <c r="H657" t="s">
        <v>95</v>
      </c>
      <c r="I657" t="s">
        <v>38</v>
      </c>
      <c r="J657" t="s">
        <v>99</v>
      </c>
      <c r="K657" t="s">
        <v>100</v>
      </c>
      <c r="L657" t="s">
        <v>41</v>
      </c>
      <c r="M657" t="s">
        <v>57</v>
      </c>
      <c r="N657" t="s">
        <v>2053</v>
      </c>
      <c r="O657" t="s">
        <v>59</v>
      </c>
      <c r="P657">
        <v>4</v>
      </c>
      <c r="Q657">
        <v>2151.8200000000002</v>
      </c>
      <c r="R657">
        <v>0</v>
      </c>
      <c r="S657">
        <v>8607.2800000000007</v>
      </c>
      <c r="T657">
        <v>5124.01</v>
      </c>
      <c r="U657">
        <v>3483.27</v>
      </c>
      <c r="V657" t="s">
        <v>32</v>
      </c>
      <c r="W657" t="s">
        <v>33</v>
      </c>
      <c r="X657" t="str">
        <f>_xlfn.TEXTJOIN("|", TRUE, A657:W657)</f>
        <v>ORD-2025-10656|45895|45895|0|OK|CUST-8039|Neha Gupta|Home Office|East|West Bengal|Kolkata|Furniture|Furnishings|Smart Furnishings 748|Standard Class|4|2151.82|0|8607.28|5124.01|3483.27|Paid|Completed</v>
      </c>
      <c r="Y657">
        <f>COUNTIF($X$2:$X$1000, X657)</f>
        <v>1</v>
      </c>
      <c r="Z657">
        <f>COUNTIF($A$2:$A$1000, A657)</f>
        <v>1</v>
      </c>
      <c r="AA657" t="str">
        <f>IF(Y657&gt;1, "Exact Duplicate",
  IF(Z657&gt;1, "Conflicting Duplicate - Review",
    "Unique"))</f>
        <v>Unique</v>
      </c>
      <c r="AB657" s="2">
        <f>IF(ISBLANK(R657), 0, IF(ISTEXT(R657), VALUE(SUBSTITUTE(R657, "%", ""))/100, IF(OR(R657&lt;0, R657&gt;1), "Invalid", R657)))</f>
        <v>0</v>
      </c>
      <c r="AC657" s="4">
        <f>IF(AB657="Invalid", "Error", P657 * Q657 * (1 - AB657))</f>
        <v>8607.2800000000007</v>
      </c>
      <c r="AD657" s="4">
        <f>IF(AC657="Error", "Error", AC657 - T657)</f>
        <v>3483.2700000000004</v>
      </c>
      <c r="AE657" s="2">
        <f>IF(AC657="Error", "Error", IF(AC657=0, 0, AD657 / AC657))</f>
        <v>0.40468882155570635</v>
      </c>
      <c r="AF657" s="7">
        <f>C657-B657</f>
        <v>0</v>
      </c>
      <c r="AG657" s="2" t="str">
        <f>TEXT(B657, "mmmm")</f>
        <v>August</v>
      </c>
      <c r="AH657" s="4">
        <f>YEAR(B657)</f>
        <v>2025</v>
      </c>
      <c r="AI657" s="2" t="str">
        <f t="shared" si="24"/>
        <v>Clean</v>
      </c>
      <c r="AJ657">
        <f>COUNTIFS($A$2:$A$1000,A657,$B$2:$B$1000,B657,$C$2:$C$1000,C657,$D$2:$D$1000,D657,$E$2:$E$1000,E657,$F$2:$F$1000,F657)</f>
        <v>1</v>
      </c>
      <c r="AK657">
        <f>COUNTIF($A$2:$A$1000, A657)</f>
        <v>1</v>
      </c>
    </row>
    <row r="658" spans="1:37">
      <c r="A658" t="s">
        <v>2054</v>
      </c>
      <c r="B658" s="5">
        <v>45419</v>
      </c>
      <c r="C658" s="5">
        <v>45426</v>
      </c>
      <c r="D658" s="6">
        <f>IF(AND(C658&lt;&gt;"",B658&lt;&gt;""), C658-B658, "Missing Date")</f>
        <v>7</v>
      </c>
      <c r="E658" s="6" t="str">
        <f>IF(OR(B658="",C658=""), "Missing Date",
    IF(C658&lt;B658, "Invalid: Ship before Order",
      "OK"))</f>
        <v>OK</v>
      </c>
      <c r="F658" t="s">
        <v>2055</v>
      </c>
      <c r="G658" t="s">
        <v>79</v>
      </c>
      <c r="H658" t="s">
        <v>37</v>
      </c>
      <c r="I658" t="s">
        <v>25</v>
      </c>
      <c r="J658" t="s">
        <v>236</v>
      </c>
      <c r="K658" t="s">
        <v>237</v>
      </c>
      <c r="L658" t="s">
        <v>74</v>
      </c>
      <c r="M658" t="s">
        <v>274</v>
      </c>
      <c r="N658" t="s">
        <v>2056</v>
      </c>
      <c r="O658" t="s">
        <v>44</v>
      </c>
      <c r="P658">
        <v>4</v>
      </c>
      <c r="Q658">
        <v>2751.1</v>
      </c>
      <c r="R658">
        <v>-0.05</v>
      </c>
      <c r="S658">
        <v>9903.9599999999991</v>
      </c>
      <c r="T658">
        <v>7696.28</v>
      </c>
      <c r="U658">
        <v>2207.6799999999998</v>
      </c>
      <c r="V658" t="s">
        <v>32</v>
      </c>
      <c r="W658" t="s">
        <v>33</v>
      </c>
      <c r="X658" t="str">
        <f>_xlfn.TEXTJOIN("|", TRUE, A658:W658)</f>
        <v>ORD-2024-10657|45419|45426|7|OK|CUST-4446|Neha Gupta|Small Business|North|Haryana|Gurugram|Technology|Machines|Pro Machines 589|Same Day|4|2751.1|-0.05|9903.96|7696.28|2207.68|Paid|Completed</v>
      </c>
      <c r="Y658">
        <f>COUNTIF($X$2:$X$1000, X658)</f>
        <v>1</v>
      </c>
      <c r="Z658">
        <f>COUNTIF($A$2:$A$1000, A658)</f>
        <v>1</v>
      </c>
      <c r="AA658" t="str">
        <f>IF(Y658&gt;1, "Exact Duplicate",
  IF(Z658&gt;1, "Conflicting Duplicate - Review",
    "Unique"))</f>
        <v>Unique</v>
      </c>
      <c r="AB658" s="2" t="str">
        <f>IF(ISBLANK(R658), 0, IF(ISTEXT(R658), VALUE(SUBSTITUTE(R658, "%", ""))/100, IF(OR(R658&lt;0, R658&gt;1), "Invalid", R658)))</f>
        <v>Invalid</v>
      </c>
      <c r="AC658" s="4" t="str">
        <f>IF(AB658="Invalid", "Error", P658 * Q658 * (1 - AB658))</f>
        <v>Error</v>
      </c>
      <c r="AD658" s="4" t="str">
        <f>IF(AC658="Error", "Error", AC658 - T658)</f>
        <v>Error</v>
      </c>
      <c r="AE658" s="2" t="str">
        <f>IF(AC658="Error", "Error", IF(AC658=0, 0, AD658 / AC658))</f>
        <v>Error</v>
      </c>
      <c r="AF658" s="7">
        <f>C658-B658</f>
        <v>7</v>
      </c>
      <c r="AG658" s="2" t="str">
        <f>TEXT(B658, "mmmm")</f>
        <v>May</v>
      </c>
      <c r="AH658" s="4">
        <f>YEAR(B658)</f>
        <v>2024</v>
      </c>
      <c r="AI658" s="2" t="str">
        <f t="shared" si="24"/>
        <v>Invalid: Discount</v>
      </c>
      <c r="AJ658">
        <f>COUNTIFS($A$2:$A$1000,A658,$B$2:$B$1000,B658,$C$2:$C$1000,C658,$D$2:$D$1000,D658,$E$2:$E$1000,E658,$F$2:$F$1000,F658)</f>
        <v>1</v>
      </c>
      <c r="AK658">
        <f>COUNTIF($A$2:$A$1000, A658)</f>
        <v>1</v>
      </c>
    </row>
    <row r="659" spans="1:37">
      <c r="A659" t="s">
        <v>2057</v>
      </c>
      <c r="B659" s="5">
        <v>45846</v>
      </c>
      <c r="C659" s="5">
        <v>45879</v>
      </c>
      <c r="D659" s="6">
        <f>IF(AND(C659&lt;&gt;"",B659&lt;&gt;""), C659-B659, "Missing Date")</f>
        <v>33</v>
      </c>
      <c r="E659" s="6" t="str">
        <f>IF(OR(B659="",C659=""), "Missing Date",
    IF(C659&lt;B659, "Invalid: Ship before Order",
      "OK"))</f>
        <v>OK</v>
      </c>
      <c r="F659" t="s">
        <v>2058</v>
      </c>
      <c r="G659" t="s">
        <v>89</v>
      </c>
      <c r="H659" t="s">
        <v>95</v>
      </c>
      <c r="I659" t="s">
        <v>38</v>
      </c>
      <c r="J659" t="s">
        <v>145</v>
      </c>
      <c r="K659" t="s">
        <v>146</v>
      </c>
      <c r="L659" t="s">
        <v>28</v>
      </c>
      <c r="M659" t="s">
        <v>124</v>
      </c>
      <c r="N659" t="s">
        <v>2059</v>
      </c>
      <c r="O659" t="s">
        <v>31</v>
      </c>
      <c r="P659">
        <v>1</v>
      </c>
      <c r="Q659">
        <v>2541.25</v>
      </c>
      <c r="R659">
        <v>0.2</v>
      </c>
      <c r="S659">
        <v>2033</v>
      </c>
      <c r="T659">
        <v>1291.4100000000001</v>
      </c>
      <c r="U659">
        <v>741.59</v>
      </c>
      <c r="V659" t="s">
        <v>32</v>
      </c>
      <c r="W659" t="s">
        <v>33</v>
      </c>
      <c r="X659" t="str">
        <f>_xlfn.TEXTJOIN("|", TRUE, A659:W659)</f>
        <v>ORD-2025-10658|45846|45879|33|OK|CUST-7787|Aditi Sen|Home Office|East|Bihar|Patna|Office Supplies|Storage|Eco Storage 316|Second Class|1|2541.25|0.2|2033|1291.41|741.59|Paid|Completed</v>
      </c>
      <c r="Y659">
        <f>COUNTIF($X$2:$X$1000, X659)</f>
        <v>1</v>
      </c>
      <c r="Z659">
        <f>COUNTIF($A$2:$A$1000, A659)</f>
        <v>1</v>
      </c>
      <c r="AA659" t="str">
        <f>IF(Y659&gt;1, "Exact Duplicate",
  IF(Z659&gt;1, "Conflicting Duplicate - Review",
    "Unique"))</f>
        <v>Unique</v>
      </c>
      <c r="AB659" s="2">
        <f>IF(ISBLANK(R659), 0, IF(ISTEXT(R659), VALUE(SUBSTITUTE(R659, "%", ""))/100, IF(OR(R659&lt;0, R659&gt;1), "Invalid", R659)))</f>
        <v>0.2</v>
      </c>
      <c r="AC659" s="4">
        <f>IF(AB659="Invalid", "Error", P659 * Q659 * (1 - AB659))</f>
        <v>2033</v>
      </c>
      <c r="AD659" s="4">
        <f>IF(AC659="Error", "Error", AC659 - T659)</f>
        <v>741.58999999999992</v>
      </c>
      <c r="AE659" s="2">
        <f>IF(AC659="Error", "Error", IF(AC659=0, 0, AD659 / AC659))</f>
        <v>0.36477619281849477</v>
      </c>
      <c r="AF659" s="7">
        <f>C659-B659</f>
        <v>33</v>
      </c>
      <c r="AG659" s="2" t="str">
        <f>TEXT(B659, "mmmm")</f>
        <v>July</v>
      </c>
      <c r="AH659" s="4">
        <f>YEAR(B659)</f>
        <v>2025</v>
      </c>
      <c r="AI659" s="2" t="str">
        <f t="shared" si="24"/>
        <v>Clean</v>
      </c>
      <c r="AJ659">
        <f>COUNTIFS($A$2:$A$1000,A659,$B$2:$B$1000,B659,$C$2:$C$1000,C659,$D$2:$D$1000,D659,$E$2:$E$1000,E659,$F$2:$F$1000,F659)</f>
        <v>1</v>
      </c>
      <c r="AK659">
        <f>COUNTIF($A$2:$A$1000, A659)</f>
        <v>1</v>
      </c>
    </row>
    <row r="660" spans="1:37">
      <c r="A660" t="s">
        <v>2060</v>
      </c>
      <c r="B660" s="5">
        <v>45817</v>
      </c>
      <c r="C660" s="5">
        <v>45997</v>
      </c>
      <c r="D660" s="6">
        <f>IF(AND(C660&lt;&gt;"",B660&lt;&gt;""), C660-B660, "Missing Date")</f>
        <v>180</v>
      </c>
      <c r="E660" s="6" t="str">
        <f>IF(OR(B660="",C660=""), "Missing Date",
    IF(C660&lt;B660, "Invalid: Ship before Order",
      "OK"))</f>
        <v>OK</v>
      </c>
      <c r="F660" t="s">
        <v>2061</v>
      </c>
      <c r="G660" t="s">
        <v>132</v>
      </c>
      <c r="H660" t="s">
        <v>24</v>
      </c>
      <c r="I660" t="s">
        <v>2762</v>
      </c>
      <c r="J660" t="s">
        <v>145</v>
      </c>
      <c r="K660" t="s">
        <v>146</v>
      </c>
      <c r="L660" t="s">
        <v>28</v>
      </c>
      <c r="M660" t="s">
        <v>48</v>
      </c>
      <c r="N660" t="s">
        <v>2062</v>
      </c>
      <c r="O660" t="s">
        <v>50</v>
      </c>
      <c r="P660">
        <v>7</v>
      </c>
      <c r="Q660">
        <v>2852.42</v>
      </c>
      <c r="R660">
        <v>0</v>
      </c>
      <c r="S660">
        <v>19966.939999999999</v>
      </c>
      <c r="T660">
        <v>12690.83</v>
      </c>
      <c r="U660">
        <v>7276.11</v>
      </c>
      <c r="V660" t="s">
        <v>102</v>
      </c>
      <c r="W660" t="s">
        <v>68</v>
      </c>
      <c r="X660" t="str">
        <f>_xlfn.TEXTJOIN("|", TRUE, A660:W660)</f>
        <v>ORD-2025-10659|45817|45997|180|OK|CUST-9074|Sneha Kapoor|Consumer|Unknown|Bihar|Patna|Office Supplies|Art|Eco Art 763|First Class|7|2852.42|0|19966.94|12690.83|7276.11|Refunded|Cancelled</v>
      </c>
      <c r="Y660">
        <f>COUNTIF($X$2:$X$1000, X660)</f>
        <v>1</v>
      </c>
      <c r="Z660">
        <f>COUNTIF($A$2:$A$1000, A660)</f>
        <v>1</v>
      </c>
      <c r="AA660" t="str">
        <f>IF(Y660&gt;1, "Exact Duplicate",
  IF(Z660&gt;1, "Conflicting Duplicate - Review",
    "Unique"))</f>
        <v>Unique</v>
      </c>
      <c r="AB660" s="2">
        <f>IF(ISBLANK(R660), 0, IF(ISTEXT(R660), VALUE(SUBSTITUTE(R660, "%", ""))/100, IF(OR(R660&lt;0, R660&gt;1), "Invalid", R660)))</f>
        <v>0</v>
      </c>
      <c r="AC660" s="4">
        <f>IF(AB660="Invalid", "Error", P660 * Q660 * (1 - AB660))</f>
        <v>19966.940000000002</v>
      </c>
      <c r="AD660" s="4">
        <f>IF(AC660="Error", "Error", AC660 - T660)</f>
        <v>7276.1100000000024</v>
      </c>
      <c r="AE660" s="2">
        <f>IF(AC660="Error", "Error", IF(AC660=0, 0, AD660 / AC660))</f>
        <v>0.36440786620283339</v>
      </c>
      <c r="AF660" s="7">
        <f>C660-B660</f>
        <v>180</v>
      </c>
      <c r="AG660" s="2" t="str">
        <f>TEXT(B660, "mmmm")</f>
        <v>June</v>
      </c>
      <c r="AH660" s="4">
        <f>YEAR(B660)</f>
        <v>2025</v>
      </c>
      <c r="AI660" s="2" t="str">
        <f t="shared" si="24"/>
        <v>Warning: Missing Region</v>
      </c>
      <c r="AJ660">
        <f>COUNTIFS($A$2:$A$1000,A660,$B$2:$B$1000,B660,$C$2:$C$1000,C660,$D$2:$D$1000,D660,$E$2:$E$1000,E660,$F$2:$F$1000,F660)</f>
        <v>1</v>
      </c>
      <c r="AK660">
        <f>COUNTIF($A$2:$A$1000, A660)</f>
        <v>1</v>
      </c>
    </row>
    <row r="661" spans="1:37">
      <c r="A661" t="s">
        <v>2063</v>
      </c>
      <c r="B661" s="5">
        <v>45678</v>
      </c>
      <c r="C661" s="5">
        <v>45679</v>
      </c>
      <c r="D661" s="6">
        <f>IF(AND(C661&lt;&gt;"",B661&lt;&gt;""), C661-B661, "Missing Date")</f>
        <v>1</v>
      </c>
      <c r="E661" s="6" t="str">
        <f>IF(OR(B661="",C661=""), "Missing Date",
    IF(C661&lt;B661, "Invalid: Ship before Order",
      "OK"))</f>
        <v>OK</v>
      </c>
      <c r="F661" t="s">
        <v>2064</v>
      </c>
      <c r="G661" t="s">
        <v>162</v>
      </c>
      <c r="H661" t="s">
        <v>90</v>
      </c>
      <c r="I661" t="s">
        <v>54</v>
      </c>
      <c r="J661" t="s">
        <v>175</v>
      </c>
      <c r="K661" t="s">
        <v>176</v>
      </c>
      <c r="L661" t="s">
        <v>74</v>
      </c>
      <c r="M661" t="s">
        <v>171</v>
      </c>
      <c r="N661" t="s">
        <v>2065</v>
      </c>
      <c r="O661" t="s">
        <v>31</v>
      </c>
      <c r="P661">
        <v>2</v>
      </c>
      <c r="Q661">
        <v>444.31</v>
      </c>
      <c r="R661">
        <v>0.2</v>
      </c>
      <c r="S661">
        <v>710.9</v>
      </c>
      <c r="T661">
        <v>513.88</v>
      </c>
      <c r="U661">
        <v>197.02</v>
      </c>
      <c r="V661" t="s">
        <v>102</v>
      </c>
      <c r="W661" t="s">
        <v>68</v>
      </c>
      <c r="X661" t="str">
        <f>_xlfn.TEXTJOIN("|", TRUE, A661:W661)</f>
        <v>ORD-2025-10660|45678|45679|1|OK|CUST-8330|Diya Patel|Corporate|South|Karnataka|Bengaluru|Technology|Phones|Pro Phones 356|Second Class|2|444.31|0.2|710.9|513.88|197.02|Refunded|Cancelled</v>
      </c>
      <c r="Y661">
        <f>COUNTIF($X$2:$X$1000, X661)</f>
        <v>1</v>
      </c>
      <c r="Z661">
        <f>COUNTIF($A$2:$A$1000, A661)</f>
        <v>1</v>
      </c>
      <c r="AA661" t="str">
        <f>IF(Y661&gt;1, "Exact Duplicate",
  IF(Z661&gt;1, "Conflicting Duplicate - Review",
    "Unique"))</f>
        <v>Unique</v>
      </c>
      <c r="AB661" s="2">
        <f>IF(ISBLANK(R661), 0, IF(ISTEXT(R661), VALUE(SUBSTITUTE(R661, "%", ""))/100, IF(OR(R661&lt;0, R661&gt;1), "Invalid", R661)))</f>
        <v>0.2</v>
      </c>
      <c r="AC661" s="4">
        <f>IF(AB661="Invalid", "Error", P661 * Q661 * (1 - AB661))</f>
        <v>710.89600000000007</v>
      </c>
      <c r="AD661" s="4">
        <f>IF(AC661="Error", "Error", AC661 - T661)</f>
        <v>197.01600000000008</v>
      </c>
      <c r="AE661" s="2">
        <f>IF(AC661="Error", "Error", IF(AC661=0, 0, AD661 / AC661))</f>
        <v>0.27713758411919615</v>
      </c>
      <c r="AF661" s="7">
        <f>C661-B661</f>
        <v>1</v>
      </c>
      <c r="AG661" s="2" t="str">
        <f>TEXT(B661, "mmmm")</f>
        <v>January</v>
      </c>
      <c r="AH661" s="4">
        <f>YEAR(B661)</f>
        <v>2025</v>
      </c>
      <c r="AI661" s="2" t="str">
        <f t="shared" si="24"/>
        <v>Excluded from Sales</v>
      </c>
      <c r="AJ661">
        <f>COUNTIFS($A$2:$A$1000,A661,$B$2:$B$1000,B661,$C$2:$C$1000,C661,$D$2:$D$1000,D661,$E$2:$E$1000,E661,$F$2:$F$1000,F661)</f>
        <v>1</v>
      </c>
      <c r="AK661">
        <f>COUNTIF($A$2:$A$1000, A661)</f>
        <v>1</v>
      </c>
    </row>
    <row r="662" spans="1:37">
      <c r="A662" t="s">
        <v>2066</v>
      </c>
      <c r="B662" s="5">
        <v>45853</v>
      </c>
      <c r="C662" s="5">
        <v>45853</v>
      </c>
      <c r="D662" s="6">
        <f>IF(AND(C662&lt;&gt;"",B662&lt;&gt;""), C662-B662, "Missing Date")</f>
        <v>0</v>
      </c>
      <c r="E662" s="6" t="str">
        <f>IF(OR(B662="",C662=""), "Missing Date",
    IF(C662&lt;B662, "Invalid: Ship before Order",
      "OK"))</f>
        <v>OK</v>
      </c>
      <c r="F662" t="s">
        <v>2067</v>
      </c>
      <c r="G662" t="s">
        <v>53</v>
      </c>
      <c r="H662" t="s">
        <v>37</v>
      </c>
      <c r="I662" t="s">
        <v>38</v>
      </c>
      <c r="J662" t="s">
        <v>228</v>
      </c>
      <c r="K662" t="s">
        <v>229</v>
      </c>
      <c r="L662" t="s">
        <v>74</v>
      </c>
      <c r="M662" t="s">
        <v>171</v>
      </c>
      <c r="N662" t="s">
        <v>2068</v>
      </c>
      <c r="O662" t="s">
        <v>44</v>
      </c>
      <c r="P662">
        <v>4</v>
      </c>
      <c r="Q662">
        <v>4442.91</v>
      </c>
      <c r="R662">
        <v>0.1</v>
      </c>
      <c r="S662">
        <v>15994.48</v>
      </c>
      <c r="T662">
        <v>9224.2800000000007</v>
      </c>
      <c r="U662">
        <v>6770.2</v>
      </c>
      <c r="V662" t="s">
        <v>32</v>
      </c>
      <c r="W662" t="s">
        <v>33</v>
      </c>
      <c r="X662" t="str">
        <f>_xlfn.TEXTJOIN("|", TRUE, A662:W662)</f>
        <v>ORD-2025-10661|45853|45853|0|OK|CUST-5638|Arjun Bose|Small Business|East|Jharkhand|Ranchi|Technology|Phones|Basic Phones 865|Same Day|4|4442.91|0.1|15994.48|9224.28|6770.2|Paid|Completed</v>
      </c>
      <c r="Y662">
        <f>COUNTIF($X$2:$X$1000, X662)</f>
        <v>1</v>
      </c>
      <c r="Z662">
        <f>COUNTIF($A$2:$A$1000, A662)</f>
        <v>1</v>
      </c>
      <c r="AA662" t="str">
        <f>IF(Y662&gt;1, "Exact Duplicate",
  IF(Z662&gt;1, "Conflicting Duplicate - Review",
    "Unique"))</f>
        <v>Unique</v>
      </c>
      <c r="AB662" s="2">
        <f>IF(ISBLANK(R662), 0, IF(ISTEXT(R662), VALUE(SUBSTITUTE(R662, "%", ""))/100, IF(OR(R662&lt;0, R662&gt;1), "Invalid", R662)))</f>
        <v>0.1</v>
      </c>
      <c r="AC662" s="4">
        <f>IF(AB662="Invalid", "Error", P662 * Q662 * (1 - AB662))</f>
        <v>15994.476000000001</v>
      </c>
      <c r="AD662" s="4">
        <f>IF(AC662="Error", "Error", AC662 - T662)</f>
        <v>6770.1959999999999</v>
      </c>
      <c r="AE662" s="2">
        <f>IF(AC662="Error", "Error", IF(AC662=0, 0, AD662 / AC662))</f>
        <v>0.42328338858991066</v>
      </c>
      <c r="AF662" s="7">
        <f>C662-B662</f>
        <v>0</v>
      </c>
      <c r="AG662" s="2" t="str">
        <f>TEXT(B662, "mmmm")</f>
        <v>July</v>
      </c>
      <c r="AH662" s="4">
        <f>YEAR(B662)</f>
        <v>2025</v>
      </c>
      <c r="AI662" s="2" t="str">
        <f t="shared" si="24"/>
        <v>Clean</v>
      </c>
      <c r="AJ662">
        <f>COUNTIFS($A$2:$A$1000,A662,$B$2:$B$1000,B662,$C$2:$C$1000,C662,$D$2:$D$1000,D662,$E$2:$E$1000,E662,$F$2:$F$1000,F662)</f>
        <v>1</v>
      </c>
      <c r="AK662">
        <f>COUNTIF($A$2:$A$1000, A662)</f>
        <v>1</v>
      </c>
    </row>
    <row r="663" spans="1:37">
      <c r="A663" t="s">
        <v>2069</v>
      </c>
      <c r="B663" s="5">
        <v>45429</v>
      </c>
      <c r="C663" s="5">
        <v>45434</v>
      </c>
      <c r="D663" s="6">
        <f>IF(AND(C663&lt;&gt;"",B663&lt;&gt;""), C663-B663, "Missing Date")</f>
        <v>5</v>
      </c>
      <c r="E663" s="6" t="str">
        <f>IF(OR(B663="",C663=""), "Missing Date",
    IF(C663&lt;B663, "Invalid: Ship before Order",
      "OK"))</f>
        <v>OK</v>
      </c>
      <c r="F663" t="s">
        <v>2070</v>
      </c>
      <c r="G663" t="s">
        <v>132</v>
      </c>
      <c r="H663" t="s">
        <v>24</v>
      </c>
      <c r="I663" t="s">
        <v>54</v>
      </c>
      <c r="J663" t="s">
        <v>84</v>
      </c>
      <c r="K663" t="s">
        <v>85</v>
      </c>
      <c r="L663" t="s">
        <v>74</v>
      </c>
      <c r="M663" t="s">
        <v>274</v>
      </c>
      <c r="N663" t="s">
        <v>2071</v>
      </c>
      <c r="O663" t="s">
        <v>31</v>
      </c>
      <c r="P663">
        <v>7</v>
      </c>
      <c r="Q663">
        <v>232.5</v>
      </c>
      <c r="R663">
        <v>0</v>
      </c>
      <c r="S663">
        <v>1627.5</v>
      </c>
      <c r="T663">
        <v>939.9</v>
      </c>
      <c r="U663">
        <v>687.6</v>
      </c>
      <c r="V663" t="s">
        <v>32</v>
      </c>
      <c r="W663" t="s">
        <v>33</v>
      </c>
      <c r="X663" t="str">
        <f>_xlfn.TEXTJOIN("|", TRUE, A663:W663)</f>
        <v>ORD-2024-10662|45429|45434|5|OK|CUST-4537|Sneha Kapoor|Consumer|South|Andhra Pradesh|Vijayawada|Technology|Machines|Max Machines 595|Second Class|7|232.5|0|1627.5|939.9|687.6|Paid|Completed</v>
      </c>
      <c r="Y663">
        <f>COUNTIF($X$2:$X$1000, X663)</f>
        <v>1</v>
      </c>
      <c r="Z663">
        <f>COUNTIF($A$2:$A$1000, A663)</f>
        <v>1</v>
      </c>
      <c r="AA663" t="str">
        <f>IF(Y663&gt;1, "Exact Duplicate",
  IF(Z663&gt;1, "Conflicting Duplicate - Review",
    "Unique"))</f>
        <v>Unique</v>
      </c>
      <c r="AB663" s="2">
        <f>IF(ISBLANK(R663), 0, IF(ISTEXT(R663), VALUE(SUBSTITUTE(R663, "%", ""))/100, IF(OR(R663&lt;0, R663&gt;1), "Invalid", R663)))</f>
        <v>0</v>
      </c>
      <c r="AC663" s="4">
        <f>IF(AB663="Invalid", "Error", P663 * Q663 * (1 - AB663))</f>
        <v>1627.5</v>
      </c>
      <c r="AD663" s="4">
        <f>IF(AC663="Error", "Error", AC663 - T663)</f>
        <v>687.6</v>
      </c>
      <c r="AE663" s="2">
        <f>IF(AC663="Error", "Error", IF(AC663=0, 0, AD663 / AC663))</f>
        <v>0.4224884792626728</v>
      </c>
      <c r="AF663" s="7">
        <f>C663-B663</f>
        <v>5</v>
      </c>
      <c r="AG663" s="2" t="str">
        <f>TEXT(B663, "mmmm")</f>
        <v>May</v>
      </c>
      <c r="AH663" s="4">
        <f>YEAR(B663)</f>
        <v>2024</v>
      </c>
      <c r="AI663" s="2" t="str">
        <f t="shared" si="24"/>
        <v>Clean</v>
      </c>
      <c r="AJ663">
        <f>COUNTIFS($A$2:$A$1000,A663,$B$2:$B$1000,B663,$C$2:$C$1000,C663,$D$2:$D$1000,D663,$E$2:$E$1000,E663,$F$2:$F$1000,F663)</f>
        <v>1</v>
      </c>
      <c r="AK663">
        <f>COUNTIF($A$2:$A$1000, A663)</f>
        <v>1</v>
      </c>
    </row>
    <row r="664" spans="1:37">
      <c r="A664" t="s">
        <v>2072</v>
      </c>
      <c r="B664" s="5">
        <v>45305</v>
      </c>
      <c r="C664" s="5">
        <v>45309</v>
      </c>
      <c r="D664" s="6">
        <f>IF(AND(C664&lt;&gt;"",B664&lt;&gt;""), C664-B664, "Missing Date")</f>
        <v>4</v>
      </c>
      <c r="E664" s="6" t="str">
        <f>IF(OR(B664="",C664=""), "Missing Date",
    IF(C664&lt;B664, "Invalid: Ship before Order",
      "OK"))</f>
        <v>OK</v>
      </c>
      <c r="F664" t="s">
        <v>2073</v>
      </c>
      <c r="G664" t="s">
        <v>36</v>
      </c>
      <c r="H664" t="s">
        <v>95</v>
      </c>
      <c r="I664" t="s">
        <v>63</v>
      </c>
      <c r="J664" t="s">
        <v>26</v>
      </c>
      <c r="K664" t="s">
        <v>109</v>
      </c>
      <c r="L664" t="s">
        <v>74</v>
      </c>
      <c r="M664" t="s">
        <v>274</v>
      </c>
      <c r="N664" t="s">
        <v>2074</v>
      </c>
      <c r="O664" t="s">
        <v>44</v>
      </c>
      <c r="P664">
        <v>6</v>
      </c>
      <c r="Q664">
        <v>1784.8</v>
      </c>
      <c r="R664">
        <v>0.1</v>
      </c>
      <c r="S664">
        <v>9637.92</v>
      </c>
      <c r="T664">
        <v>7329.29</v>
      </c>
      <c r="U664">
        <v>2308.63</v>
      </c>
      <c r="V664" t="s">
        <v>32</v>
      </c>
      <c r="W664" t="s">
        <v>33</v>
      </c>
      <c r="X664" t="str">
        <f>_xlfn.TEXTJOIN("|", TRUE, A664:W664)</f>
        <v>ORD-2024-10663|45305|45309|4|OK|CUST-3181|Mira Das|Home Office|West|Rajasthan|Udaipur|Technology|Machines|Elite Machines 367|Same Day|6|1784.8|0.1|9637.92|7329.29|2308.63|Paid|Completed</v>
      </c>
      <c r="Y664">
        <f>COUNTIF($X$2:$X$1000, X664)</f>
        <v>1</v>
      </c>
      <c r="Z664">
        <f>COUNTIF($A$2:$A$1000, A664)</f>
        <v>1</v>
      </c>
      <c r="AA664" t="str">
        <f>IF(Y664&gt;1, "Exact Duplicate",
  IF(Z664&gt;1, "Conflicting Duplicate - Review",
    "Unique"))</f>
        <v>Unique</v>
      </c>
      <c r="AB664" s="2">
        <f>IF(ISBLANK(R664), 0, IF(ISTEXT(R664), VALUE(SUBSTITUTE(R664, "%", ""))/100, IF(OR(R664&lt;0, R664&gt;1), "Invalid", R664)))</f>
        <v>0.1</v>
      </c>
      <c r="AC664" s="4">
        <f>IF(AB664="Invalid", "Error", P664 * Q664 * (1 - AB664))</f>
        <v>9637.92</v>
      </c>
      <c r="AD664" s="4">
        <f>IF(AC664="Error", "Error", AC664 - T664)</f>
        <v>2308.63</v>
      </c>
      <c r="AE664" s="2">
        <f>IF(AC664="Error", "Error", IF(AC664=0, 0, AD664 / AC664))</f>
        <v>0.2395361239769577</v>
      </c>
      <c r="AF664" s="7">
        <f>C664-B664</f>
        <v>4</v>
      </c>
      <c r="AG664" s="2" t="str">
        <f>TEXT(B664, "mmmm")</f>
        <v>January</v>
      </c>
      <c r="AH664" s="4">
        <f>YEAR(B664)</f>
        <v>2024</v>
      </c>
      <c r="AI664" s="2" t="str">
        <f t="shared" si="24"/>
        <v>Clean</v>
      </c>
      <c r="AJ664">
        <f>COUNTIFS($A$2:$A$1000,A664,$B$2:$B$1000,B664,$C$2:$C$1000,C664,$D$2:$D$1000,D664,$E$2:$E$1000,E664,$F$2:$F$1000,F664)</f>
        <v>1</v>
      </c>
      <c r="AK664">
        <f>COUNTIF($A$2:$A$1000, A664)</f>
        <v>1</v>
      </c>
    </row>
    <row r="665" spans="1:37">
      <c r="A665" t="s">
        <v>2075</v>
      </c>
      <c r="B665" s="5">
        <v>45327</v>
      </c>
      <c r="C665" s="5">
        <v>45420</v>
      </c>
      <c r="D665" s="6">
        <f>IF(AND(C665&lt;&gt;"",B665&lt;&gt;""), C665-B665, "Missing Date")</f>
        <v>93</v>
      </c>
      <c r="E665" s="6" t="str">
        <f>IF(OR(B665="",C665=""), "Missing Date",
    IF(C665&lt;B665, "Invalid: Ship before Order",
      "OK"))</f>
        <v>OK</v>
      </c>
      <c r="F665" t="s">
        <v>2076</v>
      </c>
      <c r="G665" t="s">
        <v>118</v>
      </c>
      <c r="H665" t="s">
        <v>95</v>
      </c>
      <c r="I665" t="s">
        <v>38</v>
      </c>
      <c r="J665" t="s">
        <v>228</v>
      </c>
      <c r="K665" t="s">
        <v>229</v>
      </c>
      <c r="L665" t="s">
        <v>74</v>
      </c>
      <c r="M665" t="s">
        <v>80</v>
      </c>
      <c r="N665" t="s">
        <v>2077</v>
      </c>
      <c r="O665" t="s">
        <v>31</v>
      </c>
      <c r="P665">
        <v>2</v>
      </c>
      <c r="Q665">
        <v>3185.01</v>
      </c>
      <c r="R665">
        <v>-0.24</v>
      </c>
      <c r="S665">
        <v>4777.5200000000004</v>
      </c>
      <c r="T665">
        <v>3152.98</v>
      </c>
      <c r="U665">
        <v>1624.54</v>
      </c>
      <c r="V665" t="s">
        <v>32</v>
      </c>
      <c r="W665" t="s">
        <v>33</v>
      </c>
      <c r="X665" t="str">
        <f>_xlfn.TEXTJOIN("|", TRUE, A665:W665)</f>
        <v>ORD-2024-10664|45327|45420|93|OK|CUST-1015|Rahul Verma|Home Office|East|Jharkhand|Ranchi|Technology|Copiers|Basic Copiers 787|Second Class|2|3185.01|-0.24|4777.52|3152.98|1624.54|Paid|Completed</v>
      </c>
      <c r="Y665">
        <f>COUNTIF($X$2:$X$1000, X665)</f>
        <v>1</v>
      </c>
      <c r="Z665">
        <f>COUNTIF($A$2:$A$1000, A665)</f>
        <v>1</v>
      </c>
      <c r="AA665" t="str">
        <f>IF(Y665&gt;1, "Exact Duplicate",
  IF(Z665&gt;1, "Conflicting Duplicate - Review",
    "Unique"))</f>
        <v>Unique</v>
      </c>
      <c r="AB665" s="2" t="str">
        <f>IF(ISBLANK(R665), 0, IF(ISTEXT(R665), VALUE(SUBSTITUTE(R665, "%", ""))/100, IF(OR(R665&lt;0, R665&gt;1), "Invalid", R665)))</f>
        <v>Invalid</v>
      </c>
      <c r="AC665" s="4" t="str">
        <f>IF(AB665="Invalid", "Error", P665 * Q665 * (1 - AB665))</f>
        <v>Error</v>
      </c>
      <c r="AD665" s="4" t="str">
        <f>IF(AC665="Error", "Error", AC665 - T665)</f>
        <v>Error</v>
      </c>
      <c r="AE665" s="2" t="str">
        <f>IF(AC665="Error", "Error", IF(AC665=0, 0, AD665 / AC665))</f>
        <v>Error</v>
      </c>
      <c r="AF665" s="7">
        <f>C665-B665</f>
        <v>93</v>
      </c>
      <c r="AG665" s="2" t="str">
        <f>TEXT(B665, "mmmm")</f>
        <v>February</v>
      </c>
      <c r="AH665" s="4">
        <f>YEAR(B665)</f>
        <v>2024</v>
      </c>
      <c r="AI665" s="2" t="str">
        <f t="shared" si="24"/>
        <v>Invalid: Discount</v>
      </c>
      <c r="AJ665">
        <f>COUNTIFS($A$2:$A$1000,A665,$B$2:$B$1000,B665,$C$2:$C$1000,C665,$D$2:$D$1000,D665,$E$2:$E$1000,E665,$F$2:$F$1000,F665)</f>
        <v>1</v>
      </c>
      <c r="AK665">
        <f>COUNTIF($A$2:$A$1000, A665)</f>
        <v>1</v>
      </c>
    </row>
    <row r="666" spans="1:37">
      <c r="A666" t="s">
        <v>2078</v>
      </c>
      <c r="B666" s="5">
        <v>45633</v>
      </c>
      <c r="C666" s="5">
        <v>45636</v>
      </c>
      <c r="D666" s="6">
        <f>IF(AND(C666&lt;&gt;"",B666&lt;&gt;""), C666-B666, "Missing Date")</f>
        <v>3</v>
      </c>
      <c r="E666" s="6" t="str">
        <f>IF(OR(B666="",C666=""), "Missing Date",
    IF(C666&lt;B666, "Invalid: Ship before Order",
      "OK"))</f>
        <v>OK</v>
      </c>
      <c r="F666" t="s">
        <v>2079</v>
      </c>
      <c r="G666" t="s">
        <v>36</v>
      </c>
      <c r="H666" t="s">
        <v>95</v>
      </c>
      <c r="I666" t="s">
        <v>54</v>
      </c>
      <c r="J666" t="s">
        <v>55</v>
      </c>
      <c r="K666" t="s">
        <v>56</v>
      </c>
      <c r="L666" t="s">
        <v>74</v>
      </c>
      <c r="M666" t="s">
        <v>75</v>
      </c>
      <c r="N666" t="s">
        <v>2080</v>
      </c>
      <c r="O666" t="s">
        <v>59</v>
      </c>
      <c r="P666">
        <v>1</v>
      </c>
      <c r="Q666">
        <v>1908.83</v>
      </c>
      <c r="R666">
        <v>0.2</v>
      </c>
      <c r="S666">
        <v>1527.06</v>
      </c>
      <c r="T666">
        <v>1055.8900000000001</v>
      </c>
      <c r="U666">
        <v>471.17</v>
      </c>
      <c r="V666" t="s">
        <v>32</v>
      </c>
      <c r="W666" t="s">
        <v>33</v>
      </c>
      <c r="X666" t="str">
        <f>_xlfn.TEXTJOIN("|", TRUE, A666:W666)</f>
        <v>ORD-2024-10665|45633|45636|3|OK|CUST-2709|Mira Das|Home Office|South|Telangana|Hyderabad|Technology|Accessories|Max Accessories 903|Standard Class|1|1908.83|0.2|1527.06|1055.89|471.17|Paid|Completed</v>
      </c>
      <c r="Y666">
        <f>COUNTIF($X$2:$X$1000, X666)</f>
        <v>1</v>
      </c>
      <c r="Z666">
        <f>COUNTIF($A$2:$A$1000, A666)</f>
        <v>1</v>
      </c>
      <c r="AA666" t="str">
        <f>IF(Y666&gt;1, "Exact Duplicate",
  IF(Z666&gt;1, "Conflicting Duplicate - Review",
    "Unique"))</f>
        <v>Unique</v>
      </c>
      <c r="AB666" s="2">
        <f>IF(ISBLANK(R666), 0, IF(ISTEXT(R666), VALUE(SUBSTITUTE(R666, "%", ""))/100, IF(OR(R666&lt;0, R666&gt;1), "Invalid", R666)))</f>
        <v>0.2</v>
      </c>
      <c r="AC666" s="4">
        <f>IF(AB666="Invalid", "Error", P666 * Q666 * (1 - AB666))</f>
        <v>1527.0640000000001</v>
      </c>
      <c r="AD666" s="4">
        <f>IF(AC666="Error", "Error", AC666 - T666)</f>
        <v>471.17399999999998</v>
      </c>
      <c r="AE666" s="2">
        <f>IF(AC666="Error", "Error", IF(AC666=0, 0, AD666 / AC666))</f>
        <v>0.30854895407134209</v>
      </c>
      <c r="AF666" s="7">
        <f>C666-B666</f>
        <v>3</v>
      </c>
      <c r="AG666" s="2" t="str">
        <f>TEXT(B666, "mmmm")</f>
        <v>December</v>
      </c>
      <c r="AH666" s="4">
        <f>YEAR(B666)</f>
        <v>2024</v>
      </c>
      <c r="AI666" s="2" t="str">
        <f t="shared" si="24"/>
        <v>Clean</v>
      </c>
      <c r="AJ666">
        <f>COUNTIFS($A$2:$A$1000,A666,$B$2:$B$1000,B666,$C$2:$C$1000,C666,$D$2:$D$1000,D666,$E$2:$E$1000,E666,$F$2:$F$1000,F666)</f>
        <v>1</v>
      </c>
      <c r="AK666">
        <f>COUNTIF($A$2:$A$1000, A666)</f>
        <v>1</v>
      </c>
    </row>
    <row r="667" spans="1:37">
      <c r="A667" t="s">
        <v>2081</v>
      </c>
      <c r="B667" s="5">
        <v>45670</v>
      </c>
      <c r="C667" s="5">
        <v>45670</v>
      </c>
      <c r="D667" s="6">
        <f>IF(AND(C667&lt;&gt;"",B667&lt;&gt;""), C667-B667, "Missing Date")</f>
        <v>0</v>
      </c>
      <c r="E667" s="6" t="str">
        <f>IF(OR(B667="",C667=""), "Missing Date",
    IF(C667&lt;B667, "Invalid: Ship before Order",
      "OK"))</f>
        <v>OK</v>
      </c>
      <c r="F667" t="s">
        <v>2082</v>
      </c>
      <c r="G667" t="s">
        <v>118</v>
      </c>
      <c r="H667" t="s">
        <v>95</v>
      </c>
      <c r="I667" t="s">
        <v>63</v>
      </c>
      <c r="J667" t="s">
        <v>180</v>
      </c>
      <c r="K667" t="s">
        <v>181</v>
      </c>
      <c r="L667" t="s">
        <v>28</v>
      </c>
      <c r="M667" t="s">
        <v>48</v>
      </c>
      <c r="N667" t="s">
        <v>2083</v>
      </c>
      <c r="O667" t="s">
        <v>59</v>
      </c>
      <c r="P667">
        <v>3</v>
      </c>
      <c r="Q667">
        <v>2110.52</v>
      </c>
      <c r="R667">
        <v>0.1</v>
      </c>
      <c r="S667">
        <v>5698.4</v>
      </c>
      <c r="T667">
        <v>3640.89</v>
      </c>
      <c r="U667">
        <v>2057.5100000000002</v>
      </c>
      <c r="V667" t="s">
        <v>155</v>
      </c>
      <c r="W667" t="s">
        <v>68</v>
      </c>
      <c r="X667" t="str">
        <f>_xlfn.TEXTJOIN("|", TRUE, A667:W667)</f>
        <v>ORD-2025-10666|45670|45670|0|OK|CUST-1197|Rahul Verma|Home Office|West|Gujarat|Ahmedabad|Office Supplies|Art|Max Art 660|Standard Class|3|2110.52|0.1|5698.4|3640.89|2057.51|Failed|Cancelled</v>
      </c>
      <c r="Y667">
        <f>COUNTIF($X$2:$X$1000, X667)</f>
        <v>1</v>
      </c>
      <c r="Z667">
        <f>COUNTIF($A$2:$A$1000, A667)</f>
        <v>1</v>
      </c>
      <c r="AA667" t="str">
        <f>IF(Y667&gt;1, "Exact Duplicate",
  IF(Z667&gt;1, "Conflicting Duplicate - Review",
    "Unique"))</f>
        <v>Unique</v>
      </c>
      <c r="AB667" s="2">
        <f>IF(ISBLANK(R667), 0, IF(ISTEXT(R667), VALUE(SUBSTITUTE(R667, "%", ""))/100, IF(OR(R667&lt;0, R667&gt;1), "Invalid", R667)))</f>
        <v>0.1</v>
      </c>
      <c r="AC667" s="4">
        <f>IF(AB667="Invalid", "Error", P667 * Q667 * (1 - AB667))</f>
        <v>5698.4039999999995</v>
      </c>
      <c r="AD667" s="4">
        <f>IF(AC667="Error", "Error", AC667 - T667)</f>
        <v>2057.5139999999997</v>
      </c>
      <c r="AE667" s="2">
        <f>IF(AC667="Error", "Error", IF(AC667=0, 0, AD667 / AC667))</f>
        <v>0.36106846759197836</v>
      </c>
      <c r="AF667" s="7">
        <f>C667-B667</f>
        <v>0</v>
      </c>
      <c r="AG667" s="2" t="str">
        <f>TEXT(B667, "mmmm")</f>
        <v>January</v>
      </c>
      <c r="AH667" s="4">
        <f>YEAR(B667)</f>
        <v>2025</v>
      </c>
      <c r="AI667" s="2" t="str">
        <f t="shared" si="24"/>
        <v>Excluded from Sales</v>
      </c>
      <c r="AJ667">
        <f>COUNTIFS($A$2:$A$1000,A667,$B$2:$B$1000,B667,$C$2:$C$1000,C667,$D$2:$D$1000,D667,$E$2:$E$1000,E667,$F$2:$F$1000,F667)</f>
        <v>1</v>
      </c>
      <c r="AK667">
        <f>COUNTIF($A$2:$A$1000, A667)</f>
        <v>1</v>
      </c>
    </row>
    <row r="668" spans="1:37">
      <c r="A668" t="s">
        <v>2084</v>
      </c>
      <c r="B668" s="5">
        <v>45464</v>
      </c>
      <c r="C668" s="5">
        <v>45469</v>
      </c>
      <c r="D668" s="6">
        <f>IF(AND(C668&lt;&gt;"",B668&lt;&gt;""), C668-B668, "Missing Date")</f>
        <v>5</v>
      </c>
      <c r="E668" s="6" t="str">
        <f>IF(OR(B668="",C668=""), "Missing Date",
    IF(C668&lt;B668, "Invalid: Ship before Order",
      "OK"))</f>
        <v>OK</v>
      </c>
      <c r="F668" t="s">
        <v>2085</v>
      </c>
      <c r="G668" t="s">
        <v>141</v>
      </c>
      <c r="H668" t="s">
        <v>37</v>
      </c>
      <c r="I668" t="s">
        <v>25</v>
      </c>
      <c r="J668" t="s">
        <v>122</v>
      </c>
      <c r="K668" t="s">
        <v>123</v>
      </c>
      <c r="L668" t="s">
        <v>74</v>
      </c>
      <c r="M668" t="s">
        <v>80</v>
      </c>
      <c r="N668" t="s">
        <v>2086</v>
      </c>
      <c r="O668" t="s">
        <v>44</v>
      </c>
      <c r="P668">
        <v>1</v>
      </c>
      <c r="Q668">
        <v>279.83</v>
      </c>
      <c r="R668">
        <v>0.05</v>
      </c>
      <c r="S668">
        <v>265.83999999999997</v>
      </c>
      <c r="T668">
        <v>223.49</v>
      </c>
      <c r="U668">
        <v>42.35</v>
      </c>
      <c r="V668" t="s">
        <v>32</v>
      </c>
      <c r="W668" t="s">
        <v>33</v>
      </c>
      <c r="X668" t="str">
        <f>_xlfn.TEXTJOIN("|", TRUE, A668:W668)</f>
        <v>ORD-2024-10667|45464|45469|5|OK|CUST-7758|Rohan Mehta|Small Business|North|Punjab|Ludhiana|Technology|Copiers|Classic Copiers 908|Same Day|1|279.83|0.05|265.84|223.49|42.35|Paid|Completed</v>
      </c>
      <c r="Y668">
        <f>COUNTIF($X$2:$X$1000, X668)</f>
        <v>1</v>
      </c>
      <c r="Z668">
        <f>COUNTIF($A$2:$A$1000, A668)</f>
        <v>1</v>
      </c>
      <c r="AA668" t="str">
        <f>IF(Y668&gt;1, "Exact Duplicate",
  IF(Z668&gt;1, "Conflicting Duplicate - Review",
    "Unique"))</f>
        <v>Unique</v>
      </c>
      <c r="AB668" s="2">
        <f>IF(ISBLANK(R668), 0, IF(ISTEXT(R668), VALUE(SUBSTITUTE(R668, "%", ""))/100, IF(OR(R668&lt;0, R668&gt;1), "Invalid", R668)))</f>
        <v>0.05</v>
      </c>
      <c r="AC668" s="4">
        <f>IF(AB668="Invalid", "Error", P668 * Q668 * (1 - AB668))</f>
        <v>265.83849999999995</v>
      </c>
      <c r="AD668" s="4">
        <f>IF(AC668="Error", "Error", AC668 - T668)</f>
        <v>42.348499999999945</v>
      </c>
      <c r="AE668" s="2">
        <f>IF(AC668="Error", "Error", IF(AC668=0, 0, AD668 / AC668))</f>
        <v>0.15930160605028976</v>
      </c>
      <c r="AF668" s="7">
        <f>C668-B668</f>
        <v>5</v>
      </c>
      <c r="AG668" s="2" t="str">
        <f>TEXT(B668, "mmmm")</f>
        <v>June</v>
      </c>
      <c r="AH668" s="4">
        <f>YEAR(B668)</f>
        <v>2024</v>
      </c>
      <c r="AI668" s="2" t="str">
        <f t="shared" si="24"/>
        <v>Clean</v>
      </c>
      <c r="AJ668">
        <f>COUNTIFS($A$2:$A$1000,A668,$B$2:$B$1000,B668,$C$2:$C$1000,C668,$D$2:$D$1000,D668,$E$2:$E$1000,E668,$F$2:$F$1000,F668)</f>
        <v>1</v>
      </c>
      <c r="AK668">
        <f>COUNTIF($A$2:$A$1000, A668)</f>
        <v>1</v>
      </c>
    </row>
    <row r="669" spans="1:37">
      <c r="A669" t="s">
        <v>2087</v>
      </c>
      <c r="B669" s="5">
        <v>45797</v>
      </c>
      <c r="C669" s="5">
        <v>45804</v>
      </c>
      <c r="D669" s="6">
        <f>IF(AND(C669&lt;&gt;"",B669&lt;&gt;""), C669-B669, "Missing Date")</f>
        <v>7</v>
      </c>
      <c r="E669" s="6" t="str">
        <f>IF(OR(B669="",C669=""), "Missing Date",
    IF(C669&lt;B669, "Invalid: Ship before Order",
      "OK"))</f>
        <v>OK</v>
      </c>
      <c r="F669" t="s">
        <v>2088</v>
      </c>
      <c r="G669" t="s">
        <v>162</v>
      </c>
      <c r="H669" t="s">
        <v>37</v>
      </c>
      <c r="I669" t="s">
        <v>38</v>
      </c>
      <c r="J669" t="s">
        <v>145</v>
      </c>
      <c r="K669" t="s">
        <v>146</v>
      </c>
      <c r="L669" t="s">
        <v>74</v>
      </c>
      <c r="M669" t="s">
        <v>274</v>
      </c>
      <c r="N669" t="s">
        <v>2089</v>
      </c>
      <c r="O669" t="s">
        <v>59</v>
      </c>
      <c r="P669">
        <v>1</v>
      </c>
      <c r="Q669">
        <v>3959.14</v>
      </c>
      <c r="R669">
        <v>0</v>
      </c>
      <c r="S669">
        <v>3959.14</v>
      </c>
      <c r="T669">
        <v>3239.53</v>
      </c>
      <c r="U669">
        <v>719.61</v>
      </c>
      <c r="V669" t="s">
        <v>111</v>
      </c>
      <c r="W669" t="s">
        <v>103</v>
      </c>
      <c r="X669" t="str">
        <f>_xlfn.TEXTJOIN("|", TRUE, A669:W669)</f>
        <v>ORD-2025-10668|45797|45804|7|OK|CUST-3912|Diya Patel|Small Business|East|Bihar|Patna|Technology|Machines|Pro Machines 706|Standard Class|1|3959.14|0|3959.14|3239.53|719.61|Pending|Returned</v>
      </c>
      <c r="Y669">
        <f>COUNTIF($X$2:$X$1000, X669)</f>
        <v>1</v>
      </c>
      <c r="Z669">
        <f>COUNTIF($A$2:$A$1000, A669)</f>
        <v>1</v>
      </c>
      <c r="AA669" t="str">
        <f>IF(Y669&gt;1, "Exact Duplicate",
  IF(Z669&gt;1, "Conflicting Duplicate - Review",
    "Unique"))</f>
        <v>Unique</v>
      </c>
      <c r="AB669" s="2">
        <f>IF(ISBLANK(R669), 0, IF(ISTEXT(R669), VALUE(SUBSTITUTE(R669, "%", ""))/100, IF(OR(R669&lt;0, R669&gt;1), "Invalid", R669)))</f>
        <v>0</v>
      </c>
      <c r="AC669" s="4">
        <f>IF(AB669="Invalid", "Error", P669 * Q669 * (1 - AB669))</f>
        <v>3959.14</v>
      </c>
      <c r="AD669" s="4">
        <f>IF(AC669="Error", "Error", AC669 - T669)</f>
        <v>719.60999999999967</v>
      </c>
      <c r="AE669" s="2">
        <f>IF(AC669="Error", "Error", IF(AC669=0, 0, AD669 / AC669))</f>
        <v>0.18175916992074029</v>
      </c>
      <c r="AF669" s="7">
        <f>C669-B669</f>
        <v>7</v>
      </c>
      <c r="AG669" s="2" t="str">
        <f>TEXT(B669, "mmmm")</f>
        <v>May</v>
      </c>
      <c r="AH669" s="4">
        <f>YEAR(B669)</f>
        <v>2025</v>
      </c>
      <c r="AI669" s="2" t="str">
        <f t="shared" si="24"/>
        <v>Clean</v>
      </c>
      <c r="AJ669">
        <f>COUNTIFS($A$2:$A$1000,A669,$B$2:$B$1000,B669,$C$2:$C$1000,C669,$D$2:$D$1000,D669,$E$2:$E$1000,E669,$F$2:$F$1000,F669)</f>
        <v>1</v>
      </c>
      <c r="AK669">
        <f>COUNTIF($A$2:$A$1000, A669)</f>
        <v>1</v>
      </c>
    </row>
    <row r="670" spans="1:37">
      <c r="A670" t="s">
        <v>2090</v>
      </c>
      <c r="B670" s="5">
        <v>45617</v>
      </c>
      <c r="C670" s="5">
        <v>45619</v>
      </c>
      <c r="D670" s="6">
        <f>IF(AND(C670&lt;&gt;"",B670&lt;&gt;""), C670-B670, "Missing Date")</f>
        <v>2</v>
      </c>
      <c r="E670" s="6" t="str">
        <f>IF(OR(B670="",C670=""), "Missing Date",
    IF(C670&lt;B670, "Invalid: Ship before Order",
      "OK"))</f>
        <v>OK</v>
      </c>
      <c r="F670" t="s">
        <v>2091</v>
      </c>
      <c r="G670" t="s">
        <v>36</v>
      </c>
      <c r="H670" t="s">
        <v>90</v>
      </c>
      <c r="I670" t="s">
        <v>63</v>
      </c>
      <c r="J670" t="s">
        <v>180</v>
      </c>
      <c r="K670" t="s">
        <v>181</v>
      </c>
      <c r="L670" t="s">
        <v>28</v>
      </c>
      <c r="M670" t="s">
        <v>29</v>
      </c>
      <c r="N670" t="s">
        <v>2092</v>
      </c>
      <c r="O670" t="s">
        <v>31</v>
      </c>
      <c r="P670">
        <v>5</v>
      </c>
      <c r="Q670">
        <v>600.46</v>
      </c>
      <c r="R670">
        <v>0.2</v>
      </c>
      <c r="S670">
        <v>2401.84</v>
      </c>
      <c r="T670">
        <v>1873.11</v>
      </c>
      <c r="U670">
        <v>528.73</v>
      </c>
      <c r="V670" t="s">
        <v>32</v>
      </c>
      <c r="W670" t="s">
        <v>33</v>
      </c>
      <c r="X670" t="str">
        <f>_xlfn.TEXTJOIN("|", TRUE, A670:W670)</f>
        <v>ORD-2024-10669|45617|45619|2|OK|CUST-4190|Mira Das|Corporate|West|Gujarat|Ahmedabad|Office Supplies|Paper|Pro Paper 187|Second Class|5|600.46|0.2|2401.84|1873.11|528.73|Paid|Completed</v>
      </c>
      <c r="Y670">
        <f>COUNTIF($X$2:$X$1000, X670)</f>
        <v>1</v>
      </c>
      <c r="Z670">
        <f>COUNTIF($A$2:$A$1000, A670)</f>
        <v>1</v>
      </c>
      <c r="AA670" t="str">
        <f>IF(Y670&gt;1, "Exact Duplicate",
  IF(Z670&gt;1, "Conflicting Duplicate - Review",
    "Unique"))</f>
        <v>Unique</v>
      </c>
      <c r="AB670" s="2">
        <f>IF(ISBLANK(R670), 0, IF(ISTEXT(R670), VALUE(SUBSTITUTE(R670, "%", ""))/100, IF(OR(R670&lt;0, R670&gt;1), "Invalid", R670)))</f>
        <v>0.2</v>
      </c>
      <c r="AC670" s="4">
        <f>IF(AB670="Invalid", "Error", P670 * Q670 * (1 - AB670))</f>
        <v>2401.84</v>
      </c>
      <c r="AD670" s="4">
        <f>IF(AC670="Error", "Error", AC670 - T670)</f>
        <v>528.73000000000025</v>
      </c>
      <c r="AE670" s="2">
        <f>IF(AC670="Error", "Error", IF(AC670=0, 0, AD670 / AC670))</f>
        <v>0.22013539619624964</v>
      </c>
      <c r="AF670" s="7">
        <f>C670-B670</f>
        <v>2</v>
      </c>
      <c r="AG670" s="2" t="str">
        <f>TEXT(B670, "mmmm")</f>
        <v>November</v>
      </c>
      <c r="AH670" s="4">
        <f>YEAR(B670)</f>
        <v>2024</v>
      </c>
      <c r="AI670" s="2" t="str">
        <f t="shared" si="24"/>
        <v>Clean</v>
      </c>
      <c r="AJ670">
        <f>COUNTIFS($A$2:$A$1000,A670,$B$2:$B$1000,B670,$C$2:$C$1000,C670,$D$2:$D$1000,D670,$E$2:$E$1000,E670,$F$2:$F$1000,F670)</f>
        <v>1</v>
      </c>
      <c r="AK670">
        <f>COUNTIF($A$2:$A$1000, A670)</f>
        <v>1</v>
      </c>
    </row>
    <row r="671" spans="1:37">
      <c r="A671" t="s">
        <v>2093</v>
      </c>
      <c r="B671" s="5">
        <v>45375</v>
      </c>
      <c r="C671" s="5">
        <v>45383</v>
      </c>
      <c r="D671" s="6">
        <f>IF(AND(C671&lt;&gt;"",B671&lt;&gt;""), C671-B671, "Missing Date")</f>
        <v>8</v>
      </c>
      <c r="E671" s="6" t="str">
        <f>IF(OR(B671="",C671=""), "Missing Date",
    IF(C671&lt;B671, "Invalid: Ship before Order",
      "OK"))</f>
        <v>OK</v>
      </c>
      <c r="F671" t="s">
        <v>2094</v>
      </c>
      <c r="G671" t="s">
        <v>62</v>
      </c>
      <c r="H671" t="s">
        <v>95</v>
      </c>
      <c r="I671" t="s">
        <v>63</v>
      </c>
      <c r="J671" t="s">
        <v>64</v>
      </c>
      <c r="K671" t="s">
        <v>65</v>
      </c>
      <c r="L671" t="s">
        <v>41</v>
      </c>
      <c r="M671" t="s">
        <v>42</v>
      </c>
      <c r="N671" t="s">
        <v>2095</v>
      </c>
      <c r="O671" t="s">
        <v>31</v>
      </c>
      <c r="P671">
        <v>4</v>
      </c>
      <c r="Q671">
        <v>1700.72</v>
      </c>
      <c r="R671">
        <v>0.25</v>
      </c>
      <c r="S671">
        <v>5102.16</v>
      </c>
      <c r="T671">
        <v>3226.45</v>
      </c>
      <c r="U671">
        <v>1875.71</v>
      </c>
      <c r="V671" t="s">
        <v>32</v>
      </c>
      <c r="W671" t="s">
        <v>33</v>
      </c>
      <c r="X671" t="str">
        <f>_xlfn.TEXTJOIN("|", TRUE, A671:W671)</f>
        <v>ORD-2024-10670|45375|45383|8|OK|CUST-7568|Ananya Rao|Home Office|West|Maharashtra|Mumbai|Furniture|Tables|Classic Tables 606|Second Class|4|1700.72|0.25|5102.16|3226.45|1875.71|Paid|Completed</v>
      </c>
      <c r="Y671">
        <f>COUNTIF($X$2:$X$1000, X671)</f>
        <v>1</v>
      </c>
      <c r="Z671">
        <f>COUNTIF($A$2:$A$1000, A671)</f>
        <v>1</v>
      </c>
      <c r="AA671" t="str">
        <f>IF(Y671&gt;1, "Exact Duplicate",
  IF(Z671&gt;1, "Conflicting Duplicate - Review",
    "Unique"))</f>
        <v>Unique</v>
      </c>
      <c r="AB671" s="2">
        <f>IF(ISBLANK(R671), 0, IF(ISTEXT(R671), VALUE(SUBSTITUTE(R671, "%", ""))/100, IF(OR(R671&lt;0, R671&gt;1), "Invalid", R671)))</f>
        <v>0.25</v>
      </c>
      <c r="AC671" s="4">
        <f>IF(AB671="Invalid", "Error", P671 * Q671 * (1 - AB671))</f>
        <v>5102.16</v>
      </c>
      <c r="AD671" s="4">
        <f>IF(AC671="Error", "Error", AC671 - T671)</f>
        <v>1875.71</v>
      </c>
      <c r="AE671" s="2">
        <f>IF(AC671="Error", "Error", IF(AC671=0, 0, AD671 / AC671))</f>
        <v>0.36763057214983458</v>
      </c>
      <c r="AF671" s="7">
        <f>C671-B671</f>
        <v>8</v>
      </c>
      <c r="AG671" s="2" t="str">
        <f>TEXT(B671, "mmmm")</f>
        <v>March</v>
      </c>
      <c r="AH671" s="4">
        <f>YEAR(B671)</f>
        <v>2024</v>
      </c>
      <c r="AI671" s="2" t="str">
        <f t="shared" si="24"/>
        <v>Clean</v>
      </c>
      <c r="AJ671">
        <f>COUNTIFS($A$2:$A$1000,A671,$B$2:$B$1000,B671,$C$2:$C$1000,C671,$D$2:$D$1000,D671,$E$2:$E$1000,E671,$F$2:$F$1000,F671)</f>
        <v>1</v>
      </c>
      <c r="AK671">
        <f>COUNTIF($A$2:$A$1000, A671)</f>
        <v>1</v>
      </c>
    </row>
    <row r="672" spans="1:37">
      <c r="A672" t="s">
        <v>2096</v>
      </c>
      <c r="B672" s="5">
        <v>45690</v>
      </c>
      <c r="C672" s="5">
        <v>45694</v>
      </c>
      <c r="D672" s="6">
        <f>IF(AND(C672&lt;&gt;"",B672&lt;&gt;""), C672-B672, "Missing Date")</f>
        <v>4</v>
      </c>
      <c r="E672" s="6" t="str">
        <f>IF(OR(B672="",C672=""), "Missing Date",
    IF(C672&lt;B672, "Invalid: Ship before Order",
      "OK"))</f>
        <v>OK</v>
      </c>
      <c r="F672" t="s">
        <v>1598</v>
      </c>
      <c r="G672" t="s">
        <v>132</v>
      </c>
      <c r="H672" t="s">
        <v>90</v>
      </c>
      <c r="I672" t="s">
        <v>25</v>
      </c>
      <c r="J672" t="s">
        <v>136</v>
      </c>
      <c r="K672" t="s">
        <v>137</v>
      </c>
      <c r="L672" t="s">
        <v>41</v>
      </c>
      <c r="M672" t="s">
        <v>42</v>
      </c>
      <c r="N672" t="s">
        <v>2097</v>
      </c>
      <c r="O672" t="s">
        <v>59</v>
      </c>
      <c r="P672">
        <v>8</v>
      </c>
      <c r="Q672">
        <v>857.86</v>
      </c>
      <c r="R672">
        <v>0.1</v>
      </c>
      <c r="S672">
        <v>6176.59</v>
      </c>
      <c r="T672">
        <v>3560.96</v>
      </c>
      <c r="U672">
        <v>2615.63</v>
      </c>
      <c r="V672" t="s">
        <v>32</v>
      </c>
      <c r="W672" t="s">
        <v>33</v>
      </c>
      <c r="X672" t="str">
        <f>_xlfn.TEXTJOIN("|", TRUE, A672:W672)</f>
        <v>ORD-2025-10671|45690|45694|4|OK|CUST-5604|Sneha Kapoor|Corporate|North|Uttar Pradesh|Noida|Furniture|Tables|Smart Tables 835|Standard Class|8|857.86|0.1|6176.59|3560.96|2615.63|Paid|Completed</v>
      </c>
      <c r="Y672">
        <f>COUNTIF($X$2:$X$1000, X672)</f>
        <v>1</v>
      </c>
      <c r="Z672">
        <f>COUNTIF($A$2:$A$1000, A672)</f>
        <v>1</v>
      </c>
      <c r="AA672" t="str">
        <f>IF(Y672&gt;1, "Exact Duplicate",
  IF(Z672&gt;1, "Conflicting Duplicate - Review",
    "Unique"))</f>
        <v>Unique</v>
      </c>
      <c r="AB672" s="2">
        <f>IF(ISBLANK(R672), 0, IF(ISTEXT(R672), VALUE(SUBSTITUTE(R672, "%", ""))/100, IF(OR(R672&lt;0, R672&gt;1), "Invalid", R672)))</f>
        <v>0.1</v>
      </c>
      <c r="AC672" s="4">
        <f>IF(AB672="Invalid", "Error", P672 * Q672 * (1 - AB672))</f>
        <v>6176.5920000000006</v>
      </c>
      <c r="AD672" s="4">
        <f>IF(AC672="Error", "Error", AC672 - T672)</f>
        <v>2615.6320000000005</v>
      </c>
      <c r="AE672" s="2">
        <f>IF(AC672="Error", "Error", IF(AC672=0, 0, AD672 / AC672))</f>
        <v>0.42347495188285067</v>
      </c>
      <c r="AF672" s="7">
        <f>C672-B672</f>
        <v>4</v>
      </c>
      <c r="AG672" s="2" t="str">
        <f>TEXT(B672, "mmmm")</f>
        <v>February</v>
      </c>
      <c r="AH672" s="4">
        <f>YEAR(B672)</f>
        <v>2025</v>
      </c>
      <c r="AI672" s="2" t="str">
        <f t="shared" si="24"/>
        <v>Clean</v>
      </c>
      <c r="AJ672">
        <f>COUNTIFS($A$2:$A$1000,A672,$B$2:$B$1000,B672,$C$2:$C$1000,C672,$D$2:$D$1000,D672,$E$2:$E$1000,E672,$F$2:$F$1000,F672)</f>
        <v>1</v>
      </c>
      <c r="AK672">
        <f>COUNTIF($A$2:$A$1000, A672)</f>
        <v>1</v>
      </c>
    </row>
    <row r="673" spans="1:37">
      <c r="A673" t="s">
        <v>2098</v>
      </c>
      <c r="B673" s="5">
        <v>45373</v>
      </c>
      <c r="C673" s="5">
        <v>45378</v>
      </c>
      <c r="D673" s="6">
        <f>IF(AND(C673&lt;&gt;"",B673&lt;&gt;""), C673-B673, "Missing Date")</f>
        <v>5</v>
      </c>
      <c r="E673" s="6" t="str">
        <f>IF(OR(B673="",C673=""), "Missing Date",
    IF(C673&lt;B673, "Invalid: Ship before Order",
      "OK"))</f>
        <v>OK</v>
      </c>
      <c r="F673" t="s">
        <v>2099</v>
      </c>
      <c r="G673" t="s">
        <v>89</v>
      </c>
      <c r="H673" t="s">
        <v>95</v>
      </c>
      <c r="I673" t="s">
        <v>63</v>
      </c>
      <c r="J673" t="s">
        <v>190</v>
      </c>
      <c r="K673" t="s">
        <v>191</v>
      </c>
      <c r="L673" t="s">
        <v>74</v>
      </c>
      <c r="M673" t="s">
        <v>80</v>
      </c>
      <c r="N673" t="s">
        <v>2100</v>
      </c>
      <c r="O673" t="s">
        <v>31</v>
      </c>
      <c r="P673">
        <v>9</v>
      </c>
      <c r="Q673">
        <v>3649.51</v>
      </c>
      <c r="R673">
        <v>0.05</v>
      </c>
      <c r="S673">
        <v>31203.31</v>
      </c>
      <c r="T673">
        <v>17738.13</v>
      </c>
      <c r="U673">
        <v>13465.18</v>
      </c>
      <c r="V673" t="s">
        <v>32</v>
      </c>
      <c r="W673" t="s">
        <v>33</v>
      </c>
      <c r="X673" t="str">
        <f>_xlfn.TEXTJOIN("|", TRUE, A673:W673)</f>
        <v>ORD-2024-10672|45373|45378|5|OK|CUST-3293|Aditi Sen|Home Office|West|Goa|Panaji|Technology|Copiers|Classic Copiers 583|Second Class|9|3649.51|0.05|31203.31|17738.13|13465.18|Paid|Completed</v>
      </c>
      <c r="Y673">
        <f>COUNTIF($X$2:$X$1000, X673)</f>
        <v>1</v>
      </c>
      <c r="Z673">
        <f>COUNTIF($A$2:$A$1000, A673)</f>
        <v>1</v>
      </c>
      <c r="AA673" t="str">
        <f>IF(Y673&gt;1, "Exact Duplicate",
  IF(Z673&gt;1, "Conflicting Duplicate - Review",
    "Unique"))</f>
        <v>Unique</v>
      </c>
      <c r="AB673" s="2">
        <f>IF(ISBLANK(R673), 0, IF(ISTEXT(R673), VALUE(SUBSTITUTE(R673, "%", ""))/100, IF(OR(R673&lt;0, R673&gt;1), "Invalid", R673)))</f>
        <v>0.05</v>
      </c>
      <c r="AC673" s="4">
        <f>IF(AB673="Invalid", "Error", P673 * Q673 * (1 - AB673))</f>
        <v>31203.310500000003</v>
      </c>
      <c r="AD673" s="4">
        <f>IF(AC673="Error", "Error", AC673 - T673)</f>
        <v>13465.180500000002</v>
      </c>
      <c r="AE673" s="2">
        <f>IF(AC673="Error", "Error", IF(AC673=0, 0, AD673 / AC673))</f>
        <v>0.43153051020019179</v>
      </c>
      <c r="AF673" s="7">
        <f>C673-B673</f>
        <v>5</v>
      </c>
      <c r="AG673" s="2" t="str">
        <f>TEXT(B673, "mmmm")</f>
        <v>March</v>
      </c>
      <c r="AH673" s="4">
        <f>YEAR(B673)</f>
        <v>2024</v>
      </c>
      <c r="AI673" s="2" t="str">
        <f t="shared" si="24"/>
        <v>Clean</v>
      </c>
      <c r="AJ673">
        <f>COUNTIFS($A$2:$A$1000,A673,$B$2:$B$1000,B673,$C$2:$C$1000,C673,$D$2:$D$1000,D673,$E$2:$E$1000,E673,$F$2:$F$1000,F673)</f>
        <v>1</v>
      </c>
      <c r="AK673">
        <f>COUNTIF($A$2:$A$1000, A673)</f>
        <v>1</v>
      </c>
    </row>
    <row r="674" spans="1:37">
      <c r="A674" t="s">
        <v>2101</v>
      </c>
      <c r="B674" s="5">
        <v>45539</v>
      </c>
      <c r="C674" s="5">
        <v>45540</v>
      </c>
      <c r="D674" s="6">
        <f>IF(AND(C674&lt;&gt;"",B674&lt;&gt;""), C674-B674, "Missing Date")</f>
        <v>1</v>
      </c>
      <c r="E674" s="6" t="str">
        <f>IF(OR(B674="",C674=""), "Missing Date",
    IF(C674&lt;B674, "Invalid: Ship before Order",
      "OK"))</f>
        <v>OK</v>
      </c>
      <c r="F674" t="s">
        <v>2102</v>
      </c>
      <c r="G674" t="s">
        <v>89</v>
      </c>
      <c r="H674" t="s">
        <v>90</v>
      </c>
      <c r="I674" t="s">
        <v>63</v>
      </c>
      <c r="J674" t="s">
        <v>72</v>
      </c>
      <c r="K674" t="s">
        <v>73</v>
      </c>
      <c r="L674" t="s">
        <v>41</v>
      </c>
      <c r="M674" t="s">
        <v>66</v>
      </c>
      <c r="N674" t="s">
        <v>2103</v>
      </c>
      <c r="O674" t="s">
        <v>59</v>
      </c>
      <c r="P674">
        <v>5</v>
      </c>
      <c r="Q674">
        <v>2528.5300000000002</v>
      </c>
      <c r="R674">
        <v>0.05</v>
      </c>
      <c r="S674">
        <v>12010.52</v>
      </c>
      <c r="T674">
        <v>7864.61</v>
      </c>
      <c r="U674">
        <v>4145.91</v>
      </c>
      <c r="V674" t="s">
        <v>32</v>
      </c>
      <c r="W674" t="s">
        <v>103</v>
      </c>
      <c r="X674" t="str">
        <f>_xlfn.TEXTJOIN("|", TRUE, A674:W674)</f>
        <v>ORD-2024-10673|45539|45540|1|OK|CUST-8180|Aditi Sen|Corporate|West|Madhya Pradesh|Indore|Furniture|Chairs|Classic Chairs 460|Standard Class|5|2528.53|0.05|12010.52|7864.61|4145.91|Paid|Returned</v>
      </c>
      <c r="Y674">
        <f>COUNTIF($X$2:$X$1000, X674)</f>
        <v>1</v>
      </c>
      <c r="Z674">
        <f>COUNTIF($A$2:$A$1000, A674)</f>
        <v>1</v>
      </c>
      <c r="AA674" t="str">
        <f>IF(Y674&gt;1, "Exact Duplicate",
  IF(Z674&gt;1, "Conflicting Duplicate - Review",
    "Unique"))</f>
        <v>Unique</v>
      </c>
      <c r="AB674" s="2">
        <f>IF(ISBLANK(R674), 0, IF(ISTEXT(R674), VALUE(SUBSTITUTE(R674, "%", ""))/100, IF(OR(R674&lt;0, R674&gt;1), "Invalid", R674)))</f>
        <v>0.05</v>
      </c>
      <c r="AC674" s="4">
        <f>IF(AB674="Invalid", "Error", P674 * Q674 * (1 - AB674))</f>
        <v>12010.5175</v>
      </c>
      <c r="AD674" s="4">
        <f>IF(AC674="Error", "Error", AC674 - T674)</f>
        <v>4145.9075000000003</v>
      </c>
      <c r="AE674" s="2">
        <f>IF(AC674="Error", "Error", IF(AC674=0, 0, AD674 / AC674))</f>
        <v>0.34518974723612039</v>
      </c>
      <c r="AF674" s="7">
        <f>C674-B674</f>
        <v>1</v>
      </c>
      <c r="AG674" s="2" t="str">
        <f>TEXT(B674, "mmmm")</f>
        <v>September</v>
      </c>
      <c r="AH674" s="4">
        <f>YEAR(B674)</f>
        <v>2024</v>
      </c>
      <c r="AI674" s="2" t="str">
        <f t="shared" si="24"/>
        <v>Clean</v>
      </c>
      <c r="AJ674">
        <f>COUNTIFS($A$2:$A$1000,A674,$B$2:$B$1000,B674,$C$2:$C$1000,C674,$D$2:$D$1000,D674,$E$2:$E$1000,E674,$F$2:$F$1000,F674)</f>
        <v>1</v>
      </c>
      <c r="AK674">
        <f>COUNTIF($A$2:$A$1000, A674)</f>
        <v>1</v>
      </c>
    </row>
    <row r="675" spans="1:37">
      <c r="A675" t="s">
        <v>2104</v>
      </c>
      <c r="B675" s="5">
        <v>45701</v>
      </c>
      <c r="C675" s="5">
        <v>45704</v>
      </c>
      <c r="D675" s="6">
        <f>IF(AND(C675&lt;&gt;"",B675&lt;&gt;""), C675-B675, "Missing Date")</f>
        <v>3</v>
      </c>
      <c r="E675" s="6" t="str">
        <f>IF(OR(B675="",C675=""), "Missing Date",
    IF(C675&lt;B675, "Invalid: Ship before Order",
      "OK"))</f>
        <v>OK</v>
      </c>
      <c r="F675" t="s">
        <v>2105</v>
      </c>
      <c r="G675" t="s">
        <v>53</v>
      </c>
      <c r="H675" t="s">
        <v>37</v>
      </c>
      <c r="I675" t="s">
        <v>63</v>
      </c>
      <c r="J675" t="s">
        <v>26</v>
      </c>
      <c r="K675" t="s">
        <v>109</v>
      </c>
      <c r="L675" t="s">
        <v>41</v>
      </c>
      <c r="M675" t="s">
        <v>158</v>
      </c>
      <c r="N675" t="s">
        <v>2106</v>
      </c>
      <c r="O675" t="s">
        <v>31</v>
      </c>
      <c r="P675">
        <v>4</v>
      </c>
      <c r="Q675">
        <v>4072.9</v>
      </c>
      <c r="R675">
        <v>0.15</v>
      </c>
      <c r="S675">
        <v>13847.86</v>
      </c>
      <c r="T675">
        <v>8471.7800000000007</v>
      </c>
      <c r="U675">
        <v>5376.08</v>
      </c>
      <c r="V675" t="s">
        <v>32</v>
      </c>
      <c r="W675" t="s">
        <v>33</v>
      </c>
      <c r="X675" t="str">
        <f>_xlfn.TEXTJOIN("|", TRUE, A675:W675)</f>
        <v>ORD-2025-10674|45701|45704|3|OK|CUST-2807|Arjun Bose|Small Business|West|Rajasthan|Udaipur|Furniture|Bookcases|Classic Bookcases 488|Second Class|4|4072.9|0.15|13847.86|8471.78|5376.08|Paid|Completed</v>
      </c>
      <c r="Y675">
        <f>COUNTIF($X$2:$X$1000, X675)</f>
        <v>1</v>
      </c>
      <c r="Z675">
        <f>COUNTIF($A$2:$A$1000, A675)</f>
        <v>1</v>
      </c>
      <c r="AA675" t="str">
        <f>IF(Y675&gt;1, "Exact Duplicate",
  IF(Z675&gt;1, "Conflicting Duplicate - Review",
    "Unique"))</f>
        <v>Unique</v>
      </c>
      <c r="AB675" s="2">
        <f>IF(ISBLANK(R675), 0, IF(ISTEXT(R675), VALUE(SUBSTITUTE(R675, "%", ""))/100, IF(OR(R675&lt;0, R675&gt;1), "Invalid", R675)))</f>
        <v>0.15</v>
      </c>
      <c r="AC675" s="4">
        <f>IF(AB675="Invalid", "Error", P675 * Q675 * (1 - AB675))</f>
        <v>13847.86</v>
      </c>
      <c r="AD675" s="4">
        <f>IF(AC675="Error", "Error", AC675 - T675)</f>
        <v>5376.08</v>
      </c>
      <c r="AE675" s="2">
        <f>IF(AC675="Error", "Error", IF(AC675=0, 0, AD675 / AC675))</f>
        <v>0.38822460654570451</v>
      </c>
      <c r="AF675" s="7">
        <f>C675-B675</f>
        <v>3</v>
      </c>
      <c r="AG675" s="2" t="str">
        <f>TEXT(B675, "mmmm")</f>
        <v>February</v>
      </c>
      <c r="AH675" s="4">
        <f>YEAR(B675)</f>
        <v>2025</v>
      </c>
      <c r="AI675" s="2" t="str">
        <f t="shared" si="24"/>
        <v>Clean</v>
      </c>
      <c r="AJ675">
        <f>COUNTIFS($A$2:$A$1000,A675,$B$2:$B$1000,B675,$C$2:$C$1000,C675,$D$2:$D$1000,D675,$E$2:$E$1000,E675,$F$2:$F$1000,F675)</f>
        <v>1</v>
      </c>
      <c r="AK675">
        <f>COUNTIF($A$2:$A$1000, A675)</f>
        <v>1</v>
      </c>
    </row>
    <row r="676" spans="1:37">
      <c r="A676" t="s">
        <v>2107</v>
      </c>
      <c r="B676" s="5">
        <v>45430</v>
      </c>
      <c r="C676" s="5">
        <v>45433</v>
      </c>
      <c r="D676" s="6">
        <f>IF(AND(C676&lt;&gt;"",B676&lt;&gt;""), C676-B676, "Missing Date")</f>
        <v>3</v>
      </c>
      <c r="E676" s="6" t="str">
        <f>IF(OR(B676="",C676=""), "Missing Date",
    IF(C676&lt;B676, "Invalid: Ship before Order",
      "OK"))</f>
        <v>OK</v>
      </c>
      <c r="F676" t="s">
        <v>2108</v>
      </c>
      <c r="G676" t="s">
        <v>71</v>
      </c>
      <c r="H676" t="s">
        <v>90</v>
      </c>
      <c r="I676" t="s">
        <v>38</v>
      </c>
      <c r="J676" t="s">
        <v>228</v>
      </c>
      <c r="K676" t="s">
        <v>229</v>
      </c>
      <c r="L676" t="s">
        <v>74</v>
      </c>
      <c r="M676" t="s">
        <v>75</v>
      </c>
      <c r="N676" t="s">
        <v>2109</v>
      </c>
      <c r="O676" t="s">
        <v>31</v>
      </c>
      <c r="P676">
        <v>1</v>
      </c>
      <c r="Q676">
        <v>1033.71</v>
      </c>
      <c r="R676">
        <v>0</v>
      </c>
      <c r="S676">
        <v>1033.71</v>
      </c>
      <c r="T676">
        <v>630.82000000000005</v>
      </c>
      <c r="U676">
        <v>402.89</v>
      </c>
      <c r="V676" t="s">
        <v>111</v>
      </c>
      <c r="W676" t="s">
        <v>103</v>
      </c>
      <c r="X676" t="str">
        <f>_xlfn.TEXTJOIN("|", TRUE, A676:W676)</f>
        <v>ORD-2024-10675|45430|45433|3|OK|CUST-4081|Vikram Iyer|Corporate|East|Jharkhand|Ranchi|Technology|Accessories|Basic Accessories 944|Second Class|1|1033.71|0|1033.71|630.82|402.89|Pending|Returned</v>
      </c>
      <c r="Y676">
        <f>COUNTIF($X$2:$X$1000, X676)</f>
        <v>1</v>
      </c>
      <c r="Z676">
        <f>COUNTIF($A$2:$A$1000, A676)</f>
        <v>1</v>
      </c>
      <c r="AA676" t="str">
        <f>IF(Y676&gt;1, "Exact Duplicate",
  IF(Z676&gt;1, "Conflicting Duplicate - Review",
    "Unique"))</f>
        <v>Unique</v>
      </c>
      <c r="AB676" s="2">
        <f>IF(ISBLANK(R676), 0, IF(ISTEXT(R676), VALUE(SUBSTITUTE(R676, "%", ""))/100, IF(OR(R676&lt;0, R676&gt;1), "Invalid", R676)))</f>
        <v>0</v>
      </c>
      <c r="AC676" s="4">
        <f>IF(AB676="Invalid", "Error", P676 * Q676 * (1 - AB676))</f>
        <v>1033.71</v>
      </c>
      <c r="AD676" s="4">
        <f>IF(AC676="Error", "Error", AC676 - T676)</f>
        <v>402.89</v>
      </c>
      <c r="AE676" s="2">
        <f>IF(AC676="Error", "Error", IF(AC676=0, 0, AD676 / AC676))</f>
        <v>0.38975147768716562</v>
      </c>
      <c r="AF676" s="7">
        <f>C676-B676</f>
        <v>3</v>
      </c>
      <c r="AG676" s="2" t="str">
        <f>TEXT(B676, "mmmm")</f>
        <v>May</v>
      </c>
      <c r="AH676" s="4">
        <f>YEAR(B676)</f>
        <v>2024</v>
      </c>
      <c r="AI676" s="2" t="str">
        <f t="shared" si="24"/>
        <v>Clean</v>
      </c>
      <c r="AJ676">
        <f>COUNTIFS($A$2:$A$1000,A676,$B$2:$B$1000,B676,$C$2:$C$1000,C676,$D$2:$D$1000,D676,$E$2:$E$1000,E676,$F$2:$F$1000,F676)</f>
        <v>1</v>
      </c>
      <c r="AK676">
        <f>COUNTIF($A$2:$A$1000, A676)</f>
        <v>1</v>
      </c>
    </row>
    <row r="677" spans="1:37">
      <c r="A677" t="s">
        <v>2110</v>
      </c>
      <c r="B677" s="5">
        <v>45815</v>
      </c>
      <c r="C677" s="5">
        <v>45936</v>
      </c>
      <c r="D677" s="6">
        <f>IF(AND(C677&lt;&gt;"",B677&lt;&gt;""), C677-B677, "Missing Date")</f>
        <v>121</v>
      </c>
      <c r="E677" s="6" t="str">
        <f>IF(OR(B677="",C677=""), "Missing Date",
    IF(C677&lt;B677, "Invalid: Ship before Order",
      "OK"))</f>
        <v>OK</v>
      </c>
      <c r="F677" t="s">
        <v>2011</v>
      </c>
      <c r="G677" t="s">
        <v>128</v>
      </c>
      <c r="H677" t="s">
        <v>24</v>
      </c>
      <c r="I677" t="s">
        <v>25</v>
      </c>
      <c r="J677" t="s">
        <v>26</v>
      </c>
      <c r="K677" t="s">
        <v>27</v>
      </c>
      <c r="L677" t="s">
        <v>41</v>
      </c>
      <c r="M677" t="s">
        <v>57</v>
      </c>
      <c r="N677" t="s">
        <v>2111</v>
      </c>
      <c r="O677" t="s">
        <v>44</v>
      </c>
      <c r="P677">
        <v>3</v>
      </c>
      <c r="Q677">
        <v>963.26</v>
      </c>
      <c r="R677">
        <v>0</v>
      </c>
      <c r="S677">
        <v>2889.78</v>
      </c>
      <c r="T677">
        <v>1811.23</v>
      </c>
      <c r="U677">
        <v>1078.55</v>
      </c>
      <c r="V677" t="s">
        <v>32</v>
      </c>
      <c r="W677" t="s">
        <v>33</v>
      </c>
      <c r="X677" t="str">
        <f>_xlfn.TEXTJOIN("|", TRUE, A677:W677)</f>
        <v>ORD-2025-10676|45815|45936|121|OK|CUST-5061|Aarav Sharma|Consumer|North|Rajasthan|Jaipur|Furniture|Furnishings|Eco Furnishings 217|Same Day|3|963.26|0|2889.78|1811.23|1078.55|Paid|Completed</v>
      </c>
      <c r="Y677">
        <f>COUNTIF($X$2:$X$1000, X677)</f>
        <v>1</v>
      </c>
      <c r="Z677">
        <f>COUNTIF($A$2:$A$1000, A677)</f>
        <v>1</v>
      </c>
      <c r="AA677" t="str">
        <f>IF(Y677&gt;1, "Exact Duplicate",
  IF(Z677&gt;1, "Conflicting Duplicate - Review",
    "Unique"))</f>
        <v>Unique</v>
      </c>
      <c r="AB677" s="2">
        <f>IF(ISBLANK(R677), 0, IF(ISTEXT(R677), VALUE(SUBSTITUTE(R677, "%", ""))/100, IF(OR(R677&lt;0, R677&gt;1), "Invalid", R677)))</f>
        <v>0</v>
      </c>
      <c r="AC677" s="4">
        <f>IF(AB677="Invalid", "Error", P677 * Q677 * (1 - AB677))</f>
        <v>2889.7799999999997</v>
      </c>
      <c r="AD677" s="4">
        <f>IF(AC677="Error", "Error", AC677 - T677)</f>
        <v>1078.5499999999997</v>
      </c>
      <c r="AE677" s="2">
        <f>IF(AC677="Error", "Error", IF(AC677=0, 0, AD677 / AC677))</f>
        <v>0.37322910394562903</v>
      </c>
      <c r="AF677" s="7">
        <f>C677-B677</f>
        <v>121</v>
      </c>
      <c r="AG677" s="2" t="str">
        <f>TEXT(B677, "mmmm")</f>
        <v>June</v>
      </c>
      <c r="AH677" s="4">
        <f>YEAR(B677)</f>
        <v>2025</v>
      </c>
      <c r="AI677" s="2" t="str">
        <f t="shared" si="24"/>
        <v>Clean</v>
      </c>
      <c r="AJ677">
        <f>COUNTIFS($A$2:$A$1000,A677,$B$2:$B$1000,B677,$C$2:$C$1000,C677,$D$2:$D$1000,D677,$E$2:$E$1000,E677,$F$2:$F$1000,F677)</f>
        <v>1</v>
      </c>
      <c r="AK677">
        <f>COUNTIF($A$2:$A$1000, A677)</f>
        <v>1</v>
      </c>
    </row>
    <row r="678" spans="1:37">
      <c r="A678" t="s">
        <v>2112</v>
      </c>
      <c r="B678" s="5">
        <v>45970</v>
      </c>
      <c r="C678" s="5">
        <v>45918</v>
      </c>
      <c r="D678" s="6">
        <f>IF(AND(C678&lt;&gt;"",B678&lt;&gt;""), C678-B678, "Missing Date")</f>
        <v>-52</v>
      </c>
      <c r="E678" s="6" t="str">
        <f>IF(OR(B678="",C678=""), "Missing Date",
    IF(C678&lt;B678, "Invalid: Ship before Order",
      "OK"))</f>
        <v>Invalid: Ship before Order</v>
      </c>
      <c r="F678" t="s">
        <v>2113</v>
      </c>
      <c r="G678" t="s">
        <v>118</v>
      </c>
      <c r="H678" t="s">
        <v>37</v>
      </c>
      <c r="I678" t="s">
        <v>25</v>
      </c>
      <c r="J678" t="s">
        <v>350</v>
      </c>
      <c r="K678" t="s">
        <v>351</v>
      </c>
      <c r="L678" t="s">
        <v>74</v>
      </c>
      <c r="M678" t="s">
        <v>171</v>
      </c>
      <c r="N678" t="s">
        <v>2114</v>
      </c>
      <c r="O678" t="s">
        <v>44</v>
      </c>
      <c r="P678">
        <v>7</v>
      </c>
      <c r="Q678">
        <v>3411.21</v>
      </c>
      <c r="R678">
        <v>0.15</v>
      </c>
      <c r="S678">
        <v>20296.7</v>
      </c>
      <c r="T678">
        <v>14920.87</v>
      </c>
      <c r="U678">
        <v>5375.83</v>
      </c>
      <c r="V678" t="s">
        <v>32</v>
      </c>
      <c r="W678" t="s">
        <v>33</v>
      </c>
      <c r="X678" t="str">
        <f>_xlfn.TEXTJOIN("|", TRUE, A678:W678)</f>
        <v>ORD-2025-10677|45970|45918|-52|Invalid: Ship before Order|CUST-9212|Rahul Verma|Small Business|North|Delhi|New Delhi|Technology|Phones|Smart Phones 967|Same Day|7|3411.21|0.15|20296.7|14920.87|5375.83|Paid|Completed</v>
      </c>
      <c r="Y678">
        <f>COUNTIF($X$2:$X$1000, X678)</f>
        <v>1</v>
      </c>
      <c r="Z678">
        <f>COUNTIF($A$2:$A$1000, A678)</f>
        <v>2</v>
      </c>
      <c r="AA678" t="str">
        <f>IF(Y678&gt;1, "Exact Duplicate",
  IF(Z678&gt;1, "Conflicting Duplicate - Review",
    "Unique"))</f>
        <v>Conflicting Duplicate - Review</v>
      </c>
      <c r="AB678" s="2">
        <f>IF(ISBLANK(R678), 0, IF(ISTEXT(R678), VALUE(SUBSTITUTE(R678, "%", ""))/100, IF(OR(R678&lt;0, R678&gt;1), "Invalid", R678)))</f>
        <v>0.15</v>
      </c>
      <c r="AC678" s="4">
        <f>IF(AB678="Invalid", "Error", P678 * Q678 * (1 - AB678))</f>
        <v>20296.699499999999</v>
      </c>
      <c r="AD678" s="4">
        <f>IF(AC678="Error", "Error", AC678 - T678)</f>
        <v>5375.829499999998</v>
      </c>
      <c r="AE678" s="2">
        <f>IF(AC678="Error", "Error", IF(AC678=0, 0, AD678 / AC678))</f>
        <v>0.26486225014071862</v>
      </c>
      <c r="AF678" s="7">
        <f>C678-B678</f>
        <v>-52</v>
      </c>
      <c r="AG678" s="2" t="str">
        <f>TEXT(B678, "mmmm")</f>
        <v>November</v>
      </c>
      <c r="AH678" s="4">
        <f>YEAR(B678)</f>
        <v>2025</v>
      </c>
      <c r="AI678" s="2" t="str">
        <f t="shared" si="24"/>
        <v>Invalid Shipping Record</v>
      </c>
      <c r="AJ678">
        <f>COUNTIFS($A$2:$A$1000,A678,$B$2:$B$1000,B678,$C$2:$C$1000,C678,$D$2:$D$1000,D678,$E$2:$E$1000,E678,$F$2:$F$1000,F678)</f>
        <v>2</v>
      </c>
      <c r="AK678">
        <f>COUNTIF($A$2:$A$1000, A678)</f>
        <v>2</v>
      </c>
    </row>
    <row r="679" spans="1:37">
      <c r="A679" t="s">
        <v>2115</v>
      </c>
      <c r="B679" s="5">
        <v>45465</v>
      </c>
      <c r="C679" s="5">
        <v>45470</v>
      </c>
      <c r="D679" s="6">
        <f>IF(AND(C679&lt;&gt;"",B679&lt;&gt;""), C679-B679, "Missing Date")</f>
        <v>5</v>
      </c>
      <c r="E679" s="6" t="str">
        <f>IF(OR(B679="",C679=""), "Missing Date",
    IF(C679&lt;B679, "Invalid: Ship before Order",
      "OK"))</f>
        <v>OK</v>
      </c>
      <c r="F679" t="s">
        <v>22</v>
      </c>
      <c r="G679" t="s">
        <v>47</v>
      </c>
      <c r="H679" t="s">
        <v>95</v>
      </c>
      <c r="I679" t="s">
        <v>54</v>
      </c>
      <c r="J679" t="s">
        <v>175</v>
      </c>
      <c r="K679" t="s">
        <v>176</v>
      </c>
      <c r="L679" t="s">
        <v>41</v>
      </c>
      <c r="M679" t="s">
        <v>66</v>
      </c>
      <c r="N679" t="s">
        <v>2116</v>
      </c>
      <c r="O679" t="s">
        <v>44</v>
      </c>
      <c r="P679">
        <v>7</v>
      </c>
      <c r="Q679">
        <v>2623.48</v>
      </c>
      <c r="R679">
        <v>0</v>
      </c>
      <c r="S679">
        <v>18364.36</v>
      </c>
      <c r="T679">
        <v>15445.81</v>
      </c>
      <c r="U679">
        <v>2918.55</v>
      </c>
      <c r="V679" t="s">
        <v>32</v>
      </c>
      <c r="W679" t="s">
        <v>33</v>
      </c>
      <c r="X679" t="str">
        <f>_xlfn.TEXTJOIN("|", TRUE, A679:W679)</f>
        <v>ORD-2024-10678|45465|45470|5|OK|CUST-4655|Isha Nair|Home Office|South|Karnataka|Bengaluru|Furniture|Chairs|Smart Chairs 610|Same Day|7|2623.48|0|18364.36|15445.81|2918.55|Paid|Completed</v>
      </c>
      <c r="Y679">
        <f>COUNTIF($X$2:$X$1000, X679)</f>
        <v>1</v>
      </c>
      <c r="Z679">
        <f>COUNTIF($A$2:$A$1000, A679)</f>
        <v>1</v>
      </c>
      <c r="AA679" t="str">
        <f>IF(Y679&gt;1, "Exact Duplicate",
  IF(Z679&gt;1, "Conflicting Duplicate - Review",
    "Unique"))</f>
        <v>Unique</v>
      </c>
      <c r="AB679" s="2">
        <f>IF(ISBLANK(R679), 0, IF(ISTEXT(R679), VALUE(SUBSTITUTE(R679, "%", ""))/100, IF(OR(R679&lt;0, R679&gt;1), "Invalid", R679)))</f>
        <v>0</v>
      </c>
      <c r="AC679" s="4">
        <f>IF(AB679="Invalid", "Error", P679 * Q679 * (1 - AB679))</f>
        <v>18364.36</v>
      </c>
      <c r="AD679" s="4">
        <f>IF(AC679="Error", "Error", AC679 - T679)</f>
        <v>2918.5500000000011</v>
      </c>
      <c r="AE679" s="2">
        <f>IF(AC679="Error", "Error", IF(AC679=0, 0, AD679 / AC679))</f>
        <v>0.15892467801763857</v>
      </c>
      <c r="AF679" s="7">
        <f>C679-B679</f>
        <v>5</v>
      </c>
      <c r="AG679" s="2" t="str">
        <f>TEXT(B679, "mmmm")</f>
        <v>June</v>
      </c>
      <c r="AH679" s="4">
        <f>YEAR(B679)</f>
        <v>2024</v>
      </c>
      <c r="AI679" s="2" t="str">
        <f t="shared" si="24"/>
        <v>Clean</v>
      </c>
      <c r="AJ679">
        <f>COUNTIFS($A$2:$A$1000,A679,$B$2:$B$1000,B679,$C$2:$C$1000,C679,$D$2:$D$1000,D679,$E$2:$E$1000,E679,$F$2:$F$1000,F679)</f>
        <v>1</v>
      </c>
      <c r="AK679">
        <f>COUNTIF($A$2:$A$1000, A679)</f>
        <v>1</v>
      </c>
    </row>
    <row r="680" spans="1:37">
      <c r="A680" t="s">
        <v>2117</v>
      </c>
      <c r="B680" s="5">
        <v>45620</v>
      </c>
      <c r="C680" s="5">
        <v>45303</v>
      </c>
      <c r="D680" s="6">
        <f>IF(AND(C680&lt;&gt;"",B680&lt;&gt;""), C680-B680, "Missing Date")</f>
        <v>-317</v>
      </c>
      <c r="E680" s="6" t="str">
        <f>IF(OR(B680="",C680=""), "Missing Date",
    IF(C680&lt;B680, "Invalid: Ship before Order",
      "OK"))</f>
        <v>Invalid: Ship before Order</v>
      </c>
      <c r="F680" t="s">
        <v>2118</v>
      </c>
      <c r="G680" t="s">
        <v>264</v>
      </c>
      <c r="H680" t="s">
        <v>90</v>
      </c>
      <c r="I680" t="s">
        <v>54</v>
      </c>
      <c r="J680" t="s">
        <v>175</v>
      </c>
      <c r="K680" t="s">
        <v>176</v>
      </c>
      <c r="L680" t="s">
        <v>41</v>
      </c>
      <c r="M680" t="s">
        <v>42</v>
      </c>
      <c r="N680" t="s">
        <v>2119</v>
      </c>
      <c r="O680" t="s">
        <v>31</v>
      </c>
      <c r="P680">
        <v>9</v>
      </c>
      <c r="Q680">
        <v>2763.61</v>
      </c>
      <c r="R680">
        <v>0.15</v>
      </c>
      <c r="S680">
        <v>21141.62</v>
      </c>
      <c r="T680">
        <v>11676.33</v>
      </c>
      <c r="U680">
        <v>9465.2900000000009</v>
      </c>
      <c r="V680" t="s">
        <v>32</v>
      </c>
      <c r="W680" t="s">
        <v>33</v>
      </c>
      <c r="X680" t="str">
        <f>_xlfn.TEXTJOIN("|", TRUE, A680:W680)</f>
        <v>ORD-2024-10679|45620|45303|-317|Invalid: Ship before Order|CUST-1674|Kabir Singh|Corporate|South|Karnataka|Bengaluru|Furniture|Tables|Prime Tables 123|Second Class|9|2763.61|0.15|21141.62|11676.33|9465.29|Paid|Completed</v>
      </c>
      <c r="Y680">
        <f>COUNTIF($X$2:$X$1000, X680)</f>
        <v>1</v>
      </c>
      <c r="Z680">
        <f>COUNTIF($A$2:$A$1000, A680)</f>
        <v>1</v>
      </c>
      <c r="AA680" t="str">
        <f>IF(Y680&gt;1, "Exact Duplicate",
  IF(Z680&gt;1, "Conflicting Duplicate - Review",
    "Unique"))</f>
        <v>Unique</v>
      </c>
      <c r="AB680" s="2">
        <f>IF(ISBLANK(R680), 0, IF(ISTEXT(R680), VALUE(SUBSTITUTE(R680, "%", ""))/100, IF(OR(R680&lt;0, R680&gt;1), "Invalid", R680)))</f>
        <v>0.15</v>
      </c>
      <c r="AC680" s="4">
        <f>IF(AB680="Invalid", "Error", P680 * Q680 * (1 - AB680))</f>
        <v>21141.6165</v>
      </c>
      <c r="AD680" s="4">
        <f>IF(AC680="Error", "Error", AC680 - T680)</f>
        <v>9465.2865000000002</v>
      </c>
      <c r="AE680" s="2">
        <f>IF(AC680="Error", "Error", IF(AC680=0, 0, AD680 / AC680))</f>
        <v>0.44770874071999178</v>
      </c>
      <c r="AF680" s="7">
        <f>C680-B680</f>
        <v>-317</v>
      </c>
      <c r="AG680" s="2" t="str">
        <f>TEXT(B680, "mmmm")</f>
        <v>November</v>
      </c>
      <c r="AH680" s="4">
        <f>YEAR(B680)</f>
        <v>2024</v>
      </c>
      <c r="AI680" s="2" t="str">
        <f t="shared" si="24"/>
        <v>Invalid Shipping Record</v>
      </c>
      <c r="AJ680">
        <f>COUNTIFS($A$2:$A$1000,A680,$B$2:$B$1000,B680,$C$2:$C$1000,C680,$D$2:$D$1000,D680,$E$2:$E$1000,E680,$F$2:$F$1000,F680)</f>
        <v>1</v>
      </c>
      <c r="AK680">
        <f>COUNTIF($A$2:$A$1000, A680)</f>
        <v>1</v>
      </c>
    </row>
    <row r="681" spans="1:37">
      <c r="A681" t="s">
        <v>2120</v>
      </c>
      <c r="B681" s="5">
        <v>45885</v>
      </c>
      <c r="C681" s="5">
        <v>45892</v>
      </c>
      <c r="D681" s="6">
        <f>IF(AND(C681&lt;&gt;"",B681&lt;&gt;""), C681-B681, "Missing Date")</f>
        <v>7</v>
      </c>
      <c r="E681" s="6" t="str">
        <f>IF(OR(B681="",C681=""), "Missing Date",
    IF(C681&lt;B681, "Invalid: Ship before Order",
      "OK"))</f>
        <v>OK</v>
      </c>
      <c r="F681" t="s">
        <v>2121</v>
      </c>
      <c r="G681" t="s">
        <v>141</v>
      </c>
      <c r="H681" t="s">
        <v>90</v>
      </c>
      <c r="I681" t="s">
        <v>25</v>
      </c>
      <c r="J681" t="s">
        <v>122</v>
      </c>
      <c r="K681" t="s">
        <v>123</v>
      </c>
      <c r="L681" t="s">
        <v>74</v>
      </c>
      <c r="M681" t="s">
        <v>80</v>
      </c>
      <c r="N681" t="s">
        <v>2122</v>
      </c>
      <c r="O681" t="s">
        <v>44</v>
      </c>
      <c r="P681">
        <v>4</v>
      </c>
      <c r="Q681">
        <v>1410.57</v>
      </c>
      <c r="R681" s="9">
        <v>0.7</v>
      </c>
      <c r="S681">
        <v>5360.17</v>
      </c>
      <c r="T681">
        <v>3881.51</v>
      </c>
      <c r="U681">
        <v>1478.66</v>
      </c>
      <c r="V681" t="s">
        <v>102</v>
      </c>
      <c r="W681" t="s">
        <v>68</v>
      </c>
      <c r="X681" t="str">
        <f>_xlfn.TEXTJOIN("|", TRUE, A681:W681)</f>
        <v>ORD-2025-10680|45885|45892|7|OK|CUST-2897|Rohan Mehta|Corporate|North|Punjab|Ludhiana|Technology|Copiers|Smart Copiers 579|Same Day|4|1410.57|0.7|5360.17|3881.51|1478.66|Refunded|Cancelled</v>
      </c>
      <c r="Y681">
        <f>COUNTIF($X$2:$X$1000, X681)</f>
        <v>1</v>
      </c>
      <c r="Z681">
        <f>COUNTIF($A$2:$A$1000, A681)</f>
        <v>1</v>
      </c>
      <c r="AA681" t="str">
        <f>IF(Y681&gt;1, "Exact Duplicate",
  IF(Z681&gt;1, "Conflicting Duplicate - Review",
    "Unique"))</f>
        <v>Unique</v>
      </c>
      <c r="AB681" s="2">
        <f>IF(ISBLANK(R681), 0, IF(ISTEXT(R681), VALUE(SUBSTITUTE(R681, "%", ""))/100, IF(OR(R681&lt;0, R681&gt;1), "Invalid", R681)))</f>
        <v>0.7</v>
      </c>
      <c r="AC681" s="4">
        <f>IF(AB681="Invalid", "Error", P681 * Q681 * (1 - AB681))</f>
        <v>1692.6840000000002</v>
      </c>
      <c r="AD681" s="4">
        <f>IF(AC681="Error", "Error", AC681 - T681)</f>
        <v>-2188.826</v>
      </c>
      <c r="AE681" s="2">
        <f>IF(AC681="Error", "Error", IF(AC681=0, 0, AD681 / AC681))</f>
        <v>-1.2931096412561351</v>
      </c>
      <c r="AF681" s="7">
        <f>C681-B681</f>
        <v>7</v>
      </c>
      <c r="AG681" s="2" t="str">
        <f>TEXT(B681, "mmmm")</f>
        <v>August</v>
      </c>
      <c r="AH681" s="4">
        <f>YEAR(B681)</f>
        <v>2025</v>
      </c>
      <c r="AI681" s="2" t="str">
        <f t="shared" si="24"/>
        <v>Excluded from Sales</v>
      </c>
      <c r="AJ681">
        <f>COUNTIFS($A$2:$A$1000,A681,$B$2:$B$1000,B681,$C$2:$C$1000,C681,$D$2:$D$1000,D681,$E$2:$E$1000,E681,$F$2:$F$1000,F681)</f>
        <v>1</v>
      </c>
      <c r="AK681">
        <f>COUNTIF($A$2:$A$1000, A681)</f>
        <v>1</v>
      </c>
    </row>
    <row r="682" spans="1:37">
      <c r="A682" t="s">
        <v>2123</v>
      </c>
      <c r="B682" s="5">
        <v>45441</v>
      </c>
      <c r="C682" s="5">
        <v>45448</v>
      </c>
      <c r="D682" s="6">
        <f>IF(AND(C682&lt;&gt;"",B682&lt;&gt;""), C682-B682, "Missing Date")</f>
        <v>7</v>
      </c>
      <c r="E682" s="6" t="str">
        <f>IF(OR(B682="",C682=""), "Missing Date",
    IF(C682&lt;B682, "Invalid: Ship before Order",
      "OK"))</f>
        <v>OK</v>
      </c>
      <c r="F682" t="s">
        <v>2124</v>
      </c>
      <c r="G682" t="s">
        <v>264</v>
      </c>
      <c r="H682" t="s">
        <v>90</v>
      </c>
      <c r="I682" t="s">
        <v>54</v>
      </c>
      <c r="J682" t="s">
        <v>247</v>
      </c>
      <c r="K682" t="s">
        <v>248</v>
      </c>
      <c r="L682" t="s">
        <v>74</v>
      </c>
      <c r="M682" t="s">
        <v>75</v>
      </c>
      <c r="N682" t="s">
        <v>2125</v>
      </c>
      <c r="O682" t="s">
        <v>50</v>
      </c>
      <c r="P682">
        <v>4</v>
      </c>
      <c r="Q682">
        <v>3700.24</v>
      </c>
      <c r="R682">
        <v>0</v>
      </c>
      <c r="S682">
        <v>14800.96</v>
      </c>
      <c r="T682">
        <v>12048.39</v>
      </c>
      <c r="U682">
        <v>2752.57</v>
      </c>
      <c r="V682" t="s">
        <v>32</v>
      </c>
      <c r="W682" t="s">
        <v>33</v>
      </c>
      <c r="X682" t="str">
        <f>_xlfn.TEXTJOIN("|", TRUE, A682:W682)</f>
        <v>ORD-2024-10681|45441|45448|7|OK|CUST-1136|Kabir Singh|Corporate|South|Tamil Nadu|Chennai|Technology|Accessories|Eco Accessories 658|First Class|4|3700.24|0|14800.96|12048.39|2752.57|Paid|Completed</v>
      </c>
      <c r="Y682">
        <f>COUNTIF($X$2:$X$1000, X682)</f>
        <v>1</v>
      </c>
      <c r="Z682">
        <f>COUNTIF($A$2:$A$1000, A682)</f>
        <v>1</v>
      </c>
      <c r="AA682" t="str">
        <f>IF(Y682&gt;1, "Exact Duplicate",
  IF(Z682&gt;1, "Conflicting Duplicate - Review",
    "Unique"))</f>
        <v>Unique</v>
      </c>
      <c r="AB682" s="2">
        <f>IF(ISBLANK(R682), 0, IF(ISTEXT(R682), VALUE(SUBSTITUTE(R682, "%", ""))/100, IF(OR(R682&lt;0, R682&gt;1), "Invalid", R682)))</f>
        <v>0</v>
      </c>
      <c r="AC682" s="4">
        <f>IF(AB682="Invalid", "Error", P682 * Q682 * (1 - AB682))</f>
        <v>14800.96</v>
      </c>
      <c r="AD682" s="4">
        <f>IF(AC682="Error", "Error", AC682 - T682)</f>
        <v>2752.5699999999997</v>
      </c>
      <c r="AE682" s="2">
        <f>IF(AC682="Error", "Error", IF(AC682=0, 0, AD682 / AC682))</f>
        <v>0.18597239638509933</v>
      </c>
      <c r="AF682" s="7">
        <f>C682-B682</f>
        <v>7</v>
      </c>
      <c r="AG682" s="2" t="str">
        <f>TEXT(B682, "mmmm")</f>
        <v>May</v>
      </c>
      <c r="AH682" s="4">
        <f>YEAR(B682)</f>
        <v>2024</v>
      </c>
      <c r="AI682" s="2" t="str">
        <f t="shared" si="24"/>
        <v>Clean</v>
      </c>
      <c r="AJ682">
        <f>COUNTIFS($A$2:$A$1000,A682,$B$2:$B$1000,B682,$C$2:$C$1000,C682,$D$2:$D$1000,D682,$E$2:$E$1000,E682,$F$2:$F$1000,F682)</f>
        <v>1</v>
      </c>
      <c r="AK682">
        <f>COUNTIF($A$2:$A$1000, A682)</f>
        <v>1</v>
      </c>
    </row>
    <row r="683" spans="1:37">
      <c r="A683" t="s">
        <v>2126</v>
      </c>
      <c r="B683" s="5">
        <v>45389</v>
      </c>
      <c r="C683" s="5">
        <v>45483</v>
      </c>
      <c r="D683" s="6">
        <f>IF(AND(C683&lt;&gt;"",B683&lt;&gt;""), C683-B683, "Missing Date")</f>
        <v>94</v>
      </c>
      <c r="E683" s="6" t="str">
        <f>IF(OR(B683="",C683=""), "Missing Date",
    IF(C683&lt;B683, "Invalid: Ship before Order",
      "OK"))</f>
        <v>OK</v>
      </c>
      <c r="F683" t="s">
        <v>2127</v>
      </c>
      <c r="G683" t="s">
        <v>71</v>
      </c>
      <c r="H683" t="s">
        <v>90</v>
      </c>
      <c r="I683" t="s">
        <v>25</v>
      </c>
      <c r="J683" t="s">
        <v>350</v>
      </c>
      <c r="K683" t="s">
        <v>351</v>
      </c>
      <c r="L683" t="s">
        <v>41</v>
      </c>
      <c r="M683" t="s">
        <v>42</v>
      </c>
      <c r="N683" t="s">
        <v>2128</v>
      </c>
      <c r="O683" t="s">
        <v>31</v>
      </c>
      <c r="P683">
        <v>5</v>
      </c>
      <c r="Q683">
        <v>1200.27</v>
      </c>
      <c r="R683">
        <v>0</v>
      </c>
      <c r="S683">
        <v>6001.35</v>
      </c>
      <c r="T683">
        <v>4182.99</v>
      </c>
      <c r="U683">
        <v>1818.36</v>
      </c>
      <c r="V683" t="s">
        <v>32</v>
      </c>
      <c r="W683" t="s">
        <v>68</v>
      </c>
      <c r="X683" t="str">
        <f>_xlfn.TEXTJOIN("|", TRUE, A683:W683)</f>
        <v>ORD-2024-10682|45389|45483|94|OK|CUST-1376|Vikram Iyer|Corporate|North|Delhi|New Delhi|Furniture|Tables|Smart Tables 777|Second Class|5|1200.27|0|6001.35|4182.99|1818.36|Paid|Cancelled</v>
      </c>
      <c r="Y683">
        <f>COUNTIF($X$2:$X$1000, X683)</f>
        <v>1</v>
      </c>
      <c r="Z683">
        <f>COUNTIF($A$2:$A$1000, A683)</f>
        <v>1</v>
      </c>
      <c r="AA683" t="str">
        <f>IF(Y683&gt;1, "Exact Duplicate",
  IF(Z683&gt;1, "Conflicting Duplicate - Review",
    "Unique"))</f>
        <v>Unique</v>
      </c>
      <c r="AB683" s="2">
        <f>IF(ISBLANK(R683), 0, IF(ISTEXT(R683), VALUE(SUBSTITUTE(R683, "%", ""))/100, IF(OR(R683&lt;0, R683&gt;1), "Invalid", R683)))</f>
        <v>0</v>
      </c>
      <c r="AC683" s="4">
        <f>IF(AB683="Invalid", "Error", P683 * Q683 * (1 - AB683))</f>
        <v>6001.35</v>
      </c>
      <c r="AD683" s="4">
        <f>IF(AC683="Error", "Error", AC683 - T683)</f>
        <v>1818.3600000000006</v>
      </c>
      <c r="AE683" s="2">
        <f>IF(AC683="Error", "Error", IF(AC683=0, 0, AD683 / AC683))</f>
        <v>0.30299182683896131</v>
      </c>
      <c r="AF683" s="7">
        <f>C683-B683</f>
        <v>94</v>
      </c>
      <c r="AG683" s="2" t="str">
        <f>TEXT(B683, "mmmm")</f>
        <v>April</v>
      </c>
      <c r="AH683" s="4">
        <f>YEAR(B683)</f>
        <v>2024</v>
      </c>
      <c r="AI683" s="2" t="str">
        <f t="shared" si="24"/>
        <v>Excluded from Sales</v>
      </c>
      <c r="AJ683">
        <f>COUNTIFS($A$2:$A$1000,A683,$B$2:$B$1000,B683,$C$2:$C$1000,C683,$D$2:$D$1000,D683,$E$2:$E$1000,E683,$F$2:$F$1000,F683)</f>
        <v>1</v>
      </c>
      <c r="AK683">
        <f>COUNTIF($A$2:$A$1000, A683)</f>
        <v>1</v>
      </c>
    </row>
    <row r="684" spans="1:37">
      <c r="A684" t="s">
        <v>2129</v>
      </c>
      <c r="B684" s="5">
        <v>45693</v>
      </c>
      <c r="C684" s="5">
        <v>45693</v>
      </c>
      <c r="D684" s="6">
        <f>IF(AND(C684&lt;&gt;"",B684&lt;&gt;""), C684-B684, "Missing Date")</f>
        <v>0</v>
      </c>
      <c r="E684" s="6" t="str">
        <f>IF(OR(B684="",C684=""), "Missing Date",
    IF(C684&lt;B684, "Invalid: Ship before Order",
      "OK"))</f>
        <v>OK</v>
      </c>
      <c r="F684" t="s">
        <v>2130</v>
      </c>
      <c r="G684" t="s">
        <v>62</v>
      </c>
      <c r="H684" t="s">
        <v>90</v>
      </c>
      <c r="I684" t="s">
        <v>25</v>
      </c>
      <c r="J684" t="s">
        <v>236</v>
      </c>
      <c r="K684" t="s">
        <v>237</v>
      </c>
      <c r="L684" t="s">
        <v>28</v>
      </c>
      <c r="M684" t="s">
        <v>124</v>
      </c>
      <c r="N684" t="s">
        <v>2131</v>
      </c>
      <c r="O684" t="s">
        <v>44</v>
      </c>
      <c r="P684">
        <v>3</v>
      </c>
      <c r="Q684">
        <v>2590.7800000000002</v>
      </c>
      <c r="S684">
        <v>7383.72</v>
      </c>
      <c r="T684">
        <v>4113.66</v>
      </c>
      <c r="U684">
        <v>3270.06</v>
      </c>
      <c r="V684" t="s">
        <v>32</v>
      </c>
      <c r="W684" t="s">
        <v>33</v>
      </c>
      <c r="X684" t="str">
        <f>_xlfn.TEXTJOIN("|", TRUE, A684:W684)</f>
        <v>ORD-2025-10683|45693|45693|0|OK|CUST-1553|Ananya Rao|Corporate|North|Haryana|Gurugram|Office Supplies|Storage|Eco Storage 861|Same Day|3|2590.78|7383.72|4113.66|3270.06|Paid|Completed</v>
      </c>
      <c r="Y684">
        <f>COUNTIF($X$2:$X$1000, X684)</f>
        <v>1</v>
      </c>
      <c r="Z684">
        <f>COUNTIF($A$2:$A$1000, A684)</f>
        <v>1</v>
      </c>
      <c r="AA684" t="str">
        <f>IF(Y684&gt;1, "Exact Duplicate",
  IF(Z684&gt;1, "Conflicting Duplicate - Review",
    "Unique"))</f>
        <v>Unique</v>
      </c>
      <c r="AB684" s="2">
        <f>IF(ISBLANK(R684), 0, IF(ISTEXT(R684), VALUE(SUBSTITUTE(R684, "%", ""))/100, IF(OR(R684&lt;0, R684&gt;1), "Invalid", R684)))</f>
        <v>0</v>
      </c>
      <c r="AC684" s="4">
        <f>IF(AB684="Invalid", "Error", P684 * Q684 * (1 - AB684))</f>
        <v>7772.34</v>
      </c>
      <c r="AD684" s="4">
        <f>IF(AC684="Error", "Error", AC684 - T684)</f>
        <v>3658.6800000000003</v>
      </c>
      <c r="AE684" s="2">
        <f>IF(AC684="Error", "Error", IF(AC684=0, 0, AD684 / AC684))</f>
        <v>0.47073082237781677</v>
      </c>
      <c r="AF684" s="7">
        <f>C684-B684</f>
        <v>0</v>
      </c>
      <c r="AG684" s="2" t="str">
        <f>TEXT(B684, "mmmm")</f>
        <v>February</v>
      </c>
      <c r="AH684" s="4">
        <f>YEAR(B684)</f>
        <v>2025</v>
      </c>
      <c r="AI684" s="2" t="str">
        <f t="shared" si="24"/>
        <v>Clean</v>
      </c>
      <c r="AJ684">
        <f>COUNTIFS($A$2:$A$1000,A684,$B$2:$B$1000,B684,$C$2:$C$1000,C684,$D$2:$D$1000,D684,$E$2:$E$1000,E684,$F$2:$F$1000,F684)</f>
        <v>1</v>
      </c>
      <c r="AK684">
        <f>COUNTIF($A$2:$A$1000, A684)</f>
        <v>1</v>
      </c>
    </row>
    <row r="685" spans="1:37">
      <c r="A685" t="s">
        <v>2132</v>
      </c>
      <c r="B685" s="5">
        <v>45858</v>
      </c>
      <c r="C685" s="5">
        <v>45862</v>
      </c>
      <c r="D685" s="6">
        <f>IF(AND(C685&lt;&gt;"",B685&lt;&gt;""), C685-B685, "Missing Date")</f>
        <v>4</v>
      </c>
      <c r="E685" s="6" t="str">
        <f>IF(OR(B685="",C685=""), "Missing Date",
    IF(C685&lt;B685, "Invalid: Ship before Order",
      "OK"))</f>
        <v>OK</v>
      </c>
      <c r="F685" t="s">
        <v>2133</v>
      </c>
      <c r="G685" t="s">
        <v>53</v>
      </c>
      <c r="H685" t="s">
        <v>37</v>
      </c>
      <c r="I685" t="s">
        <v>54</v>
      </c>
      <c r="J685" t="s">
        <v>55</v>
      </c>
      <c r="K685" t="s">
        <v>56</v>
      </c>
      <c r="L685" t="s">
        <v>41</v>
      </c>
      <c r="M685" t="s">
        <v>57</v>
      </c>
      <c r="N685" t="s">
        <v>2134</v>
      </c>
      <c r="O685" t="s">
        <v>31</v>
      </c>
      <c r="P685">
        <v>6</v>
      </c>
      <c r="Q685">
        <v>1646.45</v>
      </c>
      <c r="R685">
        <v>0.2</v>
      </c>
      <c r="S685">
        <v>7902.96</v>
      </c>
      <c r="T685">
        <v>5512.03</v>
      </c>
      <c r="U685">
        <v>2390.9299999999998</v>
      </c>
      <c r="V685" t="s">
        <v>102</v>
      </c>
      <c r="W685" t="s">
        <v>68</v>
      </c>
      <c r="X685" t="str">
        <f>_xlfn.TEXTJOIN("|", TRUE, A685:W685)</f>
        <v>ORD-2025-10684|45858|45862|4|OK|CUST-5704|Arjun Bose|Small Business|South|Telangana|Hyderabad|Furniture|Furnishings|Eco Furnishings 875|Second Class|6|1646.45|0.2|7902.96|5512.03|2390.93|Refunded|Cancelled</v>
      </c>
      <c r="Y685">
        <f>COUNTIF($X$2:$X$1000, X685)</f>
        <v>1</v>
      </c>
      <c r="Z685">
        <f>COUNTIF($A$2:$A$1000, A685)</f>
        <v>1</v>
      </c>
      <c r="AA685" t="str">
        <f>IF(Y685&gt;1, "Exact Duplicate",
  IF(Z685&gt;1, "Conflicting Duplicate - Review",
    "Unique"))</f>
        <v>Unique</v>
      </c>
      <c r="AB685" s="2">
        <f>IF(ISBLANK(R685), 0, IF(ISTEXT(R685), VALUE(SUBSTITUTE(R685, "%", ""))/100, IF(OR(R685&lt;0, R685&gt;1), "Invalid", R685)))</f>
        <v>0.2</v>
      </c>
      <c r="AC685" s="4">
        <f>IF(AB685="Invalid", "Error", P685 * Q685 * (1 - AB685))</f>
        <v>7902.9600000000009</v>
      </c>
      <c r="AD685" s="4">
        <f>IF(AC685="Error", "Error", AC685 - T685)</f>
        <v>2390.9300000000012</v>
      </c>
      <c r="AE685" s="2">
        <f>IF(AC685="Error", "Error", IF(AC685=0, 0, AD685 / AC685))</f>
        <v>0.30253601182341816</v>
      </c>
      <c r="AF685" s="7">
        <f>C685-B685</f>
        <v>4</v>
      </c>
      <c r="AG685" s="2" t="str">
        <f>TEXT(B685, "mmmm")</f>
        <v>July</v>
      </c>
      <c r="AH685" s="4">
        <f>YEAR(B685)</f>
        <v>2025</v>
      </c>
      <c r="AI685" s="2" t="str">
        <f t="shared" si="24"/>
        <v>Excluded from Sales</v>
      </c>
      <c r="AJ685">
        <f>COUNTIFS($A$2:$A$1000,A685,$B$2:$B$1000,B685,$C$2:$C$1000,C685,$D$2:$D$1000,D685,$E$2:$E$1000,E685,$F$2:$F$1000,F685)</f>
        <v>1</v>
      </c>
      <c r="AK685">
        <f>COUNTIF($A$2:$A$1000, A685)</f>
        <v>1</v>
      </c>
    </row>
    <row r="686" spans="1:37">
      <c r="A686" t="s">
        <v>2135</v>
      </c>
      <c r="B686" s="5">
        <v>45859</v>
      </c>
      <c r="C686" s="5">
        <v>45859</v>
      </c>
      <c r="D686" s="6">
        <f>IF(AND(C686&lt;&gt;"",B686&lt;&gt;""), C686-B686, "Missing Date")</f>
        <v>0</v>
      </c>
      <c r="E686" s="6" t="str">
        <f>IF(OR(B686="",C686=""), "Missing Date",
    IF(C686&lt;B686, "Invalid: Ship before Order",
      "OK"))</f>
        <v>OK</v>
      </c>
      <c r="F686" t="s">
        <v>2136</v>
      </c>
      <c r="G686" t="s">
        <v>47</v>
      </c>
      <c r="H686" t="s">
        <v>95</v>
      </c>
      <c r="I686" t="s">
        <v>54</v>
      </c>
      <c r="J686" t="s">
        <v>247</v>
      </c>
      <c r="K686" t="s">
        <v>248</v>
      </c>
      <c r="L686" t="s">
        <v>41</v>
      </c>
      <c r="M686" t="s">
        <v>158</v>
      </c>
      <c r="N686" t="s">
        <v>2137</v>
      </c>
      <c r="O686" t="s">
        <v>50</v>
      </c>
      <c r="P686">
        <v>7</v>
      </c>
      <c r="Q686">
        <v>4396.6499999999996</v>
      </c>
      <c r="R686">
        <v>0.2</v>
      </c>
      <c r="S686">
        <v>24621.24</v>
      </c>
      <c r="T686">
        <v>17155.48</v>
      </c>
      <c r="U686">
        <v>7465.76</v>
      </c>
      <c r="V686" t="s">
        <v>102</v>
      </c>
      <c r="W686" t="s">
        <v>68</v>
      </c>
      <c r="X686" t="str">
        <f>_xlfn.TEXTJOIN("|", TRUE, A686:W686)</f>
        <v>ORD-2025-10685|45859|45859|0|OK|CUST-6738|Isha Nair|Home Office|South|Tamil Nadu|Chennai|Furniture|Bookcases|Prime Bookcases 784|First Class|7|4396.65|0.2|24621.24|17155.48|7465.76|Refunded|Cancelled</v>
      </c>
      <c r="Y686">
        <f>COUNTIF($X$2:$X$1000, X686)</f>
        <v>1</v>
      </c>
      <c r="Z686">
        <f>COUNTIF($A$2:$A$1000, A686)</f>
        <v>1</v>
      </c>
      <c r="AA686" t="str">
        <f>IF(Y686&gt;1, "Exact Duplicate",
  IF(Z686&gt;1, "Conflicting Duplicate - Review",
    "Unique"))</f>
        <v>Unique</v>
      </c>
      <c r="AB686" s="2">
        <f>IF(ISBLANK(R686), 0, IF(ISTEXT(R686), VALUE(SUBSTITUTE(R686, "%", ""))/100, IF(OR(R686&lt;0, R686&gt;1), "Invalid", R686)))</f>
        <v>0.2</v>
      </c>
      <c r="AC686" s="4">
        <f>IF(AB686="Invalid", "Error", P686 * Q686 * (1 - AB686))</f>
        <v>24621.239999999998</v>
      </c>
      <c r="AD686" s="4">
        <f>IF(AC686="Error", "Error", AC686 - T686)</f>
        <v>7465.7599999999984</v>
      </c>
      <c r="AE686" s="2">
        <f>IF(AC686="Error", "Error", IF(AC686=0, 0, AD686 / AC686))</f>
        <v>0.3032243705028666</v>
      </c>
      <c r="AF686" s="7">
        <f>C686-B686</f>
        <v>0</v>
      </c>
      <c r="AG686" s="2" t="str">
        <f>TEXT(B686, "mmmm")</f>
        <v>July</v>
      </c>
      <c r="AH686" s="4">
        <f>YEAR(B686)</f>
        <v>2025</v>
      </c>
      <c r="AI686" s="2" t="str">
        <f t="shared" si="24"/>
        <v>Excluded from Sales</v>
      </c>
      <c r="AJ686">
        <f>COUNTIFS($A$2:$A$1000,A686,$B$2:$B$1000,B686,$C$2:$C$1000,C686,$D$2:$D$1000,D686,$E$2:$E$1000,E686,$F$2:$F$1000,F686)</f>
        <v>1</v>
      </c>
      <c r="AK686">
        <f>COUNTIF($A$2:$A$1000, A686)</f>
        <v>1</v>
      </c>
    </row>
    <row r="687" spans="1:37">
      <c r="A687" t="s">
        <v>2138</v>
      </c>
      <c r="B687" s="5">
        <v>45931</v>
      </c>
      <c r="C687" s="5">
        <v>45933</v>
      </c>
      <c r="D687" s="6">
        <f>IF(AND(C687&lt;&gt;"",B687&lt;&gt;""), C687-B687, "Missing Date")</f>
        <v>2</v>
      </c>
      <c r="E687" s="6" t="str">
        <f>IF(OR(B687="",C687=""), "Missing Date",
    IF(C687&lt;B687, "Invalid: Ship before Order",
      "OK"))</f>
        <v>OK</v>
      </c>
      <c r="F687" t="s">
        <v>1804</v>
      </c>
      <c r="G687" t="s">
        <v>79</v>
      </c>
      <c r="H687" t="s">
        <v>90</v>
      </c>
      <c r="I687" t="s">
        <v>63</v>
      </c>
      <c r="J687" t="s">
        <v>190</v>
      </c>
      <c r="K687" t="s">
        <v>191</v>
      </c>
      <c r="L687" t="s">
        <v>28</v>
      </c>
      <c r="M687" t="s">
        <v>48</v>
      </c>
      <c r="N687" t="s">
        <v>2139</v>
      </c>
      <c r="O687" t="s">
        <v>59</v>
      </c>
      <c r="P687">
        <v>9</v>
      </c>
      <c r="Q687">
        <v>818.15</v>
      </c>
      <c r="R687">
        <v>0.55000000000000004</v>
      </c>
      <c r="S687">
        <v>6627.01</v>
      </c>
      <c r="T687">
        <v>5606.79</v>
      </c>
      <c r="U687">
        <v>1020.22</v>
      </c>
      <c r="V687" t="s">
        <v>155</v>
      </c>
      <c r="W687" t="s">
        <v>68</v>
      </c>
      <c r="X687" t="str">
        <f>_xlfn.TEXTJOIN("|", TRUE, A687:W687)</f>
        <v>ORD-2025-10686|45931|45933|2|OK|CUST-2586|Neha Gupta|Corporate|West|Goa|Panaji|Office Supplies|Art|Classic Art 380|Standard Class|9|818.15|0.55|6627.01|5606.79|1020.22|Failed|Cancelled</v>
      </c>
      <c r="Y687">
        <f>COUNTIF($X$2:$X$1000, X687)</f>
        <v>1</v>
      </c>
      <c r="Z687">
        <f>COUNTIF($A$2:$A$1000, A687)</f>
        <v>1</v>
      </c>
      <c r="AA687" t="str">
        <f>IF(Y687&gt;1, "Exact Duplicate",
  IF(Z687&gt;1, "Conflicting Duplicate - Review",
    "Unique"))</f>
        <v>Unique</v>
      </c>
      <c r="AB687" s="2">
        <f>IF(ISBLANK(R687), 0, IF(ISTEXT(R687), VALUE(SUBSTITUTE(R687, "%", ""))/100, IF(OR(R687&lt;0, R687&gt;1), "Invalid", R687)))</f>
        <v>0.55000000000000004</v>
      </c>
      <c r="AC687" s="4">
        <f>IF(AB687="Invalid", "Error", P687 * Q687 * (1 - AB687))</f>
        <v>3313.5074999999993</v>
      </c>
      <c r="AD687" s="4">
        <f>IF(AC687="Error", "Error", AC687 - T687)</f>
        <v>-2293.2825000000007</v>
      </c>
      <c r="AE687" s="2">
        <f>IF(AC687="Error", "Error", IF(AC687=0, 0, AD687 / AC687))</f>
        <v>-0.69210119488185895</v>
      </c>
      <c r="AF687" s="7">
        <f>C687-B687</f>
        <v>2</v>
      </c>
      <c r="AG687" s="2" t="str">
        <f>TEXT(B687, "mmmm")</f>
        <v>October</v>
      </c>
      <c r="AH687" s="4">
        <f>YEAR(B687)</f>
        <v>2025</v>
      </c>
      <c r="AI687" s="2" t="str">
        <f t="shared" si="24"/>
        <v>Excluded from Sales</v>
      </c>
      <c r="AJ687">
        <f>COUNTIFS($A$2:$A$1000,A687,$B$2:$B$1000,B687,$C$2:$C$1000,C687,$D$2:$D$1000,D687,$E$2:$E$1000,E687,$F$2:$F$1000,F687)</f>
        <v>1</v>
      </c>
      <c r="AK687">
        <f>COUNTIF($A$2:$A$1000, A687)</f>
        <v>1</v>
      </c>
    </row>
    <row r="688" spans="1:37">
      <c r="A688" t="s">
        <v>2140</v>
      </c>
      <c r="B688" s="5">
        <v>45376</v>
      </c>
      <c r="C688" s="5">
        <v>45326</v>
      </c>
      <c r="D688" s="6">
        <f>IF(AND(C688&lt;&gt;"",B688&lt;&gt;""), C688-B688, "Missing Date")</f>
        <v>-50</v>
      </c>
      <c r="E688" s="6" t="str">
        <f>IF(OR(B688="",C688=""), "Missing Date",
    IF(C688&lt;B688, "Invalid: Ship before Order",
      "OK"))</f>
        <v>Invalid: Ship before Order</v>
      </c>
      <c r="F688" t="s">
        <v>2141</v>
      </c>
      <c r="G688" t="s">
        <v>132</v>
      </c>
      <c r="H688" t="s">
        <v>95</v>
      </c>
      <c r="I688" t="s">
        <v>54</v>
      </c>
      <c r="J688" t="s">
        <v>247</v>
      </c>
      <c r="K688" t="s">
        <v>248</v>
      </c>
      <c r="L688" t="s">
        <v>74</v>
      </c>
      <c r="M688" t="s">
        <v>80</v>
      </c>
      <c r="N688" t="s">
        <v>2142</v>
      </c>
      <c r="O688" t="s">
        <v>59</v>
      </c>
      <c r="P688">
        <v>2</v>
      </c>
      <c r="Q688">
        <v>2349.13</v>
      </c>
      <c r="R688">
        <v>0</v>
      </c>
      <c r="S688">
        <v>4698.26</v>
      </c>
      <c r="T688">
        <v>2654.92</v>
      </c>
      <c r="U688">
        <v>2043.34</v>
      </c>
      <c r="V688" t="s">
        <v>32</v>
      </c>
      <c r="W688" t="s">
        <v>33</v>
      </c>
      <c r="X688" t="str">
        <f>_xlfn.TEXTJOIN("|", TRUE, A688:W688)</f>
        <v>ORD-2024-10687|45376|45326|-50|Invalid: Ship before Order|CUST-3127|Sneha Kapoor|Home Office|South|Tamil Nadu|Chennai|Technology|Copiers|Pro Copiers 502|Standard Class|2|2349.13|0|4698.26|2654.92|2043.34|Paid|Completed</v>
      </c>
      <c r="Y688">
        <f>COUNTIF($X$2:$X$1000, X688)</f>
        <v>1</v>
      </c>
      <c r="Z688">
        <f>COUNTIF($A$2:$A$1000, A688)</f>
        <v>1</v>
      </c>
      <c r="AA688" t="str">
        <f>IF(Y688&gt;1, "Exact Duplicate",
  IF(Z688&gt;1, "Conflicting Duplicate - Review",
    "Unique"))</f>
        <v>Unique</v>
      </c>
      <c r="AB688" s="2">
        <f>IF(ISBLANK(R688), 0, IF(ISTEXT(R688), VALUE(SUBSTITUTE(R688, "%", ""))/100, IF(OR(R688&lt;0, R688&gt;1), "Invalid", R688)))</f>
        <v>0</v>
      </c>
      <c r="AC688" s="4">
        <f>IF(AB688="Invalid", "Error", P688 * Q688 * (1 - AB688))</f>
        <v>4698.26</v>
      </c>
      <c r="AD688" s="4">
        <f>IF(AC688="Error", "Error", AC688 - T688)</f>
        <v>2043.3400000000001</v>
      </c>
      <c r="AE688" s="2">
        <f>IF(AC688="Error", "Error", IF(AC688=0, 0, AD688 / AC688))</f>
        <v>0.43491420227914163</v>
      </c>
      <c r="AF688" s="7">
        <f>C688-B688</f>
        <v>-50</v>
      </c>
      <c r="AG688" s="2" t="str">
        <f>TEXT(B688, "mmmm")</f>
        <v>March</v>
      </c>
      <c r="AH688" s="4">
        <f>YEAR(B688)</f>
        <v>2024</v>
      </c>
      <c r="AI688" s="2" t="str">
        <f t="shared" si="24"/>
        <v>Invalid Shipping Record</v>
      </c>
      <c r="AJ688">
        <f>COUNTIFS($A$2:$A$1000,A688,$B$2:$B$1000,B688,$C$2:$C$1000,C688,$D$2:$D$1000,D688,$E$2:$E$1000,E688,$F$2:$F$1000,F688)</f>
        <v>1</v>
      </c>
      <c r="AK688">
        <f>COUNTIF($A$2:$A$1000, A688)</f>
        <v>1</v>
      </c>
    </row>
    <row r="689" spans="1:37">
      <c r="A689" t="s">
        <v>2143</v>
      </c>
      <c r="B689" s="5">
        <v>45938</v>
      </c>
      <c r="C689" s="5">
        <v>45943</v>
      </c>
      <c r="D689" s="6">
        <f>IF(AND(C689&lt;&gt;"",B689&lt;&gt;""), C689-B689, "Missing Date")</f>
        <v>5</v>
      </c>
      <c r="E689" s="6" t="str">
        <f>IF(OR(B689="",C689=""), "Missing Date",
    IF(C689&lt;B689, "Invalid: Ship before Order",
      "OK"))</f>
        <v>OK</v>
      </c>
      <c r="F689" t="s">
        <v>2144</v>
      </c>
      <c r="G689" t="s">
        <v>36</v>
      </c>
      <c r="H689" t="s">
        <v>95</v>
      </c>
      <c r="I689" t="s">
        <v>25</v>
      </c>
      <c r="J689" t="s">
        <v>122</v>
      </c>
      <c r="K689" t="s">
        <v>123</v>
      </c>
      <c r="L689" t="s">
        <v>41</v>
      </c>
      <c r="M689" t="s">
        <v>42</v>
      </c>
      <c r="N689" t="s">
        <v>2145</v>
      </c>
      <c r="O689" t="s">
        <v>50</v>
      </c>
      <c r="P689">
        <v>4</v>
      </c>
      <c r="Q689">
        <v>172.05</v>
      </c>
      <c r="R689">
        <v>0</v>
      </c>
      <c r="S689">
        <v>688.2</v>
      </c>
      <c r="T689">
        <v>497.68</v>
      </c>
      <c r="U689">
        <v>190.52</v>
      </c>
      <c r="V689" t="s">
        <v>155</v>
      </c>
      <c r="W689" t="s">
        <v>68</v>
      </c>
      <c r="X689" t="str">
        <f>_xlfn.TEXTJOIN("|", TRUE, A689:W689)</f>
        <v>ORD-2025-10688|45938|45943|5|OK|CUST-9347|Mira Das|Home Office|North|Punjab|Ludhiana|Furniture|Tables|Prime Tables 604|First Class|4|172.05|0|688.2|497.68|190.52|Failed|Cancelled</v>
      </c>
      <c r="Y689">
        <f>COUNTIF($X$2:$X$1000, X689)</f>
        <v>1</v>
      </c>
      <c r="Z689">
        <f>COUNTIF($A$2:$A$1000, A689)</f>
        <v>1</v>
      </c>
      <c r="AA689" t="str">
        <f>IF(Y689&gt;1, "Exact Duplicate",
  IF(Z689&gt;1, "Conflicting Duplicate - Review",
    "Unique"))</f>
        <v>Unique</v>
      </c>
      <c r="AB689" s="2">
        <f>IF(ISBLANK(R689), 0, IF(ISTEXT(R689), VALUE(SUBSTITUTE(R689, "%", ""))/100, IF(OR(R689&lt;0, R689&gt;1), "Invalid", R689)))</f>
        <v>0</v>
      </c>
      <c r="AC689" s="4">
        <f>IF(AB689="Invalid", "Error", P689 * Q689 * (1 - AB689))</f>
        <v>688.2</v>
      </c>
      <c r="AD689" s="4">
        <f>IF(AC689="Error", "Error", AC689 - T689)</f>
        <v>190.52000000000004</v>
      </c>
      <c r="AE689" s="2">
        <f>IF(AC689="Error", "Error", IF(AC689=0, 0, AD689 / AC689))</f>
        <v>0.27683812845103173</v>
      </c>
      <c r="AF689" s="7">
        <f>C689-B689</f>
        <v>5</v>
      </c>
      <c r="AG689" s="2" t="str">
        <f>TEXT(B689, "mmmm")</f>
        <v>October</v>
      </c>
      <c r="AH689" s="4">
        <f>YEAR(B689)</f>
        <v>2025</v>
      </c>
      <c r="AI689" s="2" t="str">
        <f t="shared" si="24"/>
        <v>Excluded from Sales</v>
      </c>
      <c r="AJ689">
        <f>COUNTIFS($A$2:$A$1000,A689,$B$2:$B$1000,B689,$C$2:$C$1000,C689,$D$2:$D$1000,D689,$E$2:$E$1000,E689,$F$2:$F$1000,F689)</f>
        <v>1</v>
      </c>
      <c r="AK689">
        <f>COUNTIF($A$2:$A$1000, A689)</f>
        <v>1</v>
      </c>
    </row>
    <row r="690" spans="1:37">
      <c r="A690" t="s">
        <v>2146</v>
      </c>
      <c r="B690" s="5">
        <v>45714</v>
      </c>
      <c r="C690" s="5">
        <v>45715</v>
      </c>
      <c r="D690" s="6">
        <f>IF(AND(C690&lt;&gt;"",B690&lt;&gt;""), C690-B690, "Missing Date")</f>
        <v>1</v>
      </c>
      <c r="E690" s="6" t="str">
        <f>IF(OR(B690="",C690=""), "Missing Date",
    IF(C690&lt;B690, "Invalid: Ship before Order",
      "OK"))</f>
        <v>OK</v>
      </c>
      <c r="F690" t="s">
        <v>2147</v>
      </c>
      <c r="G690" t="s">
        <v>79</v>
      </c>
      <c r="H690" t="s">
        <v>95</v>
      </c>
      <c r="I690" t="s">
        <v>25</v>
      </c>
      <c r="J690" t="s">
        <v>236</v>
      </c>
      <c r="K690" t="s">
        <v>237</v>
      </c>
      <c r="L690" t="s">
        <v>28</v>
      </c>
      <c r="M690" t="s">
        <v>48</v>
      </c>
      <c r="N690" t="s">
        <v>2148</v>
      </c>
      <c r="O690" t="s">
        <v>31</v>
      </c>
      <c r="P690">
        <v>6</v>
      </c>
      <c r="Q690">
        <v>3037.66</v>
      </c>
      <c r="R690">
        <v>0.15</v>
      </c>
      <c r="S690">
        <v>15492.07</v>
      </c>
      <c r="T690">
        <v>12581.23</v>
      </c>
      <c r="U690">
        <v>2910.84</v>
      </c>
      <c r="V690" t="s">
        <v>32</v>
      </c>
      <c r="W690" t="s">
        <v>33</v>
      </c>
      <c r="X690" t="str">
        <f>_xlfn.TEXTJOIN("|", TRUE, A690:W690)</f>
        <v>ORD-2025-10689|45714|45715|1|OK|CUST-8575|Neha Gupta|Home Office|North|Haryana|Gurugram|Office Supplies|Art|Basic Art 798|Second Class|6|3037.66|0.15|15492.07|12581.23|2910.84|Paid|Completed</v>
      </c>
      <c r="Y690">
        <f>COUNTIF($X$2:$X$1000, X690)</f>
        <v>1</v>
      </c>
      <c r="Z690">
        <f>COUNTIF($A$2:$A$1000, A690)</f>
        <v>1</v>
      </c>
      <c r="AA690" t="str">
        <f>IF(Y690&gt;1, "Exact Duplicate",
  IF(Z690&gt;1, "Conflicting Duplicate - Review",
    "Unique"))</f>
        <v>Unique</v>
      </c>
      <c r="AB690" s="2">
        <f>IF(ISBLANK(R690), 0, IF(ISTEXT(R690), VALUE(SUBSTITUTE(R690, "%", ""))/100, IF(OR(R690&lt;0, R690&gt;1), "Invalid", R690)))</f>
        <v>0.15</v>
      </c>
      <c r="AC690" s="4">
        <f>IF(AB690="Invalid", "Error", P690 * Q690 * (1 - AB690))</f>
        <v>15492.065999999999</v>
      </c>
      <c r="AD690" s="4">
        <f>IF(AC690="Error", "Error", AC690 - T690)</f>
        <v>2910.8359999999993</v>
      </c>
      <c r="AE690" s="2">
        <f>IF(AC690="Error", "Error", IF(AC690=0, 0, AD690 / AC690))</f>
        <v>0.18789204745190213</v>
      </c>
      <c r="AF690" s="7">
        <f>C690-B690</f>
        <v>1</v>
      </c>
      <c r="AG690" s="2" t="str">
        <f>TEXT(B690, "mmmm")</f>
        <v>February</v>
      </c>
      <c r="AH690" s="4">
        <f>YEAR(B690)</f>
        <v>2025</v>
      </c>
      <c r="AI690" s="2" t="str">
        <f t="shared" si="24"/>
        <v>Clean</v>
      </c>
      <c r="AJ690">
        <f>COUNTIFS($A$2:$A$1000,A690,$B$2:$B$1000,B690,$C$2:$C$1000,C690,$D$2:$D$1000,D690,$E$2:$E$1000,E690,$F$2:$F$1000,F690)</f>
        <v>1</v>
      </c>
      <c r="AK690">
        <f>COUNTIF($A$2:$A$1000, A690)</f>
        <v>1</v>
      </c>
    </row>
    <row r="691" spans="1:37">
      <c r="A691" t="s">
        <v>2149</v>
      </c>
      <c r="B691" s="5">
        <v>45570</v>
      </c>
      <c r="C691" s="5">
        <v>45571</v>
      </c>
      <c r="D691" s="6">
        <f>IF(AND(C691&lt;&gt;"",B691&lt;&gt;""), C691-B691, "Missing Date")</f>
        <v>1</v>
      </c>
      <c r="E691" s="6" t="str">
        <f>IF(OR(B691="",C691=""), "Missing Date",
    IF(C691&lt;B691, "Invalid: Ship before Order",
      "OK"))</f>
        <v>OK</v>
      </c>
      <c r="F691" t="s">
        <v>2150</v>
      </c>
      <c r="G691" t="s">
        <v>141</v>
      </c>
      <c r="H691" t="s">
        <v>37</v>
      </c>
      <c r="I691" t="s">
        <v>25</v>
      </c>
      <c r="J691" t="s">
        <v>122</v>
      </c>
      <c r="K691" t="s">
        <v>123</v>
      </c>
      <c r="L691" t="s">
        <v>41</v>
      </c>
      <c r="M691" t="s">
        <v>42</v>
      </c>
      <c r="N691" t="s">
        <v>2151</v>
      </c>
      <c r="O691" t="s">
        <v>59</v>
      </c>
      <c r="P691">
        <v>9</v>
      </c>
      <c r="Q691">
        <v>489.58</v>
      </c>
      <c r="R691">
        <v>0.15</v>
      </c>
      <c r="S691">
        <v>3745.29</v>
      </c>
      <c r="T691">
        <v>2302.65</v>
      </c>
      <c r="U691">
        <v>1442.64</v>
      </c>
      <c r="V691" t="s">
        <v>155</v>
      </c>
      <c r="W691" t="s">
        <v>68</v>
      </c>
      <c r="X691" t="str">
        <f>_xlfn.TEXTJOIN("|", TRUE, A691:W691)</f>
        <v>ORD-2024-10690|45570|45571|1|OK|CUST-4382|Rohan Mehta|Small Business|North|Punjab|Ludhiana|Furniture|Tables|Elite Tables 717|Standard Class|9|489.58|0.15|3745.29|2302.65|1442.64|Failed|Cancelled</v>
      </c>
      <c r="Y691">
        <f>COUNTIF($X$2:$X$1000, X691)</f>
        <v>1</v>
      </c>
      <c r="Z691">
        <f>COUNTIF($A$2:$A$1000, A691)</f>
        <v>1</v>
      </c>
      <c r="AA691" t="str">
        <f>IF(Y691&gt;1, "Exact Duplicate",
  IF(Z691&gt;1, "Conflicting Duplicate - Review",
    "Unique"))</f>
        <v>Unique</v>
      </c>
      <c r="AB691" s="2">
        <f>IF(ISBLANK(R691), 0, IF(ISTEXT(R691), VALUE(SUBSTITUTE(R691, "%", ""))/100, IF(OR(R691&lt;0, R691&gt;1), "Invalid", R691)))</f>
        <v>0.15</v>
      </c>
      <c r="AC691" s="4">
        <f>IF(AB691="Invalid", "Error", P691 * Q691 * (1 - AB691))</f>
        <v>3745.2870000000003</v>
      </c>
      <c r="AD691" s="4">
        <f>IF(AC691="Error", "Error", AC691 - T691)</f>
        <v>1442.6370000000002</v>
      </c>
      <c r="AE691" s="2">
        <f>IF(AC691="Error", "Error", IF(AC691=0, 0, AD691 / AC691))</f>
        <v>0.38518730340291679</v>
      </c>
      <c r="AF691" s="7">
        <f>C691-B691</f>
        <v>1</v>
      </c>
      <c r="AG691" s="2" t="str">
        <f>TEXT(B691, "mmmm")</f>
        <v>October</v>
      </c>
      <c r="AH691" s="4">
        <f>YEAR(B691)</f>
        <v>2024</v>
      </c>
      <c r="AI691" s="2" t="str">
        <f t="shared" si="24"/>
        <v>Excluded from Sales</v>
      </c>
      <c r="AJ691">
        <f>COUNTIFS($A$2:$A$1000,A691,$B$2:$B$1000,B691,$C$2:$C$1000,C691,$D$2:$D$1000,D691,$E$2:$E$1000,E691,$F$2:$F$1000,F691)</f>
        <v>1</v>
      </c>
      <c r="AK691">
        <f>COUNTIF($A$2:$A$1000, A691)</f>
        <v>1</v>
      </c>
    </row>
    <row r="692" spans="1:37">
      <c r="A692" t="s">
        <v>2152</v>
      </c>
      <c r="B692" s="5">
        <v>45605</v>
      </c>
      <c r="C692" s="5">
        <v>45550</v>
      </c>
      <c r="D692" s="6">
        <f>IF(AND(C692&lt;&gt;"",B692&lt;&gt;""), C692-B692, "Missing Date")</f>
        <v>-55</v>
      </c>
      <c r="E692" s="6" t="str">
        <f>IF(OR(B692="",C692=""), "Missing Date",
    IF(C692&lt;B692, "Invalid: Ship before Order",
      "OK"))</f>
        <v>Invalid: Ship before Order</v>
      </c>
      <c r="F692" t="s">
        <v>2153</v>
      </c>
      <c r="G692" t="s">
        <v>132</v>
      </c>
      <c r="H692" t="s">
        <v>90</v>
      </c>
      <c r="I692" t="s">
        <v>54</v>
      </c>
      <c r="J692" t="s">
        <v>247</v>
      </c>
      <c r="K692" t="s">
        <v>248</v>
      </c>
      <c r="L692" t="s">
        <v>28</v>
      </c>
      <c r="M692" t="s">
        <v>48</v>
      </c>
      <c r="N692" t="s">
        <v>2154</v>
      </c>
      <c r="O692" t="s">
        <v>59</v>
      </c>
      <c r="P692">
        <v>4</v>
      </c>
      <c r="Q692">
        <v>865.63</v>
      </c>
      <c r="R692">
        <v>0</v>
      </c>
      <c r="S692">
        <v>3462.52</v>
      </c>
      <c r="T692">
        <v>2797.29</v>
      </c>
      <c r="U692">
        <v>665.23</v>
      </c>
      <c r="V692" t="s">
        <v>155</v>
      </c>
      <c r="W692" t="s">
        <v>103</v>
      </c>
      <c r="X692" t="str">
        <f>_xlfn.TEXTJOIN("|", TRUE, A692:W692)</f>
        <v>ORD-2024-10691|45605|45550|-55|Invalid: Ship before Order|CUST-6815|Sneha Kapoor|Corporate|South|Tamil Nadu|Chennai|Office Supplies|Art|Max Art 725|Standard Class|4|865.63|0|3462.52|2797.29|665.23|Failed|Returned</v>
      </c>
      <c r="Y692">
        <f>COUNTIF($X$2:$X$1000, X692)</f>
        <v>1</v>
      </c>
      <c r="Z692">
        <f>COUNTIF($A$2:$A$1000, A692)</f>
        <v>1</v>
      </c>
      <c r="AA692" t="str">
        <f>IF(Y692&gt;1, "Exact Duplicate",
  IF(Z692&gt;1, "Conflicting Duplicate - Review",
    "Unique"))</f>
        <v>Unique</v>
      </c>
      <c r="AB692" s="2">
        <f>IF(ISBLANK(R692), 0, IF(ISTEXT(R692), VALUE(SUBSTITUTE(R692, "%", ""))/100, IF(OR(R692&lt;0, R692&gt;1), "Invalid", R692)))</f>
        <v>0</v>
      </c>
      <c r="AC692" s="4">
        <f>IF(AB692="Invalid", "Error", P692 * Q692 * (1 - AB692))</f>
        <v>3462.52</v>
      </c>
      <c r="AD692" s="4">
        <f>IF(AC692="Error", "Error", AC692 - T692)</f>
        <v>665.23</v>
      </c>
      <c r="AE692" s="2">
        <f>IF(AC692="Error", "Error", IF(AC692=0, 0, AD692 / AC692))</f>
        <v>0.19212307798944123</v>
      </c>
      <c r="AF692" s="7">
        <f>C692-B692</f>
        <v>-55</v>
      </c>
      <c r="AG692" s="2" t="str">
        <f>TEXT(B692, "mmmm")</f>
        <v>November</v>
      </c>
      <c r="AH692" s="4">
        <f>YEAR(B692)</f>
        <v>2024</v>
      </c>
      <c r="AI692" s="2" t="str">
        <f t="shared" si="24"/>
        <v>Excluded from Sales</v>
      </c>
      <c r="AJ692">
        <f>COUNTIFS($A$2:$A$1000,A692,$B$2:$B$1000,B692,$C$2:$C$1000,C692,$D$2:$D$1000,D692,$E$2:$E$1000,E692,$F$2:$F$1000,F692)</f>
        <v>1</v>
      </c>
      <c r="AK692">
        <f>COUNTIF($A$2:$A$1000, A692)</f>
        <v>1</v>
      </c>
    </row>
    <row r="693" spans="1:37">
      <c r="A693" t="s">
        <v>2155</v>
      </c>
      <c r="B693" s="5">
        <v>45641</v>
      </c>
      <c r="C693" s="5">
        <v>45642</v>
      </c>
      <c r="D693" s="6">
        <f>IF(AND(C693&lt;&gt;"",B693&lt;&gt;""), C693-B693, "Missing Date")</f>
        <v>1</v>
      </c>
      <c r="E693" s="6" t="str">
        <f>IF(OR(B693="",C693=""), "Missing Date",
    IF(C693&lt;B693, "Invalid: Ship before Order",
      "OK"))</f>
        <v>OK</v>
      </c>
      <c r="F693" t="s">
        <v>2156</v>
      </c>
      <c r="G693" t="s">
        <v>141</v>
      </c>
      <c r="H693" t="s">
        <v>24</v>
      </c>
      <c r="I693" t="s">
        <v>38</v>
      </c>
      <c r="J693" t="s">
        <v>39</v>
      </c>
      <c r="K693" t="s">
        <v>40</v>
      </c>
      <c r="L693" t="s">
        <v>74</v>
      </c>
      <c r="M693" t="s">
        <v>80</v>
      </c>
      <c r="N693" t="s">
        <v>2157</v>
      </c>
      <c r="O693" t="s">
        <v>31</v>
      </c>
      <c r="P693">
        <v>6</v>
      </c>
      <c r="Q693">
        <v>1538.1</v>
      </c>
      <c r="R693">
        <v>0.05</v>
      </c>
      <c r="S693">
        <v>8767.17</v>
      </c>
      <c r="T693">
        <v>5098.2</v>
      </c>
      <c r="U693">
        <v>3668.97</v>
      </c>
      <c r="V693" t="s">
        <v>32</v>
      </c>
      <c r="W693" t="s">
        <v>33</v>
      </c>
      <c r="X693" t="str">
        <f>_xlfn.TEXTJOIN("|", TRUE, A693:W693)</f>
        <v>ORD-2024-10692|45641|45642|1|OK|CUST-7309|Rohan Mehta|Consumer|East|Odisha|Bhubaneswar|Technology|Copiers|Smart Copiers 456|Second Class|6|1538.1|0.05|8767.17|5098.2|3668.97|Paid|Completed</v>
      </c>
      <c r="Y693">
        <f>COUNTIF($X$2:$X$1000, X693)</f>
        <v>1</v>
      </c>
      <c r="Z693">
        <f>COUNTIF($A$2:$A$1000, A693)</f>
        <v>1</v>
      </c>
      <c r="AA693" t="str">
        <f>IF(Y693&gt;1, "Exact Duplicate",
  IF(Z693&gt;1, "Conflicting Duplicate - Review",
    "Unique"))</f>
        <v>Unique</v>
      </c>
      <c r="AB693" s="2">
        <f>IF(ISBLANK(R693), 0, IF(ISTEXT(R693), VALUE(SUBSTITUTE(R693, "%", ""))/100, IF(OR(R693&lt;0, R693&gt;1), "Invalid", R693)))</f>
        <v>0.05</v>
      </c>
      <c r="AC693" s="4">
        <f>IF(AB693="Invalid", "Error", P693 * Q693 * (1 - AB693))</f>
        <v>8767.1699999999983</v>
      </c>
      <c r="AD693" s="4">
        <f>IF(AC693="Error", "Error", AC693 - T693)</f>
        <v>3668.9699999999984</v>
      </c>
      <c r="AE693" s="2">
        <f>IF(AC693="Error", "Error", IF(AC693=0, 0, AD693 / AC693))</f>
        <v>0.41848966085977563</v>
      </c>
      <c r="AF693" s="7">
        <f>C693-B693</f>
        <v>1</v>
      </c>
      <c r="AG693" s="2" t="str">
        <f>TEXT(B693, "mmmm")</f>
        <v>December</v>
      </c>
      <c r="AH693" s="4">
        <f>YEAR(B693)</f>
        <v>2024</v>
      </c>
      <c r="AI693" s="2" t="str">
        <f t="shared" si="24"/>
        <v>Clean</v>
      </c>
      <c r="AJ693">
        <f>COUNTIFS($A$2:$A$1000,A693,$B$2:$B$1000,B693,$C$2:$C$1000,C693,$D$2:$D$1000,D693,$E$2:$E$1000,E693,$F$2:$F$1000,F693)</f>
        <v>1</v>
      </c>
      <c r="AK693">
        <f>COUNTIF($A$2:$A$1000, A693)</f>
        <v>1</v>
      </c>
    </row>
    <row r="694" spans="1:37">
      <c r="A694" t="s">
        <v>2158</v>
      </c>
      <c r="B694" s="5">
        <v>45935</v>
      </c>
      <c r="C694" s="5">
        <v>45940</v>
      </c>
      <c r="D694" s="6">
        <f>IF(AND(C694&lt;&gt;"",B694&lt;&gt;""), C694-B694, "Missing Date")</f>
        <v>5</v>
      </c>
      <c r="E694" s="6" t="str">
        <f>IF(OR(B694="",C694=""), "Missing Date",
    IF(C694&lt;B694, "Invalid: Ship before Order",
      "OK"))</f>
        <v>OK</v>
      </c>
      <c r="F694" t="s">
        <v>2159</v>
      </c>
      <c r="G694" t="s">
        <v>47</v>
      </c>
      <c r="H694" t="s">
        <v>90</v>
      </c>
      <c r="I694" t="s">
        <v>54</v>
      </c>
      <c r="J694" t="s">
        <v>175</v>
      </c>
      <c r="K694" t="s">
        <v>176</v>
      </c>
      <c r="L694" t="s">
        <v>41</v>
      </c>
      <c r="M694" t="s">
        <v>57</v>
      </c>
      <c r="N694" t="s">
        <v>2160</v>
      </c>
      <c r="O694" t="s">
        <v>31</v>
      </c>
      <c r="P694">
        <v>4</v>
      </c>
      <c r="Q694">
        <v>2365.6799999999998</v>
      </c>
      <c r="R694">
        <v>0.1</v>
      </c>
      <c r="S694">
        <v>8516.4500000000007</v>
      </c>
      <c r="T694">
        <v>5903.81</v>
      </c>
      <c r="U694">
        <v>2612.64</v>
      </c>
      <c r="V694" t="s">
        <v>32</v>
      </c>
      <c r="W694" t="s">
        <v>33</v>
      </c>
      <c r="X694" t="str">
        <f>_xlfn.TEXTJOIN("|", TRUE, A694:W694)</f>
        <v>ORD-2025-10693|45935|45940|5|OK|CUST-9531|Isha Nair|Corporate|South|Karnataka|Bengaluru|Furniture|Furnishings|Prime Furnishings 883|Second Class|4|2365.68|0.1|8516.45|5903.81|2612.64|Paid|Completed</v>
      </c>
      <c r="Y694">
        <f>COUNTIF($X$2:$X$1000, X694)</f>
        <v>1</v>
      </c>
      <c r="Z694">
        <f>COUNTIF($A$2:$A$1000, A694)</f>
        <v>1</v>
      </c>
      <c r="AA694" t="str">
        <f>IF(Y694&gt;1, "Exact Duplicate",
  IF(Z694&gt;1, "Conflicting Duplicate - Review",
    "Unique"))</f>
        <v>Unique</v>
      </c>
      <c r="AB694" s="2">
        <f>IF(ISBLANK(R694), 0, IF(ISTEXT(R694), VALUE(SUBSTITUTE(R694, "%", ""))/100, IF(OR(R694&lt;0, R694&gt;1), "Invalid", R694)))</f>
        <v>0.1</v>
      </c>
      <c r="AC694" s="4">
        <f>IF(AB694="Invalid", "Error", P694 * Q694 * (1 - AB694))</f>
        <v>8516.4480000000003</v>
      </c>
      <c r="AD694" s="4">
        <f>IF(AC694="Error", "Error", AC694 - T694)</f>
        <v>2612.6379999999999</v>
      </c>
      <c r="AE694" s="2">
        <f>IF(AC694="Error", "Error", IF(AC694=0, 0, AD694 / AC694))</f>
        <v>0.30677554774009069</v>
      </c>
      <c r="AF694" s="7">
        <f>C694-B694</f>
        <v>5</v>
      </c>
      <c r="AG694" s="2" t="str">
        <f>TEXT(B694, "mmmm")</f>
        <v>October</v>
      </c>
      <c r="AH694" s="4">
        <f>YEAR(B694)</f>
        <v>2025</v>
      </c>
      <c r="AI694" s="2" t="str">
        <f t="shared" si="24"/>
        <v>Clean</v>
      </c>
      <c r="AJ694">
        <f>COUNTIFS($A$2:$A$1000,A694,$B$2:$B$1000,B694,$C$2:$C$1000,C694,$D$2:$D$1000,D694,$E$2:$E$1000,E694,$F$2:$F$1000,F694)</f>
        <v>1</v>
      </c>
      <c r="AK694">
        <f>COUNTIF($A$2:$A$1000, A694)</f>
        <v>1</v>
      </c>
    </row>
    <row r="695" spans="1:37">
      <c r="A695" t="s">
        <v>2161</v>
      </c>
      <c r="B695" s="5">
        <v>45750</v>
      </c>
      <c r="C695" s="5">
        <v>45758</v>
      </c>
      <c r="D695" s="6">
        <f>IF(AND(C695&lt;&gt;"",B695&lt;&gt;""), C695-B695, "Missing Date")</f>
        <v>8</v>
      </c>
      <c r="E695" s="6" t="str">
        <f>IF(OR(B695="",C695=""), "Missing Date",
    IF(C695&lt;B695, "Invalid: Ship before Order",
      "OK"))</f>
        <v>OK</v>
      </c>
      <c r="F695" t="s">
        <v>2162</v>
      </c>
      <c r="G695" t="s">
        <v>53</v>
      </c>
      <c r="H695" t="s">
        <v>24</v>
      </c>
      <c r="I695" t="s">
        <v>54</v>
      </c>
      <c r="J695" t="s">
        <v>247</v>
      </c>
      <c r="K695" t="s">
        <v>248</v>
      </c>
      <c r="L695" t="s">
        <v>41</v>
      </c>
      <c r="M695" t="s">
        <v>158</v>
      </c>
      <c r="N695" t="s">
        <v>2163</v>
      </c>
      <c r="O695" t="s">
        <v>31</v>
      </c>
      <c r="P695">
        <v>3</v>
      </c>
      <c r="Q695">
        <v>4149.7700000000004</v>
      </c>
      <c r="R695">
        <v>0.05</v>
      </c>
      <c r="S695">
        <v>11826.84</v>
      </c>
      <c r="T695">
        <v>8035.96</v>
      </c>
      <c r="U695">
        <v>3790.88</v>
      </c>
      <c r="V695" t="s">
        <v>32</v>
      </c>
      <c r="W695" t="s">
        <v>33</v>
      </c>
      <c r="X695" t="str">
        <f>_xlfn.TEXTJOIN("|", TRUE, A695:W695)</f>
        <v>ORD-2025-10694|45750|45758|8|OK|CUST-6032|Arjun Bose|Consumer|South|Tamil Nadu|Chennai|Furniture|Bookcases|Smart Bookcases 828|Second Class|3|4149.77|0.05|11826.84|8035.96|3790.88|Paid|Completed</v>
      </c>
      <c r="Y695">
        <f>COUNTIF($X$2:$X$1000, X695)</f>
        <v>1</v>
      </c>
      <c r="Z695">
        <f>COUNTIF($A$2:$A$1000, A695)</f>
        <v>1</v>
      </c>
      <c r="AA695" t="str">
        <f>IF(Y695&gt;1, "Exact Duplicate",
  IF(Z695&gt;1, "Conflicting Duplicate - Review",
    "Unique"))</f>
        <v>Unique</v>
      </c>
      <c r="AB695" s="2">
        <f>IF(ISBLANK(R695), 0, IF(ISTEXT(R695), VALUE(SUBSTITUTE(R695, "%", ""))/100, IF(OR(R695&lt;0, R695&gt;1), "Invalid", R695)))</f>
        <v>0.05</v>
      </c>
      <c r="AC695" s="4">
        <f>IF(AB695="Invalid", "Error", P695 * Q695 * (1 - AB695))</f>
        <v>11826.844500000001</v>
      </c>
      <c r="AD695" s="4">
        <f>IF(AC695="Error", "Error", AC695 - T695)</f>
        <v>3790.884500000001</v>
      </c>
      <c r="AE695" s="2">
        <f>IF(AC695="Error", "Error", IF(AC695=0, 0, AD695 / AC695))</f>
        <v>0.32053220112938835</v>
      </c>
      <c r="AF695" s="7">
        <f>C695-B695</f>
        <v>8</v>
      </c>
      <c r="AG695" s="2" t="str">
        <f>TEXT(B695, "mmmm")</f>
        <v>April</v>
      </c>
      <c r="AH695" s="4">
        <f>YEAR(B695)</f>
        <v>2025</v>
      </c>
      <c r="AI695" s="2" t="str">
        <f t="shared" si="24"/>
        <v>Clean</v>
      </c>
      <c r="AJ695">
        <f>COUNTIFS($A$2:$A$1000,A695,$B$2:$B$1000,B695,$C$2:$C$1000,C695,$D$2:$D$1000,D695,$E$2:$E$1000,E695,$F$2:$F$1000,F695)</f>
        <v>1</v>
      </c>
      <c r="AK695">
        <f>COUNTIF($A$2:$A$1000, A695)</f>
        <v>1</v>
      </c>
    </row>
    <row r="696" spans="1:37">
      <c r="A696" t="s">
        <v>2164</v>
      </c>
      <c r="B696" s="5">
        <v>45870</v>
      </c>
      <c r="C696" s="5">
        <v>45878</v>
      </c>
      <c r="D696" s="6">
        <f>IF(AND(C696&lt;&gt;"",B696&lt;&gt;""), C696-B696, "Missing Date")</f>
        <v>8</v>
      </c>
      <c r="E696" s="6" t="str">
        <f>IF(OR(B696="",C696=""), "Missing Date",
    IF(C696&lt;B696, "Invalid: Ship before Order",
      "OK"))</f>
        <v>OK</v>
      </c>
      <c r="F696" t="s">
        <v>1136</v>
      </c>
      <c r="G696" t="s">
        <v>47</v>
      </c>
      <c r="H696" t="s">
        <v>24</v>
      </c>
      <c r="I696" t="s">
        <v>54</v>
      </c>
      <c r="J696" t="s">
        <v>84</v>
      </c>
      <c r="K696" t="s">
        <v>85</v>
      </c>
      <c r="L696" t="s">
        <v>28</v>
      </c>
      <c r="M696" t="s">
        <v>124</v>
      </c>
      <c r="N696" t="s">
        <v>2165</v>
      </c>
      <c r="O696" t="s">
        <v>50</v>
      </c>
      <c r="P696">
        <v>5</v>
      </c>
      <c r="Q696">
        <v>2736.24</v>
      </c>
      <c r="R696">
        <v>0.15</v>
      </c>
      <c r="S696">
        <v>11629.02</v>
      </c>
      <c r="T696">
        <v>9627.2099999999991</v>
      </c>
      <c r="U696">
        <v>2001.81</v>
      </c>
      <c r="V696" t="s">
        <v>32</v>
      </c>
      <c r="W696" t="s">
        <v>33</v>
      </c>
      <c r="X696" t="str">
        <f>_xlfn.TEXTJOIN("|", TRUE, A696:W696)</f>
        <v>ORD-2025-10695|45870|45878|8|OK|CUST-8025|Isha Nair|Consumer|South|Andhra Pradesh|Vijayawada|Office Supplies|Storage|Classic Storage 291|First Class|5|2736.24|0.15|11629.02|9627.21|2001.81|Paid|Completed</v>
      </c>
      <c r="Y696">
        <f>COUNTIF($X$2:$X$1000, X696)</f>
        <v>1</v>
      </c>
      <c r="Z696">
        <f>COUNTIF($A$2:$A$1000, A696)</f>
        <v>2</v>
      </c>
      <c r="AA696" t="str">
        <f>IF(Y696&gt;1, "Exact Duplicate",
  IF(Z696&gt;1, "Conflicting Duplicate - Review",
    "Unique"))</f>
        <v>Conflicting Duplicate - Review</v>
      </c>
      <c r="AB696" s="2">
        <f>IF(ISBLANK(R696), 0, IF(ISTEXT(R696), VALUE(SUBSTITUTE(R696, "%", ""))/100, IF(OR(R696&lt;0, R696&gt;1), "Invalid", R696)))</f>
        <v>0.15</v>
      </c>
      <c r="AC696" s="4">
        <f>IF(AB696="Invalid", "Error", P696 * Q696 * (1 - AB696))</f>
        <v>11629.019999999999</v>
      </c>
      <c r="AD696" s="4">
        <f>IF(AC696="Error", "Error", AC696 - T696)</f>
        <v>2001.8099999999995</v>
      </c>
      <c r="AE696" s="2">
        <f>IF(AC696="Error", "Error", IF(AC696=0, 0, AD696 / AC696))</f>
        <v>0.17213918283741877</v>
      </c>
      <c r="AF696" s="7">
        <f>C696-B696</f>
        <v>8</v>
      </c>
      <c r="AG696" s="2" t="str">
        <f>TEXT(B696, "mmmm")</f>
        <v>August</v>
      </c>
      <c r="AH696" s="4">
        <f>YEAR(B696)</f>
        <v>2025</v>
      </c>
      <c r="AI696" s="2" t="str">
        <f t="shared" si="24"/>
        <v>Clean</v>
      </c>
      <c r="AJ696">
        <f>COUNTIFS($A$2:$A$1000,A696,$B$2:$B$1000,B696,$C$2:$C$1000,C696,$D$2:$D$1000,D696,$E$2:$E$1000,E696,$F$2:$F$1000,F696)</f>
        <v>2</v>
      </c>
      <c r="AK696">
        <f>COUNTIF($A$2:$A$1000, A696)</f>
        <v>2</v>
      </c>
    </row>
    <row r="697" spans="1:37">
      <c r="A697" t="s">
        <v>2166</v>
      </c>
      <c r="B697" s="5">
        <v>45474</v>
      </c>
      <c r="C697" s="5">
        <v>45474</v>
      </c>
      <c r="D697" s="6">
        <f>IF(AND(C697&lt;&gt;"",B697&lt;&gt;""), C697-B697, "Missing Date")</f>
        <v>0</v>
      </c>
      <c r="E697" s="6" t="str">
        <f>IF(OR(B697="",C697=""), "Missing Date",
    IF(C697&lt;B697, "Invalid: Ship before Order",
      "OK"))</f>
        <v>OK</v>
      </c>
      <c r="F697" t="s">
        <v>2167</v>
      </c>
      <c r="G697" t="s">
        <v>128</v>
      </c>
      <c r="H697" t="s">
        <v>24</v>
      </c>
      <c r="I697" t="s">
        <v>63</v>
      </c>
      <c r="J697" t="s">
        <v>72</v>
      </c>
      <c r="K697" t="s">
        <v>73</v>
      </c>
      <c r="L697" t="s">
        <v>74</v>
      </c>
      <c r="M697" t="s">
        <v>274</v>
      </c>
      <c r="N697" t="s">
        <v>2168</v>
      </c>
      <c r="O697" t="s">
        <v>59</v>
      </c>
      <c r="P697">
        <v>4</v>
      </c>
      <c r="Q697">
        <v>257.39</v>
      </c>
      <c r="R697">
        <v>0</v>
      </c>
      <c r="S697">
        <v>1029.56</v>
      </c>
      <c r="T697">
        <v>626.33000000000004</v>
      </c>
      <c r="U697">
        <v>403.23</v>
      </c>
      <c r="V697" t="s">
        <v>32</v>
      </c>
      <c r="W697" t="s">
        <v>33</v>
      </c>
      <c r="X697" t="str">
        <f>_xlfn.TEXTJOIN("|", TRUE, A697:W697)</f>
        <v>ORD-2024-10696|45474|45474|0|OK|CUST-6257|Aarav Sharma|Consumer|West|Madhya Pradesh|Indore|Technology|Machines|Prime Machines 102|Standard Class|4|257.39|0|1029.56|626.33|403.23|Paid|Completed</v>
      </c>
      <c r="Y697">
        <f>COUNTIF($X$2:$X$1000, X697)</f>
        <v>1</v>
      </c>
      <c r="Z697">
        <f>COUNTIF($A$2:$A$1000, A697)</f>
        <v>1</v>
      </c>
      <c r="AA697" t="str">
        <f>IF(Y697&gt;1, "Exact Duplicate",
  IF(Z697&gt;1, "Conflicting Duplicate - Review",
    "Unique"))</f>
        <v>Unique</v>
      </c>
      <c r="AB697" s="2">
        <f>IF(ISBLANK(R697), 0, IF(ISTEXT(R697), VALUE(SUBSTITUTE(R697, "%", ""))/100, IF(OR(R697&lt;0, R697&gt;1), "Invalid", R697)))</f>
        <v>0</v>
      </c>
      <c r="AC697" s="4">
        <f>IF(AB697="Invalid", "Error", P697 * Q697 * (1 - AB697))</f>
        <v>1029.56</v>
      </c>
      <c r="AD697" s="4">
        <f>IF(AC697="Error", "Error", AC697 - T697)</f>
        <v>403.2299999999999</v>
      </c>
      <c r="AE697" s="2">
        <f>IF(AC697="Error", "Error", IF(AC697=0, 0, AD697 / AC697))</f>
        <v>0.39165274486188267</v>
      </c>
      <c r="AF697" s="7">
        <f>C697-B697</f>
        <v>0</v>
      </c>
      <c r="AG697" s="2" t="str">
        <f>TEXT(B697, "mmmm")</f>
        <v>July</v>
      </c>
      <c r="AH697" s="4">
        <f>YEAR(B697)</f>
        <v>2024</v>
      </c>
      <c r="AI697" s="2" t="str">
        <f t="shared" si="24"/>
        <v>Clean</v>
      </c>
      <c r="AJ697">
        <f>COUNTIFS($A$2:$A$1000,A697,$B$2:$B$1000,B697,$C$2:$C$1000,C697,$D$2:$D$1000,D697,$E$2:$E$1000,E697,$F$2:$F$1000,F697)</f>
        <v>1</v>
      </c>
      <c r="AK697">
        <f>COUNTIF($A$2:$A$1000, A697)</f>
        <v>1</v>
      </c>
    </row>
    <row r="698" spans="1:37">
      <c r="A698" t="s">
        <v>2169</v>
      </c>
      <c r="B698" s="5">
        <v>45922</v>
      </c>
      <c r="C698" s="5">
        <v>45925</v>
      </c>
      <c r="D698" s="6">
        <f>IF(AND(C698&lt;&gt;"",B698&lt;&gt;""), C698-B698, "Missing Date")</f>
        <v>3</v>
      </c>
      <c r="E698" s="6" t="str">
        <f>IF(OR(B698="",C698=""), "Missing Date",
    IF(C698&lt;B698, "Invalid: Ship before Order",
      "OK"))</f>
        <v>OK</v>
      </c>
      <c r="F698" t="s">
        <v>2170</v>
      </c>
      <c r="G698" t="s">
        <v>47</v>
      </c>
      <c r="H698" t="s">
        <v>37</v>
      </c>
      <c r="I698" t="s">
        <v>54</v>
      </c>
      <c r="J698" t="s">
        <v>185</v>
      </c>
      <c r="K698" t="s">
        <v>186</v>
      </c>
      <c r="L698" t="s">
        <v>74</v>
      </c>
      <c r="M698" t="s">
        <v>171</v>
      </c>
      <c r="N698" t="s">
        <v>2171</v>
      </c>
      <c r="O698" t="s">
        <v>2762</v>
      </c>
      <c r="P698">
        <v>4</v>
      </c>
      <c r="Q698">
        <v>1178.8399999999999</v>
      </c>
      <c r="R698">
        <v>0.25</v>
      </c>
      <c r="S698">
        <v>3536.52</v>
      </c>
      <c r="T698">
        <v>2102.41</v>
      </c>
      <c r="U698">
        <v>1363.28</v>
      </c>
      <c r="V698" t="s">
        <v>32</v>
      </c>
      <c r="W698" t="s">
        <v>33</v>
      </c>
      <c r="X698" t="str">
        <f>_xlfn.TEXTJOIN("|", TRUE, A698:W698)</f>
        <v>ORD-2025-10697|45922|45925|3|OK|CUST-7812|Isha Nair|Small Business|South|Kerala|Kochi|Technology|Phones|Classic Phones 842|Unknown|4|1178.84|0.25|3536.52|2102.41|1363.28|Paid|Completed</v>
      </c>
      <c r="Y698">
        <f>COUNTIF($X$2:$X$1000, X698)</f>
        <v>1</v>
      </c>
      <c r="Z698">
        <f>COUNTIF($A$2:$A$1000, A698)</f>
        <v>1</v>
      </c>
      <c r="AA698" t="str">
        <f>IF(Y698&gt;1, "Exact Duplicate",
  IF(Z698&gt;1, "Conflicting Duplicate - Review",
    "Unique"))</f>
        <v>Unique</v>
      </c>
      <c r="AB698" s="2">
        <f>IF(ISBLANK(R698), 0, IF(ISTEXT(R698), VALUE(SUBSTITUTE(R698, "%", ""))/100, IF(OR(R698&lt;0, R698&gt;1), "Invalid", R698)))</f>
        <v>0.25</v>
      </c>
      <c r="AC698" s="4">
        <f>IF(AB698="Invalid", "Error", P698 * Q698 * (1 - AB698))</f>
        <v>3536.5199999999995</v>
      </c>
      <c r="AD698" s="4">
        <f>IF(AC698="Error", "Error", AC698 - T698)</f>
        <v>1434.1099999999997</v>
      </c>
      <c r="AE698" s="2">
        <f>IF(AC698="Error", "Error", IF(AC698=0, 0, AD698 / AC698))</f>
        <v>0.40551446054313278</v>
      </c>
      <c r="AF698" s="7">
        <f>C698-B698</f>
        <v>3</v>
      </c>
      <c r="AG698" s="2" t="str">
        <f>TEXT(B698, "mmmm")</f>
        <v>September</v>
      </c>
      <c r="AH698" s="4">
        <f>YEAR(B698)</f>
        <v>2025</v>
      </c>
      <c r="AI698" s="2" t="str">
        <f t="shared" si="24"/>
        <v>Warning: Missing Shipping Mode</v>
      </c>
      <c r="AJ698">
        <f>COUNTIFS($A$2:$A$1000,A698,$B$2:$B$1000,B698,$C$2:$C$1000,C698,$D$2:$D$1000,D698,$E$2:$E$1000,E698,$F$2:$F$1000,F698)</f>
        <v>1</v>
      </c>
      <c r="AK698">
        <f>COUNTIF($A$2:$A$1000, A698)</f>
        <v>1</v>
      </c>
    </row>
    <row r="699" spans="1:37">
      <c r="A699" t="s">
        <v>2172</v>
      </c>
      <c r="B699" s="5">
        <v>45660</v>
      </c>
      <c r="C699" s="5">
        <v>45723</v>
      </c>
      <c r="D699" s="6">
        <f>IF(AND(C699&lt;&gt;"",B699&lt;&gt;""), C699-B699, "Missing Date")</f>
        <v>63</v>
      </c>
      <c r="E699" s="6" t="str">
        <f>IF(OR(B699="",C699=""), "Missing Date",
    IF(C699&lt;B699, "Invalid: Ship before Order",
      "OK"))</f>
        <v>OK</v>
      </c>
      <c r="F699" t="s">
        <v>2173</v>
      </c>
      <c r="G699" t="s">
        <v>53</v>
      </c>
      <c r="H699" t="s">
        <v>90</v>
      </c>
      <c r="I699" t="s">
        <v>54</v>
      </c>
      <c r="J699" t="s">
        <v>84</v>
      </c>
      <c r="K699" t="s">
        <v>85</v>
      </c>
      <c r="L699" t="s">
        <v>28</v>
      </c>
      <c r="M699" t="s">
        <v>91</v>
      </c>
      <c r="N699" t="s">
        <v>2174</v>
      </c>
      <c r="O699" t="s">
        <v>50</v>
      </c>
      <c r="P699">
        <v>7</v>
      </c>
      <c r="Q699">
        <v>567.15</v>
      </c>
      <c r="S699">
        <v>2977.54</v>
      </c>
      <c r="T699">
        <v>1849.3</v>
      </c>
      <c r="U699">
        <v>1128.24</v>
      </c>
      <c r="V699" t="s">
        <v>102</v>
      </c>
      <c r="W699" t="s">
        <v>103</v>
      </c>
      <c r="X699" t="str">
        <f>_xlfn.TEXTJOIN("|", TRUE, A699:W699)</f>
        <v>ORD-2025-10698|45660|45723|63|OK|CUST-6205|Arjun Bose|Corporate|South|Andhra Pradesh|Vijayawada|Office Supplies|Labels|Max Labels 970|First Class|7|567.15|2977.54|1849.3|1128.24|Refunded|Returned</v>
      </c>
      <c r="Y699">
        <f>COUNTIF($X$2:$X$1000, X699)</f>
        <v>1</v>
      </c>
      <c r="Z699">
        <f>COUNTIF($A$2:$A$1000, A699)</f>
        <v>1</v>
      </c>
      <c r="AA699" t="str">
        <f>IF(Y699&gt;1, "Exact Duplicate",
  IF(Z699&gt;1, "Conflicting Duplicate - Review",
    "Unique"))</f>
        <v>Unique</v>
      </c>
      <c r="AB699" s="2">
        <f>IF(ISBLANK(R699), 0, IF(ISTEXT(R699), VALUE(SUBSTITUTE(R699, "%", ""))/100, IF(OR(R699&lt;0, R699&gt;1), "Invalid", R699)))</f>
        <v>0</v>
      </c>
      <c r="AC699" s="4">
        <f>IF(AB699="Invalid", "Error", P699 * Q699 * (1 - AB699))</f>
        <v>3970.0499999999997</v>
      </c>
      <c r="AD699" s="4">
        <f>IF(AC699="Error", "Error", AC699 - T699)</f>
        <v>2120.75</v>
      </c>
      <c r="AE699" s="2">
        <f>IF(AC699="Error", "Error", IF(AC699=0, 0, AD699 / AC699))</f>
        <v>0.53418722686112274</v>
      </c>
      <c r="AF699" s="7">
        <f>C699-B699</f>
        <v>63</v>
      </c>
      <c r="AG699" s="2" t="str">
        <f>TEXT(B699, "mmmm")</f>
        <v>January</v>
      </c>
      <c r="AH699" s="4">
        <f>YEAR(B699)</f>
        <v>2025</v>
      </c>
      <c r="AI699" s="2" t="str">
        <f t="shared" si="24"/>
        <v>Clean</v>
      </c>
      <c r="AJ699">
        <f>COUNTIFS($A$2:$A$1000,A699,$B$2:$B$1000,B699,$C$2:$C$1000,C699,$D$2:$D$1000,D699,$E$2:$E$1000,E699,$F$2:$F$1000,F699)</f>
        <v>1</v>
      </c>
      <c r="AK699">
        <f>COUNTIF($A$2:$A$1000, A699)</f>
        <v>1</v>
      </c>
    </row>
    <row r="700" spans="1:37">
      <c r="A700" t="s">
        <v>2175</v>
      </c>
      <c r="B700" s="5">
        <v>45549</v>
      </c>
      <c r="C700" s="5">
        <v>45549</v>
      </c>
      <c r="D700" s="6">
        <f>IF(AND(C700&lt;&gt;"",B700&lt;&gt;""), C700-B700, "Missing Date")</f>
        <v>0</v>
      </c>
      <c r="E700" s="6" t="str">
        <f>IF(OR(B700="",C700=""), "Missing Date",
    IF(C700&lt;B700, "Invalid: Ship before Order",
      "OK"))</f>
        <v>OK</v>
      </c>
      <c r="F700" t="s">
        <v>2176</v>
      </c>
      <c r="G700" t="s">
        <v>36</v>
      </c>
      <c r="H700" t="s">
        <v>90</v>
      </c>
      <c r="I700" t="s">
        <v>25</v>
      </c>
      <c r="J700" t="s">
        <v>26</v>
      </c>
      <c r="K700" t="s">
        <v>27</v>
      </c>
      <c r="L700" t="s">
        <v>74</v>
      </c>
      <c r="M700" t="s">
        <v>274</v>
      </c>
      <c r="N700" t="s">
        <v>2177</v>
      </c>
      <c r="O700" t="s">
        <v>59</v>
      </c>
      <c r="P700">
        <v>8</v>
      </c>
      <c r="Q700">
        <v>4081.66</v>
      </c>
      <c r="R700">
        <v>0.15</v>
      </c>
      <c r="S700">
        <v>28208.1</v>
      </c>
      <c r="T700">
        <v>23751.91</v>
      </c>
      <c r="U700">
        <v>4003.38</v>
      </c>
      <c r="V700" t="s">
        <v>32</v>
      </c>
      <c r="W700" t="s">
        <v>103</v>
      </c>
      <c r="X700" t="str">
        <f>_xlfn.TEXTJOIN("|", TRUE, A700:W700)</f>
        <v>ORD-2024-10699|45549|45549|0|OK|CUST-5357|Mira Das|Corporate|North|Rajasthan|Jaipur|Technology|Machines|Classic Machines 648|Standard Class|8|4081.66|0.15|28208.1|23751.91|4003.38|Paid|Returned</v>
      </c>
      <c r="Y700">
        <f>COUNTIF($X$2:$X$1000, X700)</f>
        <v>1</v>
      </c>
      <c r="Z700">
        <f>COUNTIF($A$2:$A$1000, A700)</f>
        <v>1</v>
      </c>
      <c r="AA700" t="str">
        <f>IF(Y700&gt;1, "Exact Duplicate",
  IF(Z700&gt;1, "Conflicting Duplicate - Review",
    "Unique"))</f>
        <v>Unique</v>
      </c>
      <c r="AB700" s="2">
        <f>IF(ISBLANK(R700), 0, IF(ISTEXT(R700), VALUE(SUBSTITUTE(R700, "%", ""))/100, IF(OR(R700&lt;0, R700&gt;1), "Invalid", R700)))</f>
        <v>0.15</v>
      </c>
      <c r="AC700" s="4">
        <f>IF(AB700="Invalid", "Error", P700 * Q700 * (1 - AB700))</f>
        <v>27755.287999999997</v>
      </c>
      <c r="AD700" s="4">
        <f>IF(AC700="Error", "Error", AC700 - T700)</f>
        <v>4003.377999999997</v>
      </c>
      <c r="AE700" s="2">
        <f>IF(AC700="Error", "Error", IF(AC700=0, 0, AD700 / AC700))</f>
        <v>0.14423838801456493</v>
      </c>
      <c r="AF700" s="7">
        <f>C700-B700</f>
        <v>0</v>
      </c>
      <c r="AG700" s="2" t="str">
        <f>TEXT(B700, "mmmm")</f>
        <v>September</v>
      </c>
      <c r="AH700" s="4">
        <f>YEAR(B700)</f>
        <v>2024</v>
      </c>
      <c r="AI700" s="2" t="str">
        <f t="shared" si="24"/>
        <v>Clean</v>
      </c>
      <c r="AJ700">
        <f>COUNTIFS($A$2:$A$1000,A700,$B$2:$B$1000,B700,$C$2:$C$1000,C700,$D$2:$D$1000,D700,$E$2:$E$1000,E700,$F$2:$F$1000,F700)</f>
        <v>1</v>
      </c>
      <c r="AK700">
        <f>COUNTIF($A$2:$A$1000, A700)</f>
        <v>1</v>
      </c>
    </row>
    <row r="701" spans="1:37">
      <c r="A701" t="s">
        <v>2178</v>
      </c>
      <c r="B701" s="5">
        <v>45454</v>
      </c>
      <c r="C701" s="5">
        <v>45454</v>
      </c>
      <c r="D701" s="6">
        <f>IF(AND(C701&lt;&gt;"",B701&lt;&gt;""), C701-B701, "Missing Date")</f>
        <v>0</v>
      </c>
      <c r="E701" s="6" t="str">
        <f>IF(OR(B701="",C701=""), "Missing Date",
    IF(C701&lt;B701, "Invalid: Ship before Order",
      "OK"))</f>
        <v>OK</v>
      </c>
      <c r="F701" t="s">
        <v>2179</v>
      </c>
      <c r="G701" t="s">
        <v>53</v>
      </c>
      <c r="H701" t="s">
        <v>37</v>
      </c>
      <c r="I701" t="s">
        <v>54</v>
      </c>
      <c r="J701" t="s">
        <v>175</v>
      </c>
      <c r="K701" t="s">
        <v>176</v>
      </c>
      <c r="L701" t="s">
        <v>41</v>
      </c>
      <c r="M701" t="s">
        <v>158</v>
      </c>
      <c r="N701" t="s">
        <v>2180</v>
      </c>
      <c r="O701" t="s">
        <v>59</v>
      </c>
      <c r="P701">
        <v>9</v>
      </c>
      <c r="Q701">
        <v>1400.11</v>
      </c>
      <c r="R701">
        <v>0.25</v>
      </c>
      <c r="S701">
        <v>9450.74</v>
      </c>
      <c r="T701">
        <v>7798.56</v>
      </c>
      <c r="U701">
        <v>1652.18</v>
      </c>
      <c r="V701" t="s">
        <v>32</v>
      </c>
      <c r="W701" t="s">
        <v>33</v>
      </c>
      <c r="X701" t="str">
        <f>_xlfn.TEXTJOIN("|", TRUE, A701:W701)</f>
        <v>ORD-2024-10700|45454|45454|0|OK|CUST-9802|Arjun Bose|Small Business|South|Karnataka|Bengaluru|Furniture|Bookcases|Max Bookcases 565|Standard Class|9|1400.11|0.25|9450.74|7798.56|1652.18|Paid|Completed</v>
      </c>
      <c r="Y701">
        <f>COUNTIF($X$2:$X$1000, X701)</f>
        <v>1</v>
      </c>
      <c r="Z701">
        <f>COUNTIF($A$2:$A$1000, A701)</f>
        <v>1</v>
      </c>
      <c r="AA701" t="str">
        <f>IF(Y701&gt;1, "Exact Duplicate",
  IF(Z701&gt;1, "Conflicting Duplicate - Review",
    "Unique"))</f>
        <v>Unique</v>
      </c>
      <c r="AB701" s="2">
        <f>IF(ISBLANK(R701), 0, IF(ISTEXT(R701), VALUE(SUBSTITUTE(R701, "%", ""))/100, IF(OR(R701&lt;0, R701&gt;1), "Invalid", R701)))</f>
        <v>0.25</v>
      </c>
      <c r="AC701" s="4">
        <f>IF(AB701="Invalid", "Error", P701 * Q701 * (1 - AB701))</f>
        <v>9450.7425000000003</v>
      </c>
      <c r="AD701" s="4">
        <f>IF(AC701="Error", "Error", AC701 - T701)</f>
        <v>1652.1824999999999</v>
      </c>
      <c r="AE701" s="2">
        <f>IF(AC701="Error", "Error", IF(AC701=0, 0, AD701 / AC701))</f>
        <v>0.17482039109625511</v>
      </c>
      <c r="AF701" s="7">
        <f>C701-B701</f>
        <v>0</v>
      </c>
      <c r="AG701" s="2" t="str">
        <f>TEXT(B701, "mmmm")</f>
        <v>June</v>
      </c>
      <c r="AH701" s="4">
        <f>YEAR(B701)</f>
        <v>2024</v>
      </c>
      <c r="AI701" s="2" t="str">
        <f t="shared" si="24"/>
        <v>Clean</v>
      </c>
      <c r="AJ701">
        <f>COUNTIFS($A$2:$A$1000,A701,$B$2:$B$1000,B701,$C$2:$C$1000,C701,$D$2:$D$1000,D701,$E$2:$E$1000,E701,$F$2:$F$1000,F701)</f>
        <v>1</v>
      </c>
      <c r="AK701">
        <f>COUNTIF($A$2:$A$1000, A701)</f>
        <v>1</v>
      </c>
    </row>
    <row r="702" spans="1:37">
      <c r="A702" t="s">
        <v>2181</v>
      </c>
      <c r="B702" s="5">
        <v>45553</v>
      </c>
      <c r="C702" s="5">
        <v>45556</v>
      </c>
      <c r="D702" s="6">
        <f>IF(AND(C702&lt;&gt;"",B702&lt;&gt;""), C702-B702, "Missing Date")</f>
        <v>3</v>
      </c>
      <c r="E702" s="6" t="str">
        <f>IF(OR(B702="",C702=""), "Missing Date",
    IF(C702&lt;B702, "Invalid: Ship before Order",
      "OK"))</f>
        <v>OK</v>
      </c>
      <c r="F702" t="s">
        <v>2182</v>
      </c>
      <c r="G702" t="s">
        <v>79</v>
      </c>
      <c r="H702" t="s">
        <v>90</v>
      </c>
      <c r="I702" t="s">
        <v>38</v>
      </c>
      <c r="J702" t="s">
        <v>99</v>
      </c>
      <c r="K702" t="s">
        <v>100</v>
      </c>
      <c r="L702" t="s">
        <v>74</v>
      </c>
      <c r="M702" t="s">
        <v>274</v>
      </c>
      <c r="N702" t="s">
        <v>2183</v>
      </c>
      <c r="O702" t="s">
        <v>59</v>
      </c>
      <c r="P702">
        <v>3</v>
      </c>
      <c r="Q702">
        <v>3055.9</v>
      </c>
      <c r="R702">
        <v>0.15</v>
      </c>
      <c r="S702">
        <v>7792.55</v>
      </c>
      <c r="T702">
        <v>4691.7299999999996</v>
      </c>
      <c r="U702">
        <v>3100.82</v>
      </c>
      <c r="V702" t="s">
        <v>32</v>
      </c>
      <c r="W702" t="s">
        <v>33</v>
      </c>
      <c r="X702" t="str">
        <f>_xlfn.TEXTJOIN("|", TRUE, A702:W702)</f>
        <v>ORD-2024-10701|45553|45556|3|OK|CUST-5646|Neha Gupta|Corporate|East|West Bengal|Kolkata|Technology|Machines|Basic Machines 220|Standard Class|3|3055.9|0.15|7792.55|4691.73|3100.82|Paid|Completed</v>
      </c>
      <c r="Y702">
        <f>COUNTIF($X$2:$X$1000, X702)</f>
        <v>1</v>
      </c>
      <c r="Z702">
        <f>COUNTIF($A$2:$A$1000, A702)</f>
        <v>1</v>
      </c>
      <c r="AA702" t="str">
        <f>IF(Y702&gt;1, "Exact Duplicate",
  IF(Z702&gt;1, "Conflicting Duplicate - Review",
    "Unique"))</f>
        <v>Unique</v>
      </c>
      <c r="AB702" s="2">
        <f>IF(ISBLANK(R702), 0, IF(ISTEXT(R702), VALUE(SUBSTITUTE(R702, "%", ""))/100, IF(OR(R702&lt;0, R702&gt;1), "Invalid", R702)))</f>
        <v>0.15</v>
      </c>
      <c r="AC702" s="4">
        <f>IF(AB702="Invalid", "Error", P702 * Q702 * (1 - AB702))</f>
        <v>7792.5450000000001</v>
      </c>
      <c r="AD702" s="4">
        <f>IF(AC702="Error", "Error", AC702 - T702)</f>
        <v>3100.8150000000005</v>
      </c>
      <c r="AE702" s="2">
        <f>IF(AC702="Error", "Error", IF(AC702=0, 0, AD702 / AC702))</f>
        <v>0.39792070498149201</v>
      </c>
      <c r="AF702" s="7">
        <f>C702-B702</f>
        <v>3</v>
      </c>
      <c r="AG702" s="2" t="str">
        <f>TEXT(B702, "mmmm")</f>
        <v>September</v>
      </c>
      <c r="AH702" s="4">
        <f>YEAR(B702)</f>
        <v>2024</v>
      </c>
      <c r="AI702" s="2" t="str">
        <f t="shared" si="24"/>
        <v>Clean</v>
      </c>
      <c r="AJ702">
        <f>COUNTIFS($A$2:$A$1000,A702,$B$2:$B$1000,B702,$C$2:$C$1000,C702,$D$2:$D$1000,D702,$E$2:$E$1000,E702,$F$2:$F$1000,F702)</f>
        <v>1</v>
      </c>
      <c r="AK702">
        <f>COUNTIF($A$2:$A$1000, A702)</f>
        <v>1</v>
      </c>
    </row>
    <row r="703" spans="1:37">
      <c r="A703" t="s">
        <v>2184</v>
      </c>
      <c r="B703" s="5">
        <v>45412</v>
      </c>
      <c r="C703" s="5">
        <v>45416</v>
      </c>
      <c r="D703" s="6">
        <f>IF(AND(C703&lt;&gt;"",B703&lt;&gt;""), C703-B703, "Missing Date")</f>
        <v>4</v>
      </c>
      <c r="E703" s="6" t="str">
        <f>IF(OR(B703="",C703=""), "Missing Date",
    IF(C703&lt;B703, "Invalid: Ship before Order",
      "OK"))</f>
        <v>OK</v>
      </c>
      <c r="F703" t="s">
        <v>2185</v>
      </c>
      <c r="G703" t="s">
        <v>141</v>
      </c>
      <c r="H703" t="s">
        <v>37</v>
      </c>
      <c r="I703" t="s">
        <v>63</v>
      </c>
      <c r="J703" t="s">
        <v>180</v>
      </c>
      <c r="K703" t="s">
        <v>181</v>
      </c>
      <c r="L703" t="s">
        <v>28</v>
      </c>
      <c r="M703" t="s">
        <v>48</v>
      </c>
      <c r="N703" t="s">
        <v>2186</v>
      </c>
      <c r="O703" t="s">
        <v>44</v>
      </c>
      <c r="P703">
        <v>7</v>
      </c>
      <c r="Q703">
        <v>1224.94</v>
      </c>
      <c r="R703">
        <v>0</v>
      </c>
      <c r="S703">
        <v>8574.58</v>
      </c>
      <c r="T703">
        <v>6685.81</v>
      </c>
      <c r="U703">
        <v>1888.77</v>
      </c>
      <c r="V703" t="s">
        <v>32</v>
      </c>
      <c r="W703" t="s">
        <v>103</v>
      </c>
      <c r="X703" t="str">
        <f>_xlfn.TEXTJOIN("|", TRUE, A703:W703)</f>
        <v>ORD-2024-10702|45412|45416|4|OK|CUST-7171|Rohan Mehta|Small Business|West|Gujarat|Ahmedabad|Office Supplies|Art|Pro Art 151|Same Day|7|1224.94|0|8574.58|6685.81|1888.77|Paid|Returned</v>
      </c>
      <c r="Y703">
        <f>COUNTIF($X$2:$X$1000, X703)</f>
        <v>1</v>
      </c>
      <c r="Z703">
        <f>COUNTIF($A$2:$A$1000, A703)</f>
        <v>1</v>
      </c>
      <c r="AA703" t="str">
        <f>IF(Y703&gt;1, "Exact Duplicate",
  IF(Z703&gt;1, "Conflicting Duplicate - Review",
    "Unique"))</f>
        <v>Unique</v>
      </c>
      <c r="AB703" s="2">
        <f>IF(ISBLANK(R703), 0, IF(ISTEXT(R703), VALUE(SUBSTITUTE(R703, "%", ""))/100, IF(OR(R703&lt;0, R703&gt;1), "Invalid", R703)))</f>
        <v>0</v>
      </c>
      <c r="AC703" s="4">
        <f>IF(AB703="Invalid", "Error", P703 * Q703 * (1 - AB703))</f>
        <v>8574.58</v>
      </c>
      <c r="AD703" s="4">
        <f>IF(AC703="Error", "Error", AC703 - T703)</f>
        <v>1888.7699999999995</v>
      </c>
      <c r="AE703" s="2">
        <f>IF(AC703="Error", "Error", IF(AC703=0, 0, AD703 / AC703))</f>
        <v>0.22027551203674112</v>
      </c>
      <c r="AF703" s="7">
        <f>C703-B703</f>
        <v>4</v>
      </c>
      <c r="AG703" s="2" t="str">
        <f>TEXT(B703, "mmmm")</f>
        <v>April</v>
      </c>
      <c r="AH703" s="4">
        <f>YEAR(B703)</f>
        <v>2024</v>
      </c>
      <c r="AI703" s="2" t="str">
        <f t="shared" si="24"/>
        <v>Clean</v>
      </c>
      <c r="AJ703">
        <f>COUNTIFS($A$2:$A$1000,A703,$B$2:$B$1000,B703,$C$2:$C$1000,C703,$D$2:$D$1000,D703,$E$2:$E$1000,E703,$F$2:$F$1000,F703)</f>
        <v>1</v>
      </c>
      <c r="AK703">
        <f>COUNTIF($A$2:$A$1000, A703)</f>
        <v>1</v>
      </c>
    </row>
    <row r="704" spans="1:37">
      <c r="A704" t="s">
        <v>2187</v>
      </c>
      <c r="B704" s="5">
        <v>45690</v>
      </c>
      <c r="C704" s="5">
        <v>45810</v>
      </c>
      <c r="D704" s="6">
        <f>IF(AND(C704&lt;&gt;"",B704&lt;&gt;""), C704-B704, "Missing Date")</f>
        <v>120</v>
      </c>
      <c r="E704" s="6" t="str">
        <f>IF(OR(B704="",C704=""), "Missing Date",
    IF(C704&lt;B704, "Invalid: Ship before Order",
      "OK"))</f>
        <v>OK</v>
      </c>
      <c r="F704" t="s">
        <v>2188</v>
      </c>
      <c r="G704" t="s">
        <v>23</v>
      </c>
      <c r="H704" t="s">
        <v>37</v>
      </c>
      <c r="I704" t="s">
        <v>63</v>
      </c>
      <c r="J704" t="s">
        <v>26</v>
      </c>
      <c r="K704" t="s">
        <v>109</v>
      </c>
      <c r="L704" t="s">
        <v>41</v>
      </c>
      <c r="M704" t="s">
        <v>42</v>
      </c>
      <c r="N704" t="s">
        <v>2189</v>
      </c>
      <c r="O704" t="s">
        <v>31</v>
      </c>
      <c r="P704">
        <v>3</v>
      </c>
      <c r="Q704">
        <v>997.34</v>
      </c>
      <c r="R704">
        <v>0.1</v>
      </c>
      <c r="S704">
        <v>2692.82</v>
      </c>
      <c r="T704">
        <v>1820.08</v>
      </c>
      <c r="U704">
        <v>872.74</v>
      </c>
      <c r="V704" t="s">
        <v>32</v>
      </c>
      <c r="W704" t="s">
        <v>33</v>
      </c>
      <c r="X704" t="str">
        <f>_xlfn.TEXTJOIN("|", TRUE, A704:W704)</f>
        <v>ORD-2025-10703|45690|45810|120|OK|CUST-5231|Karan Malhotra|Small Business|West|Rajasthan|Udaipur|Furniture|Tables|Pro Tables 980|Second Class|3|997.34|0.1|2692.82|1820.08|872.74|Paid|Completed</v>
      </c>
      <c r="Y704">
        <f>COUNTIF($X$2:$X$1000, X704)</f>
        <v>1</v>
      </c>
      <c r="Z704">
        <f>COUNTIF($A$2:$A$1000, A704)</f>
        <v>1</v>
      </c>
      <c r="AA704" t="str">
        <f>IF(Y704&gt;1, "Exact Duplicate",
  IF(Z704&gt;1, "Conflicting Duplicate - Review",
    "Unique"))</f>
        <v>Unique</v>
      </c>
      <c r="AB704" s="2">
        <f>IF(ISBLANK(R704), 0, IF(ISTEXT(R704), VALUE(SUBSTITUTE(R704, "%", ""))/100, IF(OR(R704&lt;0, R704&gt;1), "Invalid", R704)))</f>
        <v>0.1</v>
      </c>
      <c r="AC704" s="4">
        <f>IF(AB704="Invalid", "Error", P704 * Q704 * (1 - AB704))</f>
        <v>2692.8180000000002</v>
      </c>
      <c r="AD704" s="4">
        <f>IF(AC704="Error", "Error", AC704 - T704)</f>
        <v>872.73800000000028</v>
      </c>
      <c r="AE704" s="2">
        <f>IF(AC704="Error", "Error", IF(AC704=0, 0, AD704 / AC704))</f>
        <v>0.32409839803506968</v>
      </c>
      <c r="AF704" s="7">
        <f>C704-B704</f>
        <v>120</v>
      </c>
      <c r="AG704" s="2" t="str">
        <f>TEXT(B704, "mmmm")</f>
        <v>February</v>
      </c>
      <c r="AH704" s="4">
        <f>YEAR(B704)</f>
        <v>2025</v>
      </c>
      <c r="AI704" s="2" t="str">
        <f t="shared" si="24"/>
        <v>Clean</v>
      </c>
      <c r="AJ704">
        <f>COUNTIFS($A$2:$A$1000,A704,$B$2:$B$1000,B704,$C$2:$C$1000,C704,$D$2:$D$1000,D704,$E$2:$E$1000,E704,$F$2:$F$1000,F704)</f>
        <v>1</v>
      </c>
      <c r="AK704">
        <f>COUNTIF($A$2:$A$1000, A704)</f>
        <v>1</v>
      </c>
    </row>
    <row r="705" spans="1:37">
      <c r="A705" t="s">
        <v>2190</v>
      </c>
      <c r="B705" s="5">
        <v>45584</v>
      </c>
      <c r="C705" s="5">
        <v>45585</v>
      </c>
      <c r="D705" s="6">
        <f>IF(AND(C705&lt;&gt;"",B705&lt;&gt;""), C705-B705, "Missing Date")</f>
        <v>1</v>
      </c>
      <c r="E705" s="6" t="str">
        <f>IF(OR(B705="",C705=""), "Missing Date",
    IF(C705&lt;B705, "Invalid: Ship before Order",
      "OK"))</f>
        <v>OK</v>
      </c>
      <c r="F705" t="s">
        <v>2191</v>
      </c>
      <c r="G705" t="s">
        <v>89</v>
      </c>
      <c r="H705" t="s">
        <v>90</v>
      </c>
      <c r="I705" t="s">
        <v>25</v>
      </c>
      <c r="J705" t="s">
        <v>26</v>
      </c>
      <c r="K705" t="s">
        <v>27</v>
      </c>
      <c r="L705" t="s">
        <v>41</v>
      </c>
      <c r="M705" t="s">
        <v>42</v>
      </c>
      <c r="N705" t="s">
        <v>2192</v>
      </c>
      <c r="O705" t="s">
        <v>50</v>
      </c>
      <c r="P705">
        <v>1</v>
      </c>
      <c r="Q705">
        <v>1150.03</v>
      </c>
      <c r="R705">
        <v>0.1</v>
      </c>
      <c r="S705">
        <v>1035.03</v>
      </c>
      <c r="T705">
        <v>854.35</v>
      </c>
      <c r="U705">
        <v>180.68</v>
      </c>
      <c r="V705" t="s">
        <v>32</v>
      </c>
      <c r="W705" t="s">
        <v>33</v>
      </c>
      <c r="X705" t="str">
        <f>_xlfn.TEXTJOIN("|", TRUE, A705:W705)</f>
        <v>ORD-2024-10704|45584|45585|1|OK|CUST-8734|Aditi Sen|Corporate|North|Rajasthan|Jaipur|Furniture|Tables|Classic Tables 997|First Class|1|1150.03|0.1|1035.03|854.35|180.68|Paid|Completed</v>
      </c>
      <c r="Y705">
        <f>COUNTIF($X$2:$X$1000, X705)</f>
        <v>1</v>
      </c>
      <c r="Z705">
        <f>COUNTIF($A$2:$A$1000, A705)</f>
        <v>1</v>
      </c>
      <c r="AA705" t="str">
        <f>IF(Y705&gt;1, "Exact Duplicate",
  IF(Z705&gt;1, "Conflicting Duplicate - Review",
    "Unique"))</f>
        <v>Unique</v>
      </c>
      <c r="AB705" s="2">
        <f>IF(ISBLANK(R705), 0, IF(ISTEXT(R705), VALUE(SUBSTITUTE(R705, "%", ""))/100, IF(OR(R705&lt;0, R705&gt;1), "Invalid", R705)))</f>
        <v>0.1</v>
      </c>
      <c r="AC705" s="4">
        <f>IF(AB705="Invalid", "Error", P705 * Q705 * (1 - AB705))</f>
        <v>1035.027</v>
      </c>
      <c r="AD705" s="4">
        <f>IF(AC705="Error", "Error", AC705 - T705)</f>
        <v>180.67700000000002</v>
      </c>
      <c r="AE705" s="2">
        <f>IF(AC705="Error", "Error", IF(AC705=0, 0, AD705 / AC705))</f>
        <v>0.1745625959516032</v>
      </c>
      <c r="AF705" s="7">
        <f>C705-B705</f>
        <v>1</v>
      </c>
      <c r="AG705" s="2" t="str">
        <f>TEXT(B705, "mmmm")</f>
        <v>October</v>
      </c>
      <c r="AH705" s="4">
        <f>YEAR(B705)</f>
        <v>2024</v>
      </c>
      <c r="AI705" s="2" t="str">
        <f t="shared" si="24"/>
        <v>Clean</v>
      </c>
      <c r="AJ705">
        <f>COUNTIFS($A$2:$A$1000,A705,$B$2:$B$1000,B705,$C$2:$C$1000,C705,$D$2:$D$1000,D705,$E$2:$E$1000,E705,$F$2:$F$1000,F705)</f>
        <v>1</v>
      </c>
      <c r="AK705">
        <f>COUNTIF($A$2:$A$1000, A705)</f>
        <v>1</v>
      </c>
    </row>
    <row r="706" spans="1:37">
      <c r="A706" t="s">
        <v>2193</v>
      </c>
      <c r="B706" s="5">
        <v>45364</v>
      </c>
      <c r="C706" s="5">
        <v>45371</v>
      </c>
      <c r="D706" s="6">
        <f>IF(AND(C706&lt;&gt;"",B706&lt;&gt;""), C706-B706, "Missing Date")</f>
        <v>7</v>
      </c>
      <c r="E706" s="6" t="str">
        <f>IF(OR(B706="",C706=""), "Missing Date",
    IF(C706&lt;B706, "Invalid: Ship before Order",
      "OK"))</f>
        <v>OK</v>
      </c>
      <c r="F706" t="s">
        <v>2194</v>
      </c>
      <c r="G706" t="s">
        <v>114</v>
      </c>
      <c r="H706" t="s">
        <v>95</v>
      </c>
      <c r="I706" t="s">
        <v>54</v>
      </c>
      <c r="J706" t="s">
        <v>247</v>
      </c>
      <c r="K706" t="s">
        <v>248</v>
      </c>
      <c r="L706" t="s">
        <v>41</v>
      </c>
      <c r="M706" t="s">
        <v>158</v>
      </c>
      <c r="N706" t="s">
        <v>2195</v>
      </c>
      <c r="O706" t="s">
        <v>2762</v>
      </c>
      <c r="P706">
        <v>1</v>
      </c>
      <c r="Q706">
        <v>2825.63</v>
      </c>
      <c r="R706">
        <v>0.15</v>
      </c>
      <c r="S706">
        <v>2401.79</v>
      </c>
      <c r="T706">
        <v>1820.34</v>
      </c>
      <c r="U706">
        <v>581.45000000000005</v>
      </c>
      <c r="V706" t="s">
        <v>32</v>
      </c>
      <c r="W706" t="s">
        <v>33</v>
      </c>
      <c r="X706" t="str">
        <f>_xlfn.TEXTJOIN("|", TRUE, A706:W706)</f>
        <v>ORD-2024-10705|45364|45371|7|OK|CUST-4916|Priya Menon|Home Office|South|Tamil Nadu|Chennai|Furniture|Bookcases|Max Bookcases 738|Unknown|1|2825.63|0.15|2401.79|1820.34|581.45|Paid|Completed</v>
      </c>
      <c r="Y706">
        <f>COUNTIF($X$2:$X$1000, X706)</f>
        <v>1</v>
      </c>
      <c r="Z706">
        <f>COUNTIF($A$2:$A$1000, A706)</f>
        <v>2</v>
      </c>
      <c r="AA706" t="str">
        <f>IF(Y706&gt;1, "Exact Duplicate",
  IF(Z706&gt;1, "Conflicting Duplicate - Review",
    "Unique"))</f>
        <v>Conflicting Duplicate - Review</v>
      </c>
      <c r="AB706" s="2">
        <f>IF(ISBLANK(R706), 0, IF(ISTEXT(R706), VALUE(SUBSTITUTE(R706, "%", ""))/100, IF(OR(R706&lt;0, R706&gt;1), "Invalid", R706)))</f>
        <v>0.15</v>
      </c>
      <c r="AC706" s="4">
        <f>IF(AB706="Invalid", "Error", P706 * Q706 * (1 - AB706))</f>
        <v>2401.7855</v>
      </c>
      <c r="AD706" s="4">
        <f>IF(AC706="Error", "Error", AC706 - T706)</f>
        <v>581.44550000000004</v>
      </c>
      <c r="AE706" s="2">
        <f>IF(AC706="Error", "Error", IF(AC706=0, 0, AD706 / AC706))</f>
        <v>0.24208885431276025</v>
      </c>
      <c r="AF706" s="7">
        <f>C706-B706</f>
        <v>7</v>
      </c>
      <c r="AG706" s="2" t="str">
        <f>TEXT(B706, "mmmm")</f>
        <v>March</v>
      </c>
      <c r="AH706" s="4">
        <f>YEAR(B706)</f>
        <v>2024</v>
      </c>
      <c r="AI706" s="2" t="str">
        <f t="shared" si="24"/>
        <v>Warning: Missing Shipping Mode</v>
      </c>
      <c r="AJ706">
        <f>COUNTIFS($A$2:$A$1000,A706,$B$2:$B$1000,B706,$C$2:$C$1000,C706,$D$2:$D$1000,D706,$E$2:$E$1000,E706,$F$2:$F$1000,F706)</f>
        <v>2</v>
      </c>
      <c r="AK706">
        <f>COUNTIF($A$2:$A$1000, A706)</f>
        <v>2</v>
      </c>
    </row>
    <row r="707" spans="1:37">
      <c r="A707" t="s">
        <v>2196</v>
      </c>
      <c r="B707" s="5">
        <v>45543</v>
      </c>
      <c r="C707" s="5">
        <v>45549</v>
      </c>
      <c r="D707" s="6">
        <f>IF(AND(C707&lt;&gt;"",B707&lt;&gt;""), C707-B707, "Missing Date")</f>
        <v>6</v>
      </c>
      <c r="E707" s="6" t="str">
        <f>IF(OR(B707="",C707=""), "Missing Date",
    IF(C707&lt;B707, "Invalid: Ship before Order",
      "OK"))</f>
        <v>OK</v>
      </c>
      <c r="F707" t="s">
        <v>2197</v>
      </c>
      <c r="G707" t="s">
        <v>141</v>
      </c>
      <c r="H707" t="s">
        <v>24</v>
      </c>
      <c r="I707" t="s">
        <v>25</v>
      </c>
      <c r="J707" t="s">
        <v>26</v>
      </c>
      <c r="K707" t="s">
        <v>27</v>
      </c>
      <c r="L707" t="s">
        <v>28</v>
      </c>
      <c r="M707" t="s">
        <v>153</v>
      </c>
      <c r="N707" t="s">
        <v>2198</v>
      </c>
      <c r="O707" t="s">
        <v>59</v>
      </c>
      <c r="P707">
        <v>5</v>
      </c>
      <c r="Q707">
        <v>3371.75</v>
      </c>
      <c r="R707">
        <v>0.05</v>
      </c>
      <c r="S707">
        <v>16015.81</v>
      </c>
      <c r="T707">
        <v>11352.38</v>
      </c>
      <c r="U707">
        <v>4663.43</v>
      </c>
      <c r="V707" t="s">
        <v>32</v>
      </c>
      <c r="W707" t="s">
        <v>33</v>
      </c>
      <c r="X707" t="str">
        <f>_xlfn.TEXTJOIN("|", TRUE, A707:W707)</f>
        <v>ORD-2024-10706|45543|45549|6|OK|CUST-3289|Rohan Mehta|Consumer|North|Rajasthan|Jaipur|Office Supplies|Binders|Max Binders 411|Standard Class|5|3371.75|0.05|16015.81|11352.38|4663.43|Paid|Completed</v>
      </c>
      <c r="Y707">
        <f>COUNTIF($X$2:$X$1000, X707)</f>
        <v>1</v>
      </c>
      <c r="Z707">
        <f>COUNTIF($A$2:$A$1000, A707)</f>
        <v>1</v>
      </c>
      <c r="AA707" t="str">
        <f>IF(Y707&gt;1, "Exact Duplicate",
  IF(Z707&gt;1, "Conflicting Duplicate - Review",
    "Unique"))</f>
        <v>Unique</v>
      </c>
      <c r="AB707" s="2">
        <f>IF(ISBLANK(R707), 0, IF(ISTEXT(R707), VALUE(SUBSTITUTE(R707, "%", ""))/100, IF(OR(R707&lt;0, R707&gt;1), "Invalid", R707)))</f>
        <v>0.05</v>
      </c>
      <c r="AC707" s="4">
        <f>IF(AB707="Invalid", "Error", P707 * Q707 * (1 - AB707))</f>
        <v>16015.8125</v>
      </c>
      <c r="AD707" s="4">
        <f>IF(AC707="Error", "Error", AC707 - T707)</f>
        <v>4663.4325000000008</v>
      </c>
      <c r="AE707" s="2">
        <f>IF(AC707="Error", "Error", IF(AC707=0, 0, AD707 / AC707))</f>
        <v>0.29117676671102394</v>
      </c>
      <c r="AF707" s="7">
        <f>C707-B707</f>
        <v>6</v>
      </c>
      <c r="AG707" s="2" t="str">
        <f>TEXT(B707, "mmmm")</f>
        <v>September</v>
      </c>
      <c r="AH707" s="4">
        <f>YEAR(B707)</f>
        <v>2024</v>
      </c>
      <c r="AI707" s="2" t="str">
        <f t="shared" ref="AI707:AI770" si="25">IF(OR(R707&lt;0,R707&gt;1),"Invalid: Discount",
IF(AND(I707="Unknown",J707&lt;&gt;""),"Warning: Missing Region",
IF(W707="Cancelled","Excluded from Sales",
IF(V707="Failed","Excluded from Sales",
IF(O707="Unknown","Warning: Missing Shipping Mode",
IF(W707="Refunded","Refund – Separate Summary",
IF(C707&lt;B707,"Invalid Shipping Record",
"Clean")))))))</f>
        <v>Clean</v>
      </c>
      <c r="AJ707">
        <f>COUNTIFS($A$2:$A$1000,A707,$B$2:$B$1000,B707,$C$2:$C$1000,C707,$D$2:$D$1000,D707,$E$2:$E$1000,E707,$F$2:$F$1000,F707)</f>
        <v>1</v>
      </c>
      <c r="AK707">
        <f>COUNTIF($A$2:$A$1000, A707)</f>
        <v>1</v>
      </c>
    </row>
    <row r="708" spans="1:37">
      <c r="A708" t="s">
        <v>2199</v>
      </c>
      <c r="B708" s="5">
        <v>45467</v>
      </c>
      <c r="C708" s="5">
        <v>45471</v>
      </c>
      <c r="D708" s="6">
        <f>IF(AND(C708&lt;&gt;"",B708&lt;&gt;""), C708-B708, "Missing Date")</f>
        <v>4</v>
      </c>
      <c r="E708" s="6" t="str">
        <f>IF(OR(B708="",C708=""), "Missing Date",
    IF(C708&lt;B708, "Invalid: Ship before Order",
      "OK"))</f>
        <v>OK</v>
      </c>
      <c r="F708" t="s">
        <v>2200</v>
      </c>
      <c r="G708" t="s">
        <v>47</v>
      </c>
      <c r="H708" t="s">
        <v>37</v>
      </c>
      <c r="I708" t="s">
        <v>38</v>
      </c>
      <c r="J708" t="s">
        <v>39</v>
      </c>
      <c r="K708" t="s">
        <v>40</v>
      </c>
      <c r="L708" t="s">
        <v>28</v>
      </c>
      <c r="M708" t="s">
        <v>29</v>
      </c>
      <c r="N708" t="s">
        <v>2201</v>
      </c>
      <c r="O708" t="s">
        <v>44</v>
      </c>
      <c r="P708">
        <v>1</v>
      </c>
      <c r="Q708">
        <v>2112.75</v>
      </c>
      <c r="R708">
        <v>0.1</v>
      </c>
      <c r="S708">
        <v>1901.48</v>
      </c>
      <c r="T708">
        <v>1354.28</v>
      </c>
      <c r="U708">
        <v>547.20000000000005</v>
      </c>
      <c r="V708" t="s">
        <v>32</v>
      </c>
      <c r="W708" t="s">
        <v>33</v>
      </c>
      <c r="X708" t="str">
        <f>_xlfn.TEXTJOIN("|", TRUE, A708:W708)</f>
        <v>ORD-2024-10707|45467|45471|4|OK|CUST-4928|Isha Nair|Small Business|East|Odisha|Bhubaneswar|Office Supplies|Paper|Max Paper 343|Same Day|1|2112.75|0.1|1901.48|1354.28|547.2|Paid|Completed</v>
      </c>
      <c r="Y708">
        <f>COUNTIF($X$2:$X$1000, X708)</f>
        <v>1</v>
      </c>
      <c r="Z708">
        <f>COUNTIF($A$2:$A$1000, A708)</f>
        <v>1</v>
      </c>
      <c r="AA708" t="str">
        <f>IF(Y708&gt;1, "Exact Duplicate",
  IF(Z708&gt;1, "Conflicting Duplicate - Review",
    "Unique"))</f>
        <v>Unique</v>
      </c>
      <c r="AB708" s="2">
        <f>IF(ISBLANK(R708), 0, IF(ISTEXT(R708), VALUE(SUBSTITUTE(R708, "%", ""))/100, IF(OR(R708&lt;0, R708&gt;1), "Invalid", R708)))</f>
        <v>0.1</v>
      </c>
      <c r="AC708" s="4">
        <f>IF(AB708="Invalid", "Error", P708 * Q708 * (1 - AB708))</f>
        <v>1901.4750000000001</v>
      </c>
      <c r="AD708" s="4">
        <f>IF(AC708="Error", "Error", AC708 - T708)</f>
        <v>547.19500000000016</v>
      </c>
      <c r="AE708" s="2">
        <f>IF(AC708="Error", "Error", IF(AC708=0, 0, AD708 / AC708))</f>
        <v>0.28777396494826391</v>
      </c>
      <c r="AF708" s="7">
        <f>C708-B708</f>
        <v>4</v>
      </c>
      <c r="AG708" s="2" t="str">
        <f>TEXT(B708, "mmmm")</f>
        <v>June</v>
      </c>
      <c r="AH708" s="4">
        <f>YEAR(B708)</f>
        <v>2024</v>
      </c>
      <c r="AI708" s="2" t="str">
        <f t="shared" si="25"/>
        <v>Clean</v>
      </c>
      <c r="AJ708">
        <f>COUNTIFS($A$2:$A$1000,A708,$B$2:$B$1000,B708,$C$2:$C$1000,C708,$D$2:$D$1000,D708,$E$2:$E$1000,E708,$F$2:$F$1000,F708)</f>
        <v>1</v>
      </c>
      <c r="AK708">
        <f>COUNTIF($A$2:$A$1000, A708)</f>
        <v>1</v>
      </c>
    </row>
    <row r="709" spans="1:37">
      <c r="A709" t="s">
        <v>2202</v>
      </c>
      <c r="B709" s="5">
        <v>45832</v>
      </c>
      <c r="C709" s="5">
        <v>45834</v>
      </c>
      <c r="D709" s="6">
        <f>IF(AND(C709&lt;&gt;"",B709&lt;&gt;""), C709-B709, "Missing Date")</f>
        <v>2</v>
      </c>
      <c r="E709" s="6" t="str">
        <f>IF(OR(B709="",C709=""), "Missing Date",
    IF(C709&lt;B709, "Invalid: Ship before Order",
      "OK"))</f>
        <v>OK</v>
      </c>
      <c r="F709" t="s">
        <v>2203</v>
      </c>
      <c r="G709" t="s">
        <v>71</v>
      </c>
      <c r="H709" t="s">
        <v>24</v>
      </c>
      <c r="I709" t="s">
        <v>25</v>
      </c>
      <c r="J709" t="s">
        <v>26</v>
      </c>
      <c r="K709" t="s">
        <v>27</v>
      </c>
      <c r="L709" t="s">
        <v>74</v>
      </c>
      <c r="M709" t="s">
        <v>75</v>
      </c>
      <c r="N709" t="s">
        <v>2204</v>
      </c>
      <c r="O709" t="s">
        <v>44</v>
      </c>
      <c r="P709">
        <v>5</v>
      </c>
      <c r="Q709">
        <v>3722.66</v>
      </c>
      <c r="R709">
        <v>0.55000000000000004</v>
      </c>
      <c r="S709">
        <v>16751.97</v>
      </c>
      <c r="T709">
        <v>11678.32</v>
      </c>
      <c r="U709">
        <v>5073.6499999999996</v>
      </c>
      <c r="V709" t="s">
        <v>32</v>
      </c>
      <c r="W709" t="s">
        <v>33</v>
      </c>
      <c r="X709" t="str">
        <f>_xlfn.TEXTJOIN("|", TRUE, A709:W709)</f>
        <v>ORD-2025-10708|45832|45834|2|OK|CUST-4902|Vikram Iyer|Consumer|North|Rajasthan|Jaipur|Technology|Accessories|Pro Accessories 485|Same Day|5|3722.66|0.55|16751.97|11678.32|5073.65|Paid|Completed</v>
      </c>
      <c r="Y709">
        <f>COUNTIF($X$2:$X$1000, X709)</f>
        <v>1</v>
      </c>
      <c r="Z709">
        <f>COUNTIF($A$2:$A$1000, A709)</f>
        <v>1</v>
      </c>
      <c r="AA709" t="str">
        <f>IF(Y709&gt;1, "Exact Duplicate",
  IF(Z709&gt;1, "Conflicting Duplicate - Review",
    "Unique"))</f>
        <v>Unique</v>
      </c>
      <c r="AB709" s="2">
        <f>IF(ISBLANK(R709), 0, IF(ISTEXT(R709), VALUE(SUBSTITUTE(R709, "%", ""))/100, IF(OR(R709&lt;0, R709&gt;1), "Invalid", R709)))</f>
        <v>0.55000000000000004</v>
      </c>
      <c r="AC709" s="4">
        <f>IF(AB709="Invalid", "Error", P709 * Q709 * (1 - AB709))</f>
        <v>8375.9849999999988</v>
      </c>
      <c r="AD709" s="4">
        <f>IF(AC709="Error", "Error", AC709 - T709)</f>
        <v>-3302.3350000000009</v>
      </c>
      <c r="AE709" s="2">
        <f>IF(AC709="Error", "Error", IF(AC709=0, 0, AD709 / AC709))</f>
        <v>-0.39426228676388525</v>
      </c>
      <c r="AF709" s="7">
        <f>C709-B709</f>
        <v>2</v>
      </c>
      <c r="AG709" s="2" t="str">
        <f>TEXT(B709, "mmmm")</f>
        <v>June</v>
      </c>
      <c r="AH709" s="4">
        <f>YEAR(B709)</f>
        <v>2025</v>
      </c>
      <c r="AI709" s="2" t="str">
        <f t="shared" si="25"/>
        <v>Clean</v>
      </c>
      <c r="AJ709">
        <f>COUNTIFS($A$2:$A$1000,A709,$B$2:$B$1000,B709,$C$2:$C$1000,C709,$D$2:$D$1000,D709,$E$2:$E$1000,E709,$F$2:$F$1000,F709)</f>
        <v>1</v>
      </c>
      <c r="AK709">
        <f>COUNTIF($A$2:$A$1000, A709)</f>
        <v>1</v>
      </c>
    </row>
    <row r="710" spans="1:37">
      <c r="A710" t="s">
        <v>2205</v>
      </c>
      <c r="B710" s="5">
        <v>45736</v>
      </c>
      <c r="C710" s="5">
        <v>45742</v>
      </c>
      <c r="D710" s="6">
        <f>IF(AND(C710&lt;&gt;"",B710&lt;&gt;""), C710-B710, "Missing Date")</f>
        <v>6</v>
      </c>
      <c r="E710" s="6" t="str">
        <f>IF(OR(B710="",C710=""), "Missing Date",
    IF(C710&lt;B710, "Invalid: Ship before Order",
      "OK"))</f>
        <v>OK</v>
      </c>
      <c r="F710" t="s">
        <v>2206</v>
      </c>
      <c r="G710" t="s">
        <v>132</v>
      </c>
      <c r="H710" t="s">
        <v>24</v>
      </c>
      <c r="I710" t="s">
        <v>38</v>
      </c>
      <c r="J710" t="s">
        <v>166</v>
      </c>
      <c r="K710" t="s">
        <v>167</v>
      </c>
      <c r="L710" t="s">
        <v>41</v>
      </c>
      <c r="M710" t="s">
        <v>158</v>
      </c>
      <c r="N710" t="s">
        <v>2207</v>
      </c>
      <c r="O710" t="s">
        <v>50</v>
      </c>
      <c r="P710">
        <v>4</v>
      </c>
      <c r="Q710">
        <v>4357.66</v>
      </c>
      <c r="R710">
        <v>0.05</v>
      </c>
      <c r="S710">
        <v>16559.11</v>
      </c>
      <c r="T710">
        <v>13233.79</v>
      </c>
      <c r="U710">
        <v>3325.32</v>
      </c>
      <c r="V710" t="s">
        <v>32</v>
      </c>
      <c r="W710" t="s">
        <v>33</v>
      </c>
      <c r="X710" t="str">
        <f>_xlfn.TEXTJOIN("|", TRUE, A710:W710)</f>
        <v>ORD-2025-10709|45736|45742|6|OK|CUST-6504|Sneha Kapoor|Consumer|East|Assam|Guwahati|Furniture|Bookcases|Elite Bookcases 113|First Class|4|4357.66|0.05|16559.11|13233.79|3325.32|Paid|Completed</v>
      </c>
      <c r="Y710">
        <f>COUNTIF($X$2:$X$1000, X710)</f>
        <v>1</v>
      </c>
      <c r="Z710">
        <f>COUNTIF($A$2:$A$1000, A710)</f>
        <v>1</v>
      </c>
      <c r="AA710" t="str">
        <f>IF(Y710&gt;1, "Exact Duplicate",
  IF(Z710&gt;1, "Conflicting Duplicate - Review",
    "Unique"))</f>
        <v>Unique</v>
      </c>
      <c r="AB710" s="2">
        <f>IF(ISBLANK(R710), 0, IF(ISTEXT(R710), VALUE(SUBSTITUTE(R710, "%", ""))/100, IF(OR(R710&lt;0, R710&gt;1), "Invalid", R710)))</f>
        <v>0.05</v>
      </c>
      <c r="AC710" s="4">
        <f>IF(AB710="Invalid", "Error", P710 * Q710 * (1 - AB710))</f>
        <v>16559.108</v>
      </c>
      <c r="AD710" s="4">
        <f>IF(AC710="Error", "Error", AC710 - T710)</f>
        <v>3325.3179999999993</v>
      </c>
      <c r="AE710" s="2">
        <f>IF(AC710="Error", "Error", IF(AC710=0, 0, AD710 / AC710))</f>
        <v>0.20081504390212318</v>
      </c>
      <c r="AF710" s="7">
        <f>C710-B710</f>
        <v>6</v>
      </c>
      <c r="AG710" s="2" t="str">
        <f>TEXT(B710, "mmmm")</f>
        <v>March</v>
      </c>
      <c r="AH710" s="4">
        <f>YEAR(B710)</f>
        <v>2025</v>
      </c>
      <c r="AI710" s="2" t="str">
        <f t="shared" si="25"/>
        <v>Clean</v>
      </c>
      <c r="AJ710">
        <f>COUNTIFS($A$2:$A$1000,A710,$B$2:$B$1000,B710,$C$2:$C$1000,C710,$D$2:$D$1000,D710,$E$2:$E$1000,E710,$F$2:$F$1000,F710)</f>
        <v>1</v>
      </c>
      <c r="AK710">
        <f>COUNTIF($A$2:$A$1000, A710)</f>
        <v>1</v>
      </c>
    </row>
    <row r="711" spans="1:37">
      <c r="A711" t="s">
        <v>2208</v>
      </c>
      <c r="B711" s="5">
        <v>45676</v>
      </c>
      <c r="C711" s="5">
        <v>45680</v>
      </c>
      <c r="D711" s="6">
        <f>IF(AND(C711&lt;&gt;"",B711&lt;&gt;""), C711-B711, "Missing Date")</f>
        <v>4</v>
      </c>
      <c r="E711" s="6" t="str">
        <f>IF(OR(B711="",C711=""), "Missing Date",
    IF(C711&lt;B711, "Invalid: Ship before Order",
      "OK"))</f>
        <v>OK</v>
      </c>
      <c r="F711" t="s">
        <v>2209</v>
      </c>
      <c r="G711" t="s">
        <v>264</v>
      </c>
      <c r="H711" t="s">
        <v>95</v>
      </c>
      <c r="I711" t="s">
        <v>25</v>
      </c>
      <c r="J711" t="s">
        <v>122</v>
      </c>
      <c r="K711" t="s">
        <v>123</v>
      </c>
      <c r="L711" t="s">
        <v>74</v>
      </c>
      <c r="M711" t="s">
        <v>171</v>
      </c>
      <c r="N711" t="s">
        <v>2210</v>
      </c>
      <c r="O711" t="s">
        <v>44</v>
      </c>
      <c r="P711">
        <v>7</v>
      </c>
      <c r="Q711">
        <v>1363.04</v>
      </c>
      <c r="R711">
        <v>0.15</v>
      </c>
      <c r="S711">
        <v>8110.09</v>
      </c>
      <c r="T711">
        <v>6417.32</v>
      </c>
      <c r="U711">
        <v>1692.77</v>
      </c>
      <c r="V711" t="s">
        <v>32</v>
      </c>
      <c r="W711" t="s">
        <v>68</v>
      </c>
      <c r="X711" t="str">
        <f>_xlfn.TEXTJOIN("|", TRUE, A711:W711)</f>
        <v>ORD-2025-10710|45676|45680|4|OK|CUST-8036|Kabir Singh|Home Office|North|Punjab|Ludhiana|Technology|Phones|Eco Phones 787|Same Day|7|1363.04|0.15|8110.09|6417.32|1692.77|Paid|Cancelled</v>
      </c>
      <c r="Y711">
        <f>COUNTIF($X$2:$X$1000, X711)</f>
        <v>1</v>
      </c>
      <c r="Z711">
        <f>COUNTIF($A$2:$A$1000, A711)</f>
        <v>1</v>
      </c>
      <c r="AA711" t="str">
        <f>IF(Y711&gt;1, "Exact Duplicate",
  IF(Z711&gt;1, "Conflicting Duplicate - Review",
    "Unique"))</f>
        <v>Unique</v>
      </c>
      <c r="AB711" s="2">
        <f>IF(ISBLANK(R711), 0, IF(ISTEXT(R711), VALUE(SUBSTITUTE(R711, "%", ""))/100, IF(OR(R711&lt;0, R711&gt;1), "Invalid", R711)))</f>
        <v>0.15</v>
      </c>
      <c r="AC711" s="4">
        <f>IF(AB711="Invalid", "Error", P711 * Q711 * (1 - AB711))</f>
        <v>8110.0879999999988</v>
      </c>
      <c r="AD711" s="4">
        <f>IF(AC711="Error", "Error", AC711 - T711)</f>
        <v>1692.7679999999991</v>
      </c>
      <c r="AE711" s="2">
        <f>IF(AC711="Error", "Error", IF(AC711=0, 0, AD711 / AC711))</f>
        <v>0.2087237524426368</v>
      </c>
      <c r="AF711" s="7">
        <f>C711-B711</f>
        <v>4</v>
      </c>
      <c r="AG711" s="2" t="str">
        <f>TEXT(B711, "mmmm")</f>
        <v>January</v>
      </c>
      <c r="AH711" s="4">
        <f>YEAR(B711)</f>
        <v>2025</v>
      </c>
      <c r="AI711" s="2" t="str">
        <f t="shared" si="25"/>
        <v>Excluded from Sales</v>
      </c>
      <c r="AJ711">
        <f>COUNTIFS($A$2:$A$1000,A711,$B$2:$B$1000,B711,$C$2:$C$1000,C711,$D$2:$D$1000,D711,$E$2:$E$1000,E711,$F$2:$F$1000,F711)</f>
        <v>1</v>
      </c>
      <c r="AK711">
        <f>COUNTIF($A$2:$A$1000, A711)</f>
        <v>1</v>
      </c>
    </row>
    <row r="712" spans="1:37">
      <c r="A712" t="s">
        <v>2211</v>
      </c>
      <c r="B712" s="5">
        <v>45633</v>
      </c>
      <c r="C712" s="5">
        <v>45492</v>
      </c>
      <c r="D712" s="6">
        <f>IF(AND(C712&lt;&gt;"",B712&lt;&gt;""), C712-B712, "Missing Date")</f>
        <v>-141</v>
      </c>
      <c r="E712" s="6" t="str">
        <f>IF(OR(B712="",C712=""), "Missing Date",
    IF(C712&lt;B712, "Invalid: Ship before Order",
      "OK"))</f>
        <v>Invalid: Ship before Order</v>
      </c>
      <c r="F712" t="s">
        <v>2212</v>
      </c>
      <c r="G712" t="s">
        <v>71</v>
      </c>
      <c r="H712" t="s">
        <v>90</v>
      </c>
      <c r="I712" t="s">
        <v>25</v>
      </c>
      <c r="J712" t="s">
        <v>122</v>
      </c>
      <c r="K712" t="s">
        <v>123</v>
      </c>
      <c r="L712" t="s">
        <v>28</v>
      </c>
      <c r="M712" t="s">
        <v>48</v>
      </c>
      <c r="N712" t="s">
        <v>2213</v>
      </c>
      <c r="O712" t="s">
        <v>31</v>
      </c>
      <c r="P712">
        <v>5</v>
      </c>
      <c r="Q712">
        <v>1559.16</v>
      </c>
      <c r="R712">
        <v>0.05</v>
      </c>
      <c r="S712">
        <v>7406.01</v>
      </c>
      <c r="T712">
        <v>5941.74</v>
      </c>
      <c r="U712">
        <v>1464.27</v>
      </c>
      <c r="V712" t="s">
        <v>32</v>
      </c>
      <c r="W712" t="s">
        <v>33</v>
      </c>
      <c r="X712" t="str">
        <f>_xlfn.TEXTJOIN("|", TRUE, A712:W712)</f>
        <v>ORD-2024-10711|45633|45492|-141|Invalid: Ship before Order|CUST-7199|Vikram Iyer|Corporate|North|Punjab|Ludhiana|Office Supplies|Art|Smart Art 279|Second Class|5|1559.16|0.05|7406.01|5941.74|1464.27|Paid|Completed</v>
      </c>
      <c r="Y712">
        <f>COUNTIF($X$2:$X$1000, X712)</f>
        <v>1</v>
      </c>
      <c r="Z712">
        <f>COUNTIF($A$2:$A$1000, A712)</f>
        <v>1</v>
      </c>
      <c r="AA712" t="str">
        <f>IF(Y712&gt;1, "Exact Duplicate",
  IF(Z712&gt;1, "Conflicting Duplicate - Review",
    "Unique"))</f>
        <v>Unique</v>
      </c>
      <c r="AB712" s="2">
        <f>IF(ISBLANK(R712), 0, IF(ISTEXT(R712), VALUE(SUBSTITUTE(R712, "%", ""))/100, IF(OR(R712&lt;0, R712&gt;1), "Invalid", R712)))</f>
        <v>0.05</v>
      </c>
      <c r="AC712" s="4">
        <f>IF(AB712="Invalid", "Error", P712 * Q712 * (1 - AB712))</f>
        <v>7406.01</v>
      </c>
      <c r="AD712" s="4">
        <f>IF(AC712="Error", "Error", AC712 - T712)</f>
        <v>1464.2700000000004</v>
      </c>
      <c r="AE712" s="2">
        <f>IF(AC712="Error", "Error", IF(AC712=0, 0, AD712 / AC712))</f>
        <v>0.19771374869869207</v>
      </c>
      <c r="AF712" s="7">
        <f>C712-B712</f>
        <v>-141</v>
      </c>
      <c r="AG712" s="2" t="str">
        <f>TEXT(B712, "mmmm")</f>
        <v>December</v>
      </c>
      <c r="AH712" s="4">
        <f>YEAR(B712)</f>
        <v>2024</v>
      </c>
      <c r="AI712" s="2" t="str">
        <f t="shared" si="25"/>
        <v>Invalid Shipping Record</v>
      </c>
      <c r="AJ712">
        <f>COUNTIFS($A$2:$A$1000,A712,$B$2:$B$1000,B712,$C$2:$C$1000,C712,$D$2:$D$1000,D712,$E$2:$E$1000,E712,$F$2:$F$1000,F712)</f>
        <v>1</v>
      </c>
      <c r="AK712">
        <f>COUNTIF($A$2:$A$1000, A712)</f>
        <v>1</v>
      </c>
    </row>
    <row r="713" spans="1:37">
      <c r="A713" t="s">
        <v>2214</v>
      </c>
      <c r="B713" s="5">
        <v>45690</v>
      </c>
      <c r="C713" s="5">
        <v>45690</v>
      </c>
      <c r="D713" s="6">
        <f>IF(AND(C713&lt;&gt;"",B713&lt;&gt;""), C713-B713, "Missing Date")</f>
        <v>0</v>
      </c>
      <c r="E713" s="6" t="str">
        <f>IF(OR(B713="",C713=""), "Missing Date",
    IF(C713&lt;B713, "Invalid: Ship before Order",
      "OK"))</f>
        <v>OK</v>
      </c>
      <c r="F713" t="s">
        <v>2215</v>
      </c>
      <c r="G713" t="s">
        <v>264</v>
      </c>
      <c r="H713" t="s">
        <v>90</v>
      </c>
      <c r="I713" t="s">
        <v>38</v>
      </c>
      <c r="J713" t="s">
        <v>99</v>
      </c>
      <c r="K713" t="s">
        <v>100</v>
      </c>
      <c r="L713" t="s">
        <v>74</v>
      </c>
      <c r="M713" t="s">
        <v>274</v>
      </c>
      <c r="N713" t="s">
        <v>2216</v>
      </c>
      <c r="O713" t="s">
        <v>50</v>
      </c>
      <c r="P713">
        <v>1</v>
      </c>
      <c r="Q713">
        <v>4326.75</v>
      </c>
      <c r="R713">
        <v>0.05</v>
      </c>
      <c r="S713">
        <v>4110.41</v>
      </c>
      <c r="T713">
        <v>2394.14</v>
      </c>
      <c r="U713">
        <v>1716.27</v>
      </c>
      <c r="V713" t="s">
        <v>111</v>
      </c>
      <c r="W713" t="s">
        <v>103</v>
      </c>
      <c r="X713" t="str">
        <f>_xlfn.TEXTJOIN("|", TRUE, A713:W713)</f>
        <v>ORD-2025-10712|45690|45690|0|OK|CUST-6176|Kabir Singh|Corporate|East|West Bengal|Kolkata|Technology|Machines|Basic Machines 172|First Class|1|4326.75|0.05|4110.41|2394.14|1716.27|Pending|Returned</v>
      </c>
      <c r="Y713">
        <f>COUNTIF($X$2:$X$1000, X713)</f>
        <v>1</v>
      </c>
      <c r="Z713">
        <f>COUNTIF($A$2:$A$1000, A713)</f>
        <v>1</v>
      </c>
      <c r="AA713" t="str">
        <f>IF(Y713&gt;1, "Exact Duplicate",
  IF(Z713&gt;1, "Conflicting Duplicate - Review",
    "Unique"))</f>
        <v>Unique</v>
      </c>
      <c r="AB713" s="2">
        <f>IF(ISBLANK(R713), 0, IF(ISTEXT(R713), VALUE(SUBSTITUTE(R713, "%", ""))/100, IF(OR(R713&lt;0, R713&gt;1), "Invalid", R713)))</f>
        <v>0.05</v>
      </c>
      <c r="AC713" s="4">
        <f>IF(AB713="Invalid", "Error", P713 * Q713 * (1 - AB713))</f>
        <v>4110.4124999999995</v>
      </c>
      <c r="AD713" s="4">
        <f>IF(AC713="Error", "Error", AC713 - T713)</f>
        <v>1716.2724999999996</v>
      </c>
      <c r="AE713" s="2">
        <f>IF(AC713="Error", "Error", IF(AC713=0, 0, AD713 / AC713))</f>
        <v>0.41754264322619683</v>
      </c>
      <c r="AF713" s="7">
        <f>C713-B713</f>
        <v>0</v>
      </c>
      <c r="AG713" s="2" t="str">
        <f>TEXT(B713, "mmmm")</f>
        <v>February</v>
      </c>
      <c r="AH713" s="4">
        <f>YEAR(B713)</f>
        <v>2025</v>
      </c>
      <c r="AI713" s="2" t="str">
        <f t="shared" si="25"/>
        <v>Clean</v>
      </c>
      <c r="AJ713">
        <f>COUNTIFS($A$2:$A$1000,A713,$B$2:$B$1000,B713,$C$2:$C$1000,C713,$D$2:$D$1000,D713,$E$2:$E$1000,E713,$F$2:$F$1000,F713)</f>
        <v>1</v>
      </c>
      <c r="AK713">
        <f>COUNTIF($A$2:$A$1000, A713)</f>
        <v>1</v>
      </c>
    </row>
    <row r="714" spans="1:37">
      <c r="A714" t="s">
        <v>2217</v>
      </c>
      <c r="B714" s="5">
        <v>45332</v>
      </c>
      <c r="C714" s="5">
        <v>45340</v>
      </c>
      <c r="D714" s="6">
        <f>IF(AND(C714&lt;&gt;"",B714&lt;&gt;""), C714-B714, "Missing Date")</f>
        <v>8</v>
      </c>
      <c r="E714" s="6" t="str">
        <f>IF(OR(B714="",C714=""), "Missing Date",
    IF(C714&lt;B714, "Invalid: Ship before Order",
      "OK"))</f>
        <v>OK</v>
      </c>
      <c r="F714" t="s">
        <v>2218</v>
      </c>
      <c r="G714" t="s">
        <v>47</v>
      </c>
      <c r="H714" t="s">
        <v>95</v>
      </c>
      <c r="I714" t="s">
        <v>63</v>
      </c>
      <c r="J714" t="s">
        <v>72</v>
      </c>
      <c r="K714" t="s">
        <v>73</v>
      </c>
      <c r="L714" t="s">
        <v>41</v>
      </c>
      <c r="M714" t="s">
        <v>66</v>
      </c>
      <c r="N714" t="s">
        <v>2219</v>
      </c>
      <c r="O714" t="s">
        <v>50</v>
      </c>
      <c r="P714">
        <v>7</v>
      </c>
      <c r="Q714">
        <v>1382.86</v>
      </c>
      <c r="R714">
        <v>0</v>
      </c>
      <c r="S714">
        <v>9680.02</v>
      </c>
      <c r="T714">
        <v>6876.66</v>
      </c>
      <c r="U714">
        <v>2803.36</v>
      </c>
      <c r="V714" t="s">
        <v>32</v>
      </c>
      <c r="W714" t="s">
        <v>33</v>
      </c>
      <c r="X714" t="str">
        <f>_xlfn.TEXTJOIN("|", TRUE, A714:W714)</f>
        <v>ORD-2024-10713|45332|45340|8|OK|CUST-5127|Isha Nair|Home Office|West|Madhya Pradesh|Indore|Furniture|Chairs|Smart Chairs 259|First Class|7|1382.86|0|9680.02|6876.66|2803.36|Paid|Completed</v>
      </c>
      <c r="Y714">
        <f>COUNTIF($X$2:$X$1000, X714)</f>
        <v>1</v>
      </c>
      <c r="Z714">
        <f>COUNTIF($A$2:$A$1000, A714)</f>
        <v>2</v>
      </c>
      <c r="AA714" t="str">
        <f>IF(Y714&gt;1, "Exact Duplicate",
  IF(Z714&gt;1, "Conflicting Duplicate - Review",
    "Unique"))</f>
        <v>Conflicting Duplicate - Review</v>
      </c>
      <c r="AB714" s="2">
        <f>IF(ISBLANK(R714), 0, IF(ISTEXT(R714), VALUE(SUBSTITUTE(R714, "%", ""))/100, IF(OR(R714&lt;0, R714&gt;1), "Invalid", R714)))</f>
        <v>0</v>
      </c>
      <c r="AC714" s="4">
        <f>IF(AB714="Invalid", "Error", P714 * Q714 * (1 - AB714))</f>
        <v>9680.0199999999986</v>
      </c>
      <c r="AD714" s="4">
        <f>IF(AC714="Error", "Error", AC714 - T714)</f>
        <v>2803.3599999999988</v>
      </c>
      <c r="AE714" s="2">
        <f>IF(AC714="Error", "Error", IF(AC714=0, 0, AD714 / AC714))</f>
        <v>0.28960270743242256</v>
      </c>
      <c r="AF714" s="7">
        <f>C714-B714</f>
        <v>8</v>
      </c>
      <c r="AG714" s="2" t="str">
        <f>TEXT(B714, "mmmm")</f>
        <v>February</v>
      </c>
      <c r="AH714" s="4">
        <f>YEAR(B714)</f>
        <v>2024</v>
      </c>
      <c r="AI714" s="2" t="str">
        <f t="shared" si="25"/>
        <v>Clean</v>
      </c>
      <c r="AJ714">
        <f>COUNTIFS($A$2:$A$1000,A714,$B$2:$B$1000,B714,$C$2:$C$1000,C714,$D$2:$D$1000,D714,$E$2:$E$1000,E714,$F$2:$F$1000,F714)</f>
        <v>2</v>
      </c>
      <c r="AK714">
        <f>COUNTIF($A$2:$A$1000, A714)</f>
        <v>2</v>
      </c>
    </row>
    <row r="715" spans="1:37">
      <c r="A715" t="s">
        <v>2220</v>
      </c>
      <c r="B715" s="5">
        <v>45814</v>
      </c>
      <c r="C715" s="5">
        <v>45936</v>
      </c>
      <c r="D715" s="6">
        <f>IF(AND(C715&lt;&gt;"",B715&lt;&gt;""), C715-B715, "Missing Date")</f>
        <v>122</v>
      </c>
      <c r="E715" s="6" t="str">
        <f>IF(OR(B715="",C715=""), "Missing Date",
    IF(C715&lt;B715, "Invalid: Ship before Order",
      "OK"))</f>
        <v>OK</v>
      </c>
      <c r="F715" t="s">
        <v>599</v>
      </c>
      <c r="G715" t="s">
        <v>36</v>
      </c>
      <c r="H715" t="s">
        <v>24</v>
      </c>
      <c r="I715" t="s">
        <v>63</v>
      </c>
      <c r="J715" t="s">
        <v>26</v>
      </c>
      <c r="K715" t="s">
        <v>109</v>
      </c>
      <c r="L715" t="s">
        <v>74</v>
      </c>
      <c r="M715" t="s">
        <v>274</v>
      </c>
      <c r="N715" t="s">
        <v>2221</v>
      </c>
      <c r="O715" t="s">
        <v>31</v>
      </c>
      <c r="P715">
        <v>1</v>
      </c>
      <c r="Q715">
        <v>289.97000000000003</v>
      </c>
      <c r="R715">
        <v>0.25</v>
      </c>
      <c r="S715">
        <v>217.48</v>
      </c>
      <c r="T715">
        <v>132.13</v>
      </c>
      <c r="U715">
        <v>85.35</v>
      </c>
      <c r="V715" t="s">
        <v>32</v>
      </c>
      <c r="W715" t="s">
        <v>33</v>
      </c>
      <c r="X715" t="str">
        <f>_xlfn.TEXTJOIN("|", TRUE, A715:W715)</f>
        <v>ORD-2025-10714|45814|45936|122|OK|CUST-2548|Mira Das|Consumer|West|Rajasthan|Udaipur|Technology|Machines|Pro Machines 987|Second Class|1|289.97|0.25|217.48|132.13|85.35|Paid|Completed</v>
      </c>
      <c r="Y715">
        <f>COUNTIF($X$2:$X$1000, X715)</f>
        <v>1</v>
      </c>
      <c r="Z715">
        <f>COUNTIF($A$2:$A$1000, A715)</f>
        <v>1</v>
      </c>
      <c r="AA715" t="str">
        <f>IF(Y715&gt;1, "Exact Duplicate",
  IF(Z715&gt;1, "Conflicting Duplicate - Review",
    "Unique"))</f>
        <v>Unique</v>
      </c>
      <c r="AB715" s="2">
        <f>IF(ISBLANK(R715), 0, IF(ISTEXT(R715), VALUE(SUBSTITUTE(R715, "%", ""))/100, IF(OR(R715&lt;0, R715&gt;1), "Invalid", R715)))</f>
        <v>0.25</v>
      </c>
      <c r="AC715" s="4">
        <f>IF(AB715="Invalid", "Error", P715 * Q715 * (1 - AB715))</f>
        <v>217.47750000000002</v>
      </c>
      <c r="AD715" s="4">
        <f>IF(AC715="Error", "Error", AC715 - T715)</f>
        <v>85.347500000000025</v>
      </c>
      <c r="AE715" s="2">
        <f>IF(AC715="Error", "Error", IF(AC715=0, 0, AD715 / AC715))</f>
        <v>0.39244289639158081</v>
      </c>
      <c r="AF715" s="7">
        <f>C715-B715</f>
        <v>122</v>
      </c>
      <c r="AG715" s="2" t="str">
        <f>TEXT(B715, "mmmm")</f>
        <v>June</v>
      </c>
      <c r="AH715" s="4">
        <f>YEAR(B715)</f>
        <v>2025</v>
      </c>
      <c r="AI715" s="2" t="str">
        <f t="shared" si="25"/>
        <v>Clean</v>
      </c>
      <c r="AJ715">
        <f>COUNTIFS($A$2:$A$1000,A715,$B$2:$B$1000,B715,$C$2:$C$1000,C715,$D$2:$D$1000,D715,$E$2:$E$1000,E715,$F$2:$F$1000,F715)</f>
        <v>1</v>
      </c>
      <c r="AK715">
        <f>COUNTIF($A$2:$A$1000, A715)</f>
        <v>1</v>
      </c>
    </row>
    <row r="716" spans="1:37">
      <c r="A716" t="s">
        <v>2222</v>
      </c>
      <c r="B716" s="5">
        <v>45738</v>
      </c>
      <c r="C716" s="5">
        <v>45739</v>
      </c>
      <c r="D716" s="6">
        <f>IF(AND(C716&lt;&gt;"",B716&lt;&gt;""), C716-B716, "Missing Date")</f>
        <v>1</v>
      </c>
      <c r="E716" s="6" t="str">
        <f>IF(OR(B716="",C716=""), "Missing Date",
    IF(C716&lt;B716, "Invalid: Ship before Order",
      "OK"))</f>
        <v>OK</v>
      </c>
      <c r="F716" t="s">
        <v>2223</v>
      </c>
      <c r="G716" t="s">
        <v>23</v>
      </c>
      <c r="H716" t="s">
        <v>95</v>
      </c>
      <c r="I716" t="s">
        <v>25</v>
      </c>
      <c r="J716" t="s">
        <v>350</v>
      </c>
      <c r="K716" t="s">
        <v>351</v>
      </c>
      <c r="L716" t="s">
        <v>74</v>
      </c>
      <c r="M716" t="s">
        <v>80</v>
      </c>
      <c r="N716" t="s">
        <v>2224</v>
      </c>
      <c r="O716" t="s">
        <v>59</v>
      </c>
      <c r="P716">
        <v>9</v>
      </c>
      <c r="Q716">
        <v>2075.02</v>
      </c>
      <c r="R716">
        <v>0</v>
      </c>
      <c r="S716">
        <v>18675.18</v>
      </c>
      <c r="T716">
        <v>13974.7</v>
      </c>
      <c r="U716">
        <v>4700.4799999999996</v>
      </c>
      <c r="V716" t="s">
        <v>32</v>
      </c>
      <c r="W716" t="s">
        <v>33</v>
      </c>
      <c r="X716" t="str">
        <f>_xlfn.TEXTJOIN("|", TRUE, A716:W716)</f>
        <v>ORD-2025-10715|45738|45739|1|OK|CUST-9902|Karan Malhotra|Home Office|North|Delhi|New Delhi|Technology|Copiers|Pro Copiers 206|Standard Class|9|2075.02|0|18675.18|13974.7|4700.48|Paid|Completed</v>
      </c>
      <c r="Y716">
        <f>COUNTIF($X$2:$X$1000, X716)</f>
        <v>1</v>
      </c>
      <c r="Z716">
        <f>COUNTIF($A$2:$A$1000, A716)</f>
        <v>1</v>
      </c>
      <c r="AA716" t="str">
        <f>IF(Y716&gt;1, "Exact Duplicate",
  IF(Z716&gt;1, "Conflicting Duplicate - Review",
    "Unique"))</f>
        <v>Unique</v>
      </c>
      <c r="AB716" s="2">
        <f>IF(ISBLANK(R716), 0, IF(ISTEXT(R716), VALUE(SUBSTITUTE(R716, "%", ""))/100, IF(OR(R716&lt;0, R716&gt;1), "Invalid", R716)))</f>
        <v>0</v>
      </c>
      <c r="AC716" s="4">
        <f>IF(AB716="Invalid", "Error", P716 * Q716 * (1 - AB716))</f>
        <v>18675.18</v>
      </c>
      <c r="AD716" s="4">
        <f>IF(AC716="Error", "Error", AC716 - T716)</f>
        <v>4700.4799999999996</v>
      </c>
      <c r="AE716" s="2">
        <f>IF(AC716="Error", "Error", IF(AC716=0, 0, AD716 / AC716))</f>
        <v>0.25169663692665878</v>
      </c>
      <c r="AF716" s="7">
        <f>C716-B716</f>
        <v>1</v>
      </c>
      <c r="AG716" s="2" t="str">
        <f>TEXT(B716, "mmmm")</f>
        <v>March</v>
      </c>
      <c r="AH716" s="4">
        <f>YEAR(B716)</f>
        <v>2025</v>
      </c>
      <c r="AI716" s="2" t="str">
        <f t="shared" si="25"/>
        <v>Clean</v>
      </c>
      <c r="AJ716">
        <f>COUNTIFS($A$2:$A$1000,A716,$B$2:$B$1000,B716,$C$2:$C$1000,C716,$D$2:$D$1000,D716,$E$2:$E$1000,E716,$F$2:$F$1000,F716)</f>
        <v>1</v>
      </c>
      <c r="AK716">
        <f>COUNTIF($A$2:$A$1000, A716)</f>
        <v>1</v>
      </c>
    </row>
    <row r="717" spans="1:37">
      <c r="A717" t="s">
        <v>2225</v>
      </c>
      <c r="B717" s="5">
        <v>45891</v>
      </c>
      <c r="C717" s="5">
        <v>45896</v>
      </c>
      <c r="D717" s="6">
        <f>IF(AND(C717&lt;&gt;"",B717&lt;&gt;""), C717-B717, "Missing Date")</f>
        <v>5</v>
      </c>
      <c r="E717" s="6" t="str">
        <f>IF(OR(B717="",C717=""), "Missing Date",
    IF(C717&lt;B717, "Invalid: Ship before Order",
      "OK"))</f>
        <v>OK</v>
      </c>
      <c r="F717" t="s">
        <v>2226</v>
      </c>
      <c r="G717" t="s">
        <v>114</v>
      </c>
      <c r="H717" t="s">
        <v>24</v>
      </c>
      <c r="I717" t="s">
        <v>25</v>
      </c>
      <c r="J717" t="s">
        <v>236</v>
      </c>
      <c r="K717" t="s">
        <v>237</v>
      </c>
      <c r="L717" t="s">
        <v>41</v>
      </c>
      <c r="M717" t="s">
        <v>66</v>
      </c>
      <c r="N717" t="s">
        <v>2227</v>
      </c>
      <c r="O717" t="s">
        <v>31</v>
      </c>
      <c r="P717">
        <v>7</v>
      </c>
      <c r="Q717">
        <v>2843.09</v>
      </c>
      <c r="R717">
        <v>0</v>
      </c>
      <c r="S717">
        <v>19901.63</v>
      </c>
      <c r="T717">
        <v>15492.03</v>
      </c>
      <c r="U717">
        <v>4409.6000000000004</v>
      </c>
      <c r="V717" t="s">
        <v>102</v>
      </c>
      <c r="W717" t="s">
        <v>68</v>
      </c>
      <c r="X717" t="str">
        <f>_xlfn.TEXTJOIN("|", TRUE, A717:W717)</f>
        <v>ORD-2025-10716|45891|45896|5|OK|CUST-7446|Priya Menon|Consumer|North|Haryana|Gurugram|Furniture|Chairs|Max Chairs 372|Second Class|7|2843.09|0|19901.63|15492.03|4409.6|Refunded|Cancelled</v>
      </c>
      <c r="Y717">
        <f>COUNTIF($X$2:$X$1000, X717)</f>
        <v>1</v>
      </c>
      <c r="Z717">
        <f>COUNTIF($A$2:$A$1000, A717)</f>
        <v>1</v>
      </c>
      <c r="AA717" t="str">
        <f>IF(Y717&gt;1, "Exact Duplicate",
  IF(Z717&gt;1, "Conflicting Duplicate - Review",
    "Unique"))</f>
        <v>Unique</v>
      </c>
      <c r="AB717" s="2">
        <f>IF(ISBLANK(R717), 0, IF(ISTEXT(R717), VALUE(SUBSTITUTE(R717, "%", ""))/100, IF(OR(R717&lt;0, R717&gt;1), "Invalid", R717)))</f>
        <v>0</v>
      </c>
      <c r="AC717" s="4">
        <f>IF(AB717="Invalid", "Error", P717 * Q717 * (1 - AB717))</f>
        <v>19901.63</v>
      </c>
      <c r="AD717" s="4">
        <f>IF(AC717="Error", "Error", AC717 - T717)</f>
        <v>4409.6000000000004</v>
      </c>
      <c r="AE717" s="2">
        <f>IF(AC717="Error", "Error", IF(AC717=0, 0, AD717 / AC717))</f>
        <v>0.22156979101711771</v>
      </c>
      <c r="AF717" s="7">
        <f>C717-B717</f>
        <v>5</v>
      </c>
      <c r="AG717" s="2" t="str">
        <f>TEXT(B717, "mmmm")</f>
        <v>August</v>
      </c>
      <c r="AH717" s="4">
        <f>YEAR(B717)</f>
        <v>2025</v>
      </c>
      <c r="AI717" s="2" t="str">
        <f t="shared" si="25"/>
        <v>Excluded from Sales</v>
      </c>
      <c r="AJ717">
        <f>COUNTIFS($A$2:$A$1000,A717,$B$2:$B$1000,B717,$C$2:$C$1000,C717,$D$2:$D$1000,D717,$E$2:$E$1000,E717,$F$2:$F$1000,F717)</f>
        <v>1</v>
      </c>
      <c r="AK717">
        <f>COUNTIF($A$2:$A$1000, A717)</f>
        <v>1</v>
      </c>
    </row>
    <row r="718" spans="1:37">
      <c r="A718" t="s">
        <v>2228</v>
      </c>
      <c r="B718" s="5">
        <v>45895</v>
      </c>
      <c r="C718" s="5">
        <v>45900</v>
      </c>
      <c r="D718" s="6">
        <f>IF(AND(C718&lt;&gt;"",B718&lt;&gt;""), C718-B718, "Missing Date")</f>
        <v>5</v>
      </c>
      <c r="E718" s="6" t="str">
        <f>IF(OR(B718="",C718=""), "Missing Date",
    IF(C718&lt;B718, "Invalid: Ship before Order",
      "OK"))</f>
        <v>OK</v>
      </c>
      <c r="F718" t="s">
        <v>2229</v>
      </c>
      <c r="G718" t="s">
        <v>162</v>
      </c>
      <c r="H718" t="s">
        <v>37</v>
      </c>
      <c r="I718" t="s">
        <v>25</v>
      </c>
      <c r="J718" t="s">
        <v>236</v>
      </c>
      <c r="K718" t="s">
        <v>237</v>
      </c>
      <c r="L718" t="s">
        <v>74</v>
      </c>
      <c r="M718" t="s">
        <v>171</v>
      </c>
      <c r="N718" t="s">
        <v>2230</v>
      </c>
      <c r="O718" t="s">
        <v>50</v>
      </c>
      <c r="P718">
        <v>1</v>
      </c>
      <c r="Q718">
        <v>3388.02</v>
      </c>
      <c r="R718">
        <v>0.15</v>
      </c>
      <c r="S718">
        <v>2879.82</v>
      </c>
      <c r="T718">
        <v>1824.88</v>
      </c>
      <c r="U718">
        <v>1054.94</v>
      </c>
      <c r="V718" t="s">
        <v>32</v>
      </c>
      <c r="W718" t="s">
        <v>33</v>
      </c>
      <c r="X718" t="str">
        <f>_xlfn.TEXTJOIN("|", TRUE, A718:W718)</f>
        <v>ORD-2025-10717|45895|45900|5|OK|CUST-7540|Diya Patel|Small Business|North|Haryana|Gurugram|Technology|Phones|Basic Phones 496|First Class|1|3388.02|0.15|2879.82|1824.88|1054.94|Paid|Completed</v>
      </c>
      <c r="Y718">
        <f>COUNTIF($X$2:$X$1000, X718)</f>
        <v>1</v>
      </c>
      <c r="Z718">
        <f>COUNTIF($A$2:$A$1000, A718)</f>
        <v>1</v>
      </c>
      <c r="AA718" t="str">
        <f>IF(Y718&gt;1, "Exact Duplicate",
  IF(Z718&gt;1, "Conflicting Duplicate - Review",
    "Unique"))</f>
        <v>Unique</v>
      </c>
      <c r="AB718" s="2">
        <f>IF(ISBLANK(R718), 0, IF(ISTEXT(R718), VALUE(SUBSTITUTE(R718, "%", ""))/100, IF(OR(R718&lt;0, R718&gt;1), "Invalid", R718)))</f>
        <v>0.15</v>
      </c>
      <c r="AC718" s="4">
        <f>IF(AB718="Invalid", "Error", P718 * Q718 * (1 - AB718))</f>
        <v>2879.817</v>
      </c>
      <c r="AD718" s="4">
        <f>IF(AC718="Error", "Error", AC718 - T718)</f>
        <v>1054.9369999999999</v>
      </c>
      <c r="AE718" s="2">
        <f>IF(AC718="Error", "Error", IF(AC718=0, 0, AD718 / AC718))</f>
        <v>0.3663208460815392</v>
      </c>
      <c r="AF718" s="7">
        <f>C718-B718</f>
        <v>5</v>
      </c>
      <c r="AG718" s="2" t="str">
        <f>TEXT(B718, "mmmm")</f>
        <v>August</v>
      </c>
      <c r="AH718" s="4">
        <f>YEAR(B718)</f>
        <v>2025</v>
      </c>
      <c r="AI718" s="2" t="str">
        <f t="shared" si="25"/>
        <v>Clean</v>
      </c>
      <c r="AJ718">
        <f>COUNTIFS($A$2:$A$1000,A718,$B$2:$B$1000,B718,$C$2:$C$1000,C718,$D$2:$D$1000,D718,$E$2:$E$1000,E718,$F$2:$F$1000,F718)</f>
        <v>1</v>
      </c>
      <c r="AK718">
        <f>COUNTIF($A$2:$A$1000, A718)</f>
        <v>1</v>
      </c>
    </row>
    <row r="719" spans="1:37">
      <c r="A719" t="s">
        <v>2231</v>
      </c>
      <c r="B719" s="5">
        <v>45942</v>
      </c>
      <c r="C719" s="5">
        <v>45945</v>
      </c>
      <c r="D719" s="6">
        <f>IF(AND(C719&lt;&gt;"",B719&lt;&gt;""), C719-B719, "Missing Date")</f>
        <v>3</v>
      </c>
      <c r="E719" s="6" t="str">
        <f>IF(OR(B719="",C719=""), "Missing Date",
    IF(C719&lt;B719, "Invalid: Ship before Order",
      "OK"))</f>
        <v>OK</v>
      </c>
      <c r="F719" t="s">
        <v>2232</v>
      </c>
      <c r="G719" t="s">
        <v>264</v>
      </c>
      <c r="H719" t="s">
        <v>37</v>
      </c>
      <c r="I719" t="s">
        <v>25</v>
      </c>
      <c r="J719" t="s">
        <v>236</v>
      </c>
      <c r="K719" t="s">
        <v>237</v>
      </c>
      <c r="L719" t="s">
        <v>74</v>
      </c>
      <c r="M719" t="s">
        <v>274</v>
      </c>
      <c r="N719" t="s">
        <v>2233</v>
      </c>
      <c r="O719" t="s">
        <v>59</v>
      </c>
      <c r="P719">
        <v>9</v>
      </c>
      <c r="Q719">
        <v>2598.92</v>
      </c>
      <c r="R719">
        <v>0.2</v>
      </c>
      <c r="S719">
        <v>18712.22</v>
      </c>
      <c r="T719">
        <v>11852.22</v>
      </c>
      <c r="U719">
        <v>6860</v>
      </c>
      <c r="V719" t="s">
        <v>111</v>
      </c>
      <c r="W719" t="s">
        <v>68</v>
      </c>
      <c r="X719" t="str">
        <f>_xlfn.TEXTJOIN("|", TRUE, A719:W719)</f>
        <v>ORD-2025-10718|45942|45945|3|OK|CUST-8351|Kabir Singh|Small Business|North|Haryana|Gurugram|Technology|Machines|Prime Machines 612|Standard Class|9|2598.92|0.2|18712.22|11852.22|6860|Pending|Cancelled</v>
      </c>
      <c r="Y719">
        <f>COUNTIF($X$2:$X$1000, X719)</f>
        <v>1</v>
      </c>
      <c r="Z719">
        <f>COUNTIF($A$2:$A$1000, A719)</f>
        <v>1</v>
      </c>
      <c r="AA719" t="str">
        <f>IF(Y719&gt;1, "Exact Duplicate",
  IF(Z719&gt;1, "Conflicting Duplicate - Review",
    "Unique"))</f>
        <v>Unique</v>
      </c>
      <c r="AB719" s="2">
        <f>IF(ISBLANK(R719), 0, IF(ISTEXT(R719), VALUE(SUBSTITUTE(R719, "%", ""))/100, IF(OR(R719&lt;0, R719&gt;1), "Invalid", R719)))</f>
        <v>0.2</v>
      </c>
      <c r="AC719" s="4">
        <f>IF(AB719="Invalid", "Error", P719 * Q719 * (1 - AB719))</f>
        <v>18712.223999999998</v>
      </c>
      <c r="AD719" s="4">
        <f>IF(AC719="Error", "Error", AC719 - T719)</f>
        <v>6860.003999999999</v>
      </c>
      <c r="AE719" s="2">
        <f>IF(AC719="Error", "Error", IF(AC719=0, 0, AD719 / AC719))</f>
        <v>0.3666054874075898</v>
      </c>
      <c r="AF719" s="7">
        <f>C719-B719</f>
        <v>3</v>
      </c>
      <c r="AG719" s="2" t="str">
        <f>TEXT(B719, "mmmm")</f>
        <v>October</v>
      </c>
      <c r="AH719" s="4">
        <f>YEAR(B719)</f>
        <v>2025</v>
      </c>
      <c r="AI719" s="2" t="str">
        <f t="shared" si="25"/>
        <v>Excluded from Sales</v>
      </c>
      <c r="AJ719">
        <f>COUNTIFS($A$2:$A$1000,A719,$B$2:$B$1000,B719,$C$2:$C$1000,C719,$D$2:$D$1000,D719,$E$2:$E$1000,E719,$F$2:$F$1000,F719)</f>
        <v>1</v>
      </c>
      <c r="AK719">
        <f>COUNTIF($A$2:$A$1000, A719)</f>
        <v>1</v>
      </c>
    </row>
    <row r="720" spans="1:37">
      <c r="A720" t="s">
        <v>2234</v>
      </c>
      <c r="B720" s="5">
        <v>45541</v>
      </c>
      <c r="C720" s="5">
        <v>45544</v>
      </c>
      <c r="D720" s="6">
        <f>IF(AND(C720&lt;&gt;"",B720&lt;&gt;""), C720-B720, "Missing Date")</f>
        <v>3</v>
      </c>
      <c r="E720" s="6" t="str">
        <f>IF(OR(B720="",C720=""), "Missing Date",
    IF(C720&lt;B720, "Invalid: Ship before Order",
      "OK"))</f>
        <v>OK</v>
      </c>
      <c r="F720" t="s">
        <v>2235</v>
      </c>
      <c r="G720" t="s">
        <v>36</v>
      </c>
      <c r="H720" t="s">
        <v>24</v>
      </c>
      <c r="I720" t="s">
        <v>63</v>
      </c>
      <c r="J720" t="s">
        <v>64</v>
      </c>
      <c r="K720" t="s">
        <v>65</v>
      </c>
      <c r="L720" t="s">
        <v>28</v>
      </c>
      <c r="M720" t="s">
        <v>48</v>
      </c>
      <c r="N720" t="s">
        <v>2236</v>
      </c>
      <c r="O720" t="s">
        <v>44</v>
      </c>
      <c r="P720">
        <v>3</v>
      </c>
      <c r="Q720">
        <v>1972.27</v>
      </c>
      <c r="R720">
        <v>0.2</v>
      </c>
      <c r="S720">
        <v>4733.45</v>
      </c>
      <c r="T720">
        <v>3672.32</v>
      </c>
      <c r="U720">
        <v>1061.1300000000001</v>
      </c>
      <c r="V720" t="s">
        <v>32</v>
      </c>
      <c r="W720" t="s">
        <v>33</v>
      </c>
      <c r="X720" t="str">
        <f>_xlfn.TEXTJOIN("|", TRUE, A720:W720)</f>
        <v>ORD-2024-10719|45541|45544|3|OK|CUST-3918|Mira Das|Consumer|West|Maharashtra|Mumbai|Office Supplies|Art|Smart Art 866|Same Day|3|1972.27|0.2|4733.45|3672.32|1061.13|Paid|Completed</v>
      </c>
      <c r="Y720">
        <f>COUNTIF($X$2:$X$1000, X720)</f>
        <v>1</v>
      </c>
      <c r="Z720">
        <f>COUNTIF($A$2:$A$1000, A720)</f>
        <v>1</v>
      </c>
      <c r="AA720" t="str">
        <f>IF(Y720&gt;1, "Exact Duplicate",
  IF(Z720&gt;1, "Conflicting Duplicate - Review",
    "Unique"))</f>
        <v>Unique</v>
      </c>
      <c r="AB720" s="2">
        <f>IF(ISBLANK(R720), 0, IF(ISTEXT(R720), VALUE(SUBSTITUTE(R720, "%", ""))/100, IF(OR(R720&lt;0, R720&gt;1), "Invalid", R720)))</f>
        <v>0.2</v>
      </c>
      <c r="AC720" s="4">
        <f>IF(AB720="Invalid", "Error", P720 * Q720 * (1 - AB720))</f>
        <v>4733.4479999999994</v>
      </c>
      <c r="AD720" s="4">
        <f>IF(AC720="Error", "Error", AC720 - T720)</f>
        <v>1061.1279999999992</v>
      </c>
      <c r="AE720" s="2">
        <f>IF(AC720="Error", "Error", IF(AC720=0, 0, AD720 / AC720))</f>
        <v>0.22417654107534282</v>
      </c>
      <c r="AF720" s="7">
        <f>C720-B720</f>
        <v>3</v>
      </c>
      <c r="AG720" s="2" t="str">
        <f>TEXT(B720, "mmmm")</f>
        <v>September</v>
      </c>
      <c r="AH720" s="4">
        <f>YEAR(B720)</f>
        <v>2024</v>
      </c>
      <c r="AI720" s="2" t="str">
        <f t="shared" si="25"/>
        <v>Clean</v>
      </c>
      <c r="AJ720">
        <f>COUNTIFS($A$2:$A$1000,A720,$B$2:$B$1000,B720,$C$2:$C$1000,C720,$D$2:$D$1000,D720,$E$2:$E$1000,E720,$F$2:$F$1000,F720)</f>
        <v>1</v>
      </c>
      <c r="AK720">
        <f>COUNTIF($A$2:$A$1000, A720)</f>
        <v>1</v>
      </c>
    </row>
    <row r="721" spans="1:37">
      <c r="A721" t="s">
        <v>2237</v>
      </c>
      <c r="B721" s="5">
        <v>45908</v>
      </c>
      <c r="C721" s="5">
        <v>45909</v>
      </c>
      <c r="D721" s="6">
        <f>IF(AND(C721&lt;&gt;"",B721&lt;&gt;""), C721-B721, "Missing Date")</f>
        <v>1</v>
      </c>
      <c r="E721" s="6" t="str">
        <f>IF(OR(B721="",C721=""), "Missing Date",
    IF(C721&lt;B721, "Invalid: Ship before Order",
      "OK"))</f>
        <v>OK</v>
      </c>
      <c r="F721" t="s">
        <v>144</v>
      </c>
      <c r="G721" t="s">
        <v>264</v>
      </c>
      <c r="H721" t="s">
        <v>90</v>
      </c>
      <c r="I721" t="s">
        <v>63</v>
      </c>
      <c r="J721" t="s">
        <v>180</v>
      </c>
      <c r="K721" t="s">
        <v>181</v>
      </c>
      <c r="L721" t="s">
        <v>28</v>
      </c>
      <c r="M721" t="s">
        <v>48</v>
      </c>
      <c r="N721" t="s">
        <v>2238</v>
      </c>
      <c r="O721" t="s">
        <v>44</v>
      </c>
      <c r="P721">
        <v>2</v>
      </c>
      <c r="Q721">
        <v>2372.41</v>
      </c>
      <c r="R721">
        <v>0.2</v>
      </c>
      <c r="S721">
        <v>3795.86</v>
      </c>
      <c r="T721">
        <v>2264.92</v>
      </c>
      <c r="U721">
        <v>1530.94</v>
      </c>
      <c r="V721" t="s">
        <v>32</v>
      </c>
      <c r="W721" t="s">
        <v>33</v>
      </c>
      <c r="X721" t="str">
        <f>_xlfn.TEXTJOIN("|", TRUE, A721:W721)</f>
        <v>ORD-2025-10720|45908|45909|1|OK|CUST-3190|Kabir Singh|Corporate|West|Gujarat|Ahmedabad|Office Supplies|Art|Pro Art 447|Same Day|2|2372.41|0.2|3795.86|2264.92|1530.94|Paid|Completed</v>
      </c>
      <c r="Y721">
        <f>COUNTIF($X$2:$X$1000, X721)</f>
        <v>1</v>
      </c>
      <c r="Z721">
        <f>COUNTIF($A$2:$A$1000, A721)</f>
        <v>2</v>
      </c>
      <c r="AA721" t="str">
        <f>IF(Y721&gt;1, "Exact Duplicate",
  IF(Z721&gt;1, "Conflicting Duplicate - Review",
    "Unique"))</f>
        <v>Conflicting Duplicate - Review</v>
      </c>
      <c r="AB721" s="2">
        <f>IF(ISBLANK(R721), 0, IF(ISTEXT(R721), VALUE(SUBSTITUTE(R721, "%", ""))/100, IF(OR(R721&lt;0, R721&gt;1), "Invalid", R721)))</f>
        <v>0.2</v>
      </c>
      <c r="AC721" s="4">
        <f>IF(AB721="Invalid", "Error", P721 * Q721 * (1 - AB721))</f>
        <v>3795.8559999999998</v>
      </c>
      <c r="AD721" s="4">
        <f>IF(AC721="Error", "Error", AC721 - T721)</f>
        <v>1530.9359999999997</v>
      </c>
      <c r="AE721" s="2">
        <f>IF(AC721="Error", "Error", IF(AC721=0, 0, AD721 / AC721))</f>
        <v>0.40331772332775528</v>
      </c>
      <c r="AF721" s="7">
        <f>C721-B721</f>
        <v>1</v>
      </c>
      <c r="AG721" s="2" t="str">
        <f>TEXT(B721, "mmmm")</f>
        <v>September</v>
      </c>
      <c r="AH721" s="4">
        <f>YEAR(B721)</f>
        <v>2025</v>
      </c>
      <c r="AI721" s="2" t="str">
        <f t="shared" si="25"/>
        <v>Clean</v>
      </c>
      <c r="AJ721">
        <f>COUNTIFS($A$2:$A$1000,A721,$B$2:$B$1000,B721,$C$2:$C$1000,C721,$D$2:$D$1000,D721,$E$2:$E$1000,E721,$F$2:$F$1000,F721)</f>
        <v>2</v>
      </c>
      <c r="AK721">
        <f>COUNTIF($A$2:$A$1000, A721)</f>
        <v>2</v>
      </c>
    </row>
    <row r="722" spans="1:37">
      <c r="A722" t="s">
        <v>2239</v>
      </c>
      <c r="B722" s="5">
        <v>45489</v>
      </c>
      <c r="C722" s="5">
        <v>45489</v>
      </c>
      <c r="D722" s="6">
        <f>IF(AND(C722&lt;&gt;"",B722&lt;&gt;""), C722-B722, "Missing Date")</f>
        <v>0</v>
      </c>
      <c r="E722" s="6" t="str">
        <f>IF(OR(B722="",C722=""), "Missing Date",
    IF(C722&lt;B722, "Invalid: Ship before Order",
      "OK"))</f>
        <v>OK</v>
      </c>
      <c r="F722" t="s">
        <v>2240</v>
      </c>
      <c r="G722" t="s">
        <v>89</v>
      </c>
      <c r="H722" t="s">
        <v>95</v>
      </c>
      <c r="I722" t="s">
        <v>63</v>
      </c>
      <c r="J722" t="s">
        <v>72</v>
      </c>
      <c r="K722" t="s">
        <v>73</v>
      </c>
      <c r="L722" t="s">
        <v>74</v>
      </c>
      <c r="M722" t="s">
        <v>80</v>
      </c>
      <c r="N722" t="s">
        <v>2241</v>
      </c>
      <c r="O722" t="s">
        <v>44</v>
      </c>
      <c r="P722">
        <v>4</v>
      </c>
      <c r="Q722">
        <v>4479.92</v>
      </c>
      <c r="R722">
        <v>0.15</v>
      </c>
      <c r="S722">
        <v>15231.73</v>
      </c>
      <c r="T722">
        <v>12451.46</v>
      </c>
      <c r="U722">
        <v>2780.27</v>
      </c>
      <c r="V722" t="s">
        <v>32</v>
      </c>
      <c r="W722" t="s">
        <v>33</v>
      </c>
      <c r="X722" t="str">
        <f>_xlfn.TEXTJOIN("|", TRUE, A722:W722)</f>
        <v>ORD-2024-10721|45489|45489|0|OK|CUST-1991|Aditi Sen|Home Office|West|Madhya Pradesh|Indore|Technology|Copiers|Smart Copiers 196|Same Day|4|4479.92|0.15|15231.73|12451.46|2780.27|Paid|Completed</v>
      </c>
      <c r="Y722">
        <f>COUNTIF($X$2:$X$1000, X722)</f>
        <v>1</v>
      </c>
      <c r="Z722">
        <f>COUNTIF($A$2:$A$1000, A722)</f>
        <v>1</v>
      </c>
      <c r="AA722" t="str">
        <f>IF(Y722&gt;1, "Exact Duplicate",
  IF(Z722&gt;1, "Conflicting Duplicate - Review",
    "Unique"))</f>
        <v>Unique</v>
      </c>
      <c r="AB722" s="2">
        <f>IF(ISBLANK(R722), 0, IF(ISTEXT(R722), VALUE(SUBSTITUTE(R722, "%", ""))/100, IF(OR(R722&lt;0, R722&gt;1), "Invalid", R722)))</f>
        <v>0.15</v>
      </c>
      <c r="AC722" s="4">
        <f>IF(AB722="Invalid", "Error", P722 * Q722 * (1 - AB722))</f>
        <v>15231.727999999999</v>
      </c>
      <c r="AD722" s="4">
        <f>IF(AC722="Error", "Error", AC722 - T722)</f>
        <v>2780.268</v>
      </c>
      <c r="AE722" s="2">
        <f>IF(AC722="Error", "Error", IF(AC722=0, 0, AD722 / AC722))</f>
        <v>0.1825313582280356</v>
      </c>
      <c r="AF722" s="7">
        <f>C722-B722</f>
        <v>0</v>
      </c>
      <c r="AG722" s="2" t="str">
        <f>TEXT(B722, "mmmm")</f>
        <v>July</v>
      </c>
      <c r="AH722" s="4">
        <f>YEAR(B722)</f>
        <v>2024</v>
      </c>
      <c r="AI722" s="2" t="str">
        <f t="shared" si="25"/>
        <v>Clean</v>
      </c>
      <c r="AJ722">
        <f>COUNTIFS($A$2:$A$1000,A722,$B$2:$B$1000,B722,$C$2:$C$1000,C722,$D$2:$D$1000,D722,$E$2:$E$1000,E722,$F$2:$F$1000,F722)</f>
        <v>1</v>
      </c>
      <c r="AK722">
        <f>COUNTIF($A$2:$A$1000, A722)</f>
        <v>1</v>
      </c>
    </row>
    <row r="723" spans="1:37">
      <c r="A723" t="s">
        <v>2242</v>
      </c>
      <c r="B723" s="5">
        <v>45827</v>
      </c>
      <c r="C723" s="5">
        <v>45831</v>
      </c>
      <c r="D723" s="6">
        <f>IF(AND(C723&lt;&gt;"",B723&lt;&gt;""), C723-B723, "Missing Date")</f>
        <v>4</v>
      </c>
      <c r="E723" s="6" t="str">
        <f>IF(OR(B723="",C723=""), "Missing Date",
    IF(C723&lt;B723, "Invalid: Ship before Order",
      "OK"))</f>
        <v>OK</v>
      </c>
      <c r="F723" t="s">
        <v>2243</v>
      </c>
      <c r="G723" t="s">
        <v>132</v>
      </c>
      <c r="H723" t="s">
        <v>24</v>
      </c>
      <c r="I723" t="s">
        <v>54</v>
      </c>
      <c r="J723" t="s">
        <v>175</v>
      </c>
      <c r="K723" t="s">
        <v>176</v>
      </c>
      <c r="L723" t="s">
        <v>74</v>
      </c>
      <c r="M723" t="s">
        <v>80</v>
      </c>
      <c r="N723" t="s">
        <v>2244</v>
      </c>
      <c r="O723" t="s">
        <v>50</v>
      </c>
      <c r="P723">
        <v>5</v>
      </c>
      <c r="Q723">
        <v>2729.95</v>
      </c>
      <c r="R723">
        <v>0</v>
      </c>
      <c r="S723">
        <v>13649.75</v>
      </c>
      <c r="T723">
        <v>10288.030000000001</v>
      </c>
      <c r="U723">
        <v>3361.72</v>
      </c>
      <c r="V723" t="s">
        <v>32</v>
      </c>
      <c r="W723" t="s">
        <v>33</v>
      </c>
      <c r="X723" t="str">
        <f>_xlfn.TEXTJOIN("|", TRUE, A723:W723)</f>
        <v>ORD-2025-10722|45827|45831|4|OK|CUST-7606|Sneha Kapoor|Consumer|South|Karnataka|Bengaluru|Technology|Copiers|Pro Copiers 532|First Class|5|2729.95|0|13649.75|10288.03|3361.72|Paid|Completed</v>
      </c>
      <c r="Y723">
        <f>COUNTIF($X$2:$X$1000, X723)</f>
        <v>1</v>
      </c>
      <c r="Z723">
        <f>COUNTIF($A$2:$A$1000, A723)</f>
        <v>1</v>
      </c>
      <c r="AA723" t="str">
        <f>IF(Y723&gt;1, "Exact Duplicate",
  IF(Z723&gt;1, "Conflicting Duplicate - Review",
    "Unique"))</f>
        <v>Unique</v>
      </c>
      <c r="AB723" s="2">
        <f>IF(ISBLANK(R723), 0, IF(ISTEXT(R723), VALUE(SUBSTITUTE(R723, "%", ""))/100, IF(OR(R723&lt;0, R723&gt;1), "Invalid", R723)))</f>
        <v>0</v>
      </c>
      <c r="AC723" s="4">
        <f>IF(AB723="Invalid", "Error", P723 * Q723 * (1 - AB723))</f>
        <v>13649.75</v>
      </c>
      <c r="AD723" s="4">
        <f>IF(AC723="Error", "Error", AC723 - T723)</f>
        <v>3361.7199999999993</v>
      </c>
      <c r="AE723" s="2">
        <f>IF(AC723="Error", "Error", IF(AC723=0, 0, AD723 / AC723))</f>
        <v>0.24628436418249414</v>
      </c>
      <c r="AF723" s="7">
        <f>C723-B723</f>
        <v>4</v>
      </c>
      <c r="AG723" s="2" t="str">
        <f>TEXT(B723, "mmmm")</f>
        <v>June</v>
      </c>
      <c r="AH723" s="4">
        <f>YEAR(B723)</f>
        <v>2025</v>
      </c>
      <c r="AI723" s="2" t="str">
        <f t="shared" si="25"/>
        <v>Clean</v>
      </c>
      <c r="AJ723">
        <f>COUNTIFS($A$2:$A$1000,A723,$B$2:$B$1000,B723,$C$2:$C$1000,C723,$D$2:$D$1000,D723,$E$2:$E$1000,E723,$F$2:$F$1000,F723)</f>
        <v>1</v>
      </c>
      <c r="AK723">
        <f>COUNTIF($A$2:$A$1000, A723)</f>
        <v>1</v>
      </c>
    </row>
    <row r="724" spans="1:37">
      <c r="A724" t="s">
        <v>2245</v>
      </c>
      <c r="B724" s="5">
        <v>45572</v>
      </c>
      <c r="C724" s="5">
        <v>45575</v>
      </c>
      <c r="D724" s="6">
        <f>IF(AND(C724&lt;&gt;"",B724&lt;&gt;""), C724-B724, "Missing Date")</f>
        <v>3</v>
      </c>
      <c r="E724" s="6" t="str">
        <f>IF(OR(B724="",C724=""), "Missing Date",
    IF(C724&lt;B724, "Invalid: Ship before Order",
      "OK"))</f>
        <v>OK</v>
      </c>
      <c r="F724" t="s">
        <v>2246</v>
      </c>
      <c r="G724" t="s">
        <v>71</v>
      </c>
      <c r="H724" t="s">
        <v>24</v>
      </c>
      <c r="I724" t="s">
        <v>38</v>
      </c>
      <c r="J724" t="s">
        <v>99</v>
      </c>
      <c r="K724" t="s">
        <v>100</v>
      </c>
      <c r="L724" t="s">
        <v>41</v>
      </c>
      <c r="M724" t="s">
        <v>66</v>
      </c>
      <c r="N724" t="s">
        <v>2247</v>
      </c>
      <c r="O724" t="s">
        <v>31</v>
      </c>
      <c r="P724">
        <v>9</v>
      </c>
      <c r="Q724">
        <v>481.51</v>
      </c>
      <c r="S724">
        <v>4333.59</v>
      </c>
      <c r="T724">
        <v>2533.59</v>
      </c>
      <c r="U724">
        <v>1800</v>
      </c>
      <c r="V724" t="s">
        <v>102</v>
      </c>
      <c r="W724" t="s">
        <v>68</v>
      </c>
      <c r="X724" t="str">
        <f>_xlfn.TEXTJOIN("|", TRUE, A724:W724)</f>
        <v>ORD-2024-10723|45572|45575|3|OK|CUST-8844|Vikram Iyer|Consumer|East|West Bengal|Kolkata|Furniture|Chairs|Eco Chairs 442|Second Class|9|481.51|4333.59|2533.59|1800|Refunded|Cancelled</v>
      </c>
      <c r="Y724">
        <f>COUNTIF($X$2:$X$1000, X724)</f>
        <v>1</v>
      </c>
      <c r="Z724">
        <f>COUNTIF($A$2:$A$1000, A724)</f>
        <v>1</v>
      </c>
      <c r="AA724" t="str">
        <f>IF(Y724&gt;1, "Exact Duplicate",
  IF(Z724&gt;1, "Conflicting Duplicate - Review",
    "Unique"))</f>
        <v>Unique</v>
      </c>
      <c r="AB724" s="2">
        <f>IF(ISBLANK(R724), 0, IF(ISTEXT(R724), VALUE(SUBSTITUTE(R724, "%", ""))/100, IF(OR(R724&lt;0, R724&gt;1), "Invalid", R724)))</f>
        <v>0</v>
      </c>
      <c r="AC724" s="4">
        <f>IF(AB724="Invalid", "Error", P724 * Q724 * (1 - AB724))</f>
        <v>4333.59</v>
      </c>
      <c r="AD724" s="4">
        <f>IF(AC724="Error", "Error", AC724 - T724)</f>
        <v>1800</v>
      </c>
      <c r="AE724" s="2">
        <f>IF(AC724="Error", "Error", IF(AC724=0, 0, AD724 / AC724))</f>
        <v>0.41536001329152039</v>
      </c>
      <c r="AF724" s="7">
        <f>C724-B724</f>
        <v>3</v>
      </c>
      <c r="AG724" s="2" t="str">
        <f>TEXT(B724, "mmmm")</f>
        <v>October</v>
      </c>
      <c r="AH724" s="4">
        <f>YEAR(B724)</f>
        <v>2024</v>
      </c>
      <c r="AI724" s="2" t="str">
        <f t="shared" si="25"/>
        <v>Excluded from Sales</v>
      </c>
      <c r="AJ724">
        <f>COUNTIFS($A$2:$A$1000,A724,$B$2:$B$1000,B724,$C$2:$C$1000,C724,$D$2:$D$1000,D724,$E$2:$E$1000,E724,$F$2:$F$1000,F724)</f>
        <v>1</v>
      </c>
      <c r="AK724">
        <f>COUNTIF($A$2:$A$1000, A724)</f>
        <v>1</v>
      </c>
    </row>
    <row r="725" spans="1:37">
      <c r="A725" t="s">
        <v>2248</v>
      </c>
      <c r="B725" s="5">
        <v>45818</v>
      </c>
      <c r="C725" s="5">
        <v>45943</v>
      </c>
      <c r="D725" s="6">
        <f>IF(AND(C725&lt;&gt;"",B725&lt;&gt;""), C725-B725, "Missing Date")</f>
        <v>125</v>
      </c>
      <c r="E725" s="6" t="str">
        <f>IF(OR(B725="",C725=""), "Missing Date",
    IF(C725&lt;B725, "Invalid: Ship before Order",
      "OK"))</f>
        <v>OK</v>
      </c>
      <c r="F725" t="s">
        <v>2249</v>
      </c>
      <c r="G725" t="s">
        <v>264</v>
      </c>
      <c r="H725" t="s">
        <v>95</v>
      </c>
      <c r="I725" t="s">
        <v>38</v>
      </c>
      <c r="J725" t="s">
        <v>228</v>
      </c>
      <c r="K725" t="s">
        <v>229</v>
      </c>
      <c r="L725" t="s">
        <v>74</v>
      </c>
      <c r="M725" t="s">
        <v>75</v>
      </c>
      <c r="N725" t="s">
        <v>2250</v>
      </c>
      <c r="O725" t="s">
        <v>59</v>
      </c>
      <c r="P725">
        <v>6</v>
      </c>
      <c r="Q725">
        <v>2391.9299999999998</v>
      </c>
      <c r="R725">
        <v>0.05</v>
      </c>
      <c r="S725">
        <v>13634</v>
      </c>
      <c r="T725">
        <v>9589.81</v>
      </c>
      <c r="U725">
        <v>4044.19</v>
      </c>
      <c r="V725" t="s">
        <v>155</v>
      </c>
      <c r="W725" t="s">
        <v>103</v>
      </c>
      <c r="X725" t="str">
        <f>_xlfn.TEXTJOIN("|", TRUE, A725:W725)</f>
        <v>ORD-2025-10724|45818|45943|125|OK|CUST-4335|Kabir Singh|Home Office|East|Jharkhand|Ranchi|Technology|Accessories|Eco Accessories 364|Standard Class|6|2391.93|0.05|13634|9589.81|4044.19|Failed|Returned</v>
      </c>
      <c r="Y725">
        <f>COUNTIF($X$2:$X$1000, X725)</f>
        <v>1</v>
      </c>
      <c r="Z725">
        <f>COUNTIF($A$2:$A$1000, A725)</f>
        <v>1</v>
      </c>
      <c r="AA725" t="str">
        <f>IF(Y725&gt;1, "Exact Duplicate",
  IF(Z725&gt;1, "Conflicting Duplicate - Review",
    "Unique"))</f>
        <v>Unique</v>
      </c>
      <c r="AB725" s="2">
        <f>IF(ISBLANK(R725), 0, IF(ISTEXT(R725), VALUE(SUBSTITUTE(R725, "%", ""))/100, IF(OR(R725&lt;0, R725&gt;1), "Invalid", R725)))</f>
        <v>0.05</v>
      </c>
      <c r="AC725" s="4">
        <f>IF(AB725="Invalid", "Error", P725 * Q725 * (1 - AB725))</f>
        <v>13634.000999999998</v>
      </c>
      <c r="AD725" s="4">
        <f>IF(AC725="Error", "Error", AC725 - T725)</f>
        <v>4044.1909999999989</v>
      </c>
      <c r="AE725" s="2">
        <f>IF(AC725="Error", "Error", IF(AC725=0, 0, AD725 / AC725))</f>
        <v>0.29662539998346776</v>
      </c>
      <c r="AF725" s="7">
        <f>C725-B725</f>
        <v>125</v>
      </c>
      <c r="AG725" s="2" t="str">
        <f>TEXT(B725, "mmmm")</f>
        <v>June</v>
      </c>
      <c r="AH725" s="4">
        <f>YEAR(B725)</f>
        <v>2025</v>
      </c>
      <c r="AI725" s="2" t="str">
        <f t="shared" si="25"/>
        <v>Excluded from Sales</v>
      </c>
      <c r="AJ725">
        <f>COUNTIFS($A$2:$A$1000,A725,$B$2:$B$1000,B725,$C$2:$C$1000,C725,$D$2:$D$1000,D725,$E$2:$E$1000,E725,$F$2:$F$1000,F725)</f>
        <v>1</v>
      </c>
      <c r="AK725">
        <f>COUNTIF($A$2:$A$1000, A725)</f>
        <v>1</v>
      </c>
    </row>
    <row r="726" spans="1:37">
      <c r="A726" t="s">
        <v>2251</v>
      </c>
      <c r="B726" s="5">
        <v>45567</v>
      </c>
      <c r="C726" s="5">
        <v>45338</v>
      </c>
      <c r="D726" s="6">
        <f>IF(AND(C726&lt;&gt;"",B726&lt;&gt;""), C726-B726, "Missing Date")</f>
        <v>-229</v>
      </c>
      <c r="E726" s="6" t="str">
        <f>IF(OR(B726="",C726=""), "Missing Date",
    IF(C726&lt;B726, "Invalid: Ship before Order",
      "OK"))</f>
        <v>Invalid: Ship before Order</v>
      </c>
      <c r="F726" t="s">
        <v>2252</v>
      </c>
      <c r="G726" t="s">
        <v>23</v>
      </c>
      <c r="H726" t="s">
        <v>24</v>
      </c>
      <c r="I726" t="s">
        <v>63</v>
      </c>
      <c r="J726" t="s">
        <v>190</v>
      </c>
      <c r="K726" t="s">
        <v>191</v>
      </c>
      <c r="L726" t="s">
        <v>41</v>
      </c>
      <c r="M726" t="s">
        <v>57</v>
      </c>
      <c r="N726" t="s">
        <v>2253</v>
      </c>
      <c r="O726" t="s">
        <v>31</v>
      </c>
      <c r="P726">
        <v>3</v>
      </c>
      <c r="Q726">
        <v>253.43</v>
      </c>
      <c r="R726">
        <v>0</v>
      </c>
      <c r="S726">
        <v>760.29</v>
      </c>
      <c r="T726">
        <v>497.77</v>
      </c>
      <c r="U726">
        <v>262.52</v>
      </c>
      <c r="V726" t="s">
        <v>32</v>
      </c>
      <c r="W726" t="s">
        <v>33</v>
      </c>
      <c r="X726" t="str">
        <f>_xlfn.TEXTJOIN("|", TRUE, A726:W726)</f>
        <v>ORD-2024-10725|45567|45338|-229|Invalid: Ship before Order|CUST-5891|Karan Malhotra|Consumer|West|Goa|Panaji|Furniture|Furnishings|Elite Furnishings 921|Second Class|3|253.43|0|760.29|497.77|262.52|Paid|Completed</v>
      </c>
      <c r="Y726">
        <f>COUNTIF($X$2:$X$1000, X726)</f>
        <v>1</v>
      </c>
      <c r="Z726">
        <f>COUNTIF($A$2:$A$1000, A726)</f>
        <v>1</v>
      </c>
      <c r="AA726" t="str">
        <f>IF(Y726&gt;1, "Exact Duplicate",
  IF(Z726&gt;1, "Conflicting Duplicate - Review",
    "Unique"))</f>
        <v>Unique</v>
      </c>
      <c r="AB726" s="2">
        <f>IF(ISBLANK(R726), 0, IF(ISTEXT(R726), VALUE(SUBSTITUTE(R726, "%", ""))/100, IF(OR(R726&lt;0, R726&gt;1), "Invalid", R726)))</f>
        <v>0</v>
      </c>
      <c r="AC726" s="4">
        <f>IF(AB726="Invalid", "Error", P726 * Q726 * (1 - AB726))</f>
        <v>760.29</v>
      </c>
      <c r="AD726" s="4">
        <f>IF(AC726="Error", "Error", AC726 - T726)</f>
        <v>262.52</v>
      </c>
      <c r="AE726" s="2">
        <f>IF(AC726="Error", "Error", IF(AC726=0, 0, AD726 / AC726))</f>
        <v>0.34528929750489945</v>
      </c>
      <c r="AF726" s="7">
        <f>C726-B726</f>
        <v>-229</v>
      </c>
      <c r="AG726" s="2" t="str">
        <f>TEXT(B726, "mmmm")</f>
        <v>October</v>
      </c>
      <c r="AH726" s="4">
        <f>YEAR(B726)</f>
        <v>2024</v>
      </c>
      <c r="AI726" s="2" t="str">
        <f t="shared" si="25"/>
        <v>Invalid Shipping Record</v>
      </c>
      <c r="AJ726">
        <f>COUNTIFS($A$2:$A$1000,A726,$B$2:$B$1000,B726,$C$2:$C$1000,C726,$D$2:$D$1000,D726,$E$2:$E$1000,E726,$F$2:$F$1000,F726)</f>
        <v>1</v>
      </c>
      <c r="AK726">
        <f>COUNTIF($A$2:$A$1000, A726)</f>
        <v>1</v>
      </c>
    </row>
    <row r="727" spans="1:37">
      <c r="A727" t="s">
        <v>2254</v>
      </c>
      <c r="B727" s="5">
        <v>45787</v>
      </c>
      <c r="C727" s="5">
        <v>45942</v>
      </c>
      <c r="D727" s="6">
        <f>IF(AND(C727&lt;&gt;"",B727&lt;&gt;""), C727-B727, "Missing Date")</f>
        <v>155</v>
      </c>
      <c r="E727" s="6" t="str">
        <f>IF(OR(B727="",C727=""), "Missing Date",
    IF(C727&lt;B727, "Invalid: Ship before Order",
      "OK"))</f>
        <v>OK</v>
      </c>
      <c r="F727" t="s">
        <v>2255</v>
      </c>
      <c r="G727" t="s">
        <v>114</v>
      </c>
      <c r="H727" t="s">
        <v>90</v>
      </c>
      <c r="I727" t="s">
        <v>54</v>
      </c>
      <c r="J727" t="s">
        <v>175</v>
      </c>
      <c r="K727" t="s">
        <v>176</v>
      </c>
      <c r="L727" t="s">
        <v>41</v>
      </c>
      <c r="M727" t="s">
        <v>42</v>
      </c>
      <c r="N727" t="s">
        <v>2256</v>
      </c>
      <c r="O727" t="s">
        <v>31</v>
      </c>
      <c r="P727">
        <v>7</v>
      </c>
      <c r="Q727">
        <v>2134.73</v>
      </c>
      <c r="R727">
        <v>0</v>
      </c>
      <c r="S727">
        <v>14943.11</v>
      </c>
      <c r="T727">
        <v>8521.5</v>
      </c>
      <c r="U727">
        <v>6421.61</v>
      </c>
      <c r="V727" t="s">
        <v>32</v>
      </c>
      <c r="W727" t="s">
        <v>33</v>
      </c>
      <c r="X727" t="str">
        <f>_xlfn.TEXTJOIN("|", TRUE, A727:W727)</f>
        <v>ORD-2025-10726|45787|45942|155|OK|CUST-6371|Priya Menon|Corporate|South|Karnataka|Bengaluru|Furniture|Tables|Max Tables 309|Second Class|7|2134.73|0|14943.11|8521.5|6421.61|Paid|Completed</v>
      </c>
      <c r="Y727">
        <f>COUNTIF($X$2:$X$1000, X727)</f>
        <v>1</v>
      </c>
      <c r="Z727">
        <f>COUNTIF($A$2:$A$1000, A727)</f>
        <v>1</v>
      </c>
      <c r="AA727" t="str">
        <f>IF(Y727&gt;1, "Exact Duplicate",
  IF(Z727&gt;1, "Conflicting Duplicate - Review",
    "Unique"))</f>
        <v>Unique</v>
      </c>
      <c r="AB727" s="2">
        <f>IF(ISBLANK(R727), 0, IF(ISTEXT(R727), VALUE(SUBSTITUTE(R727, "%", ""))/100, IF(OR(R727&lt;0, R727&gt;1), "Invalid", R727)))</f>
        <v>0</v>
      </c>
      <c r="AC727" s="4">
        <f>IF(AB727="Invalid", "Error", P727 * Q727 * (1 - AB727))</f>
        <v>14943.11</v>
      </c>
      <c r="AD727" s="4">
        <f>IF(AC727="Error", "Error", AC727 - T727)</f>
        <v>6421.6100000000006</v>
      </c>
      <c r="AE727" s="2">
        <f>IF(AC727="Error", "Error", IF(AC727=0, 0, AD727 / AC727))</f>
        <v>0.42973718322357263</v>
      </c>
      <c r="AF727" s="7">
        <f>C727-B727</f>
        <v>155</v>
      </c>
      <c r="AG727" s="2" t="str">
        <f>TEXT(B727, "mmmm")</f>
        <v>May</v>
      </c>
      <c r="AH727" s="4">
        <f>YEAR(B727)</f>
        <v>2025</v>
      </c>
      <c r="AI727" s="2" t="str">
        <f t="shared" si="25"/>
        <v>Clean</v>
      </c>
      <c r="AJ727">
        <f>COUNTIFS($A$2:$A$1000,A727,$B$2:$B$1000,B727,$C$2:$C$1000,C727,$D$2:$D$1000,D727,$E$2:$E$1000,E727,$F$2:$F$1000,F727)</f>
        <v>1</v>
      </c>
      <c r="AK727">
        <f>COUNTIF($A$2:$A$1000, A727)</f>
        <v>1</v>
      </c>
    </row>
    <row r="728" spans="1:37">
      <c r="A728" t="s">
        <v>2257</v>
      </c>
      <c r="B728" s="5">
        <v>45308</v>
      </c>
      <c r="C728" s="5">
        <v>45314</v>
      </c>
      <c r="D728" s="6">
        <f>IF(AND(C728&lt;&gt;"",B728&lt;&gt;""), C728-B728, "Missing Date")</f>
        <v>6</v>
      </c>
      <c r="E728" s="6" t="str">
        <f>IF(OR(B728="",C728=""), "Missing Date",
    IF(C728&lt;B728, "Invalid: Ship before Order",
      "OK"))</f>
        <v>OK</v>
      </c>
      <c r="F728" t="s">
        <v>2258</v>
      </c>
      <c r="G728" t="s">
        <v>264</v>
      </c>
      <c r="H728" t="s">
        <v>95</v>
      </c>
      <c r="I728" t="s">
        <v>63</v>
      </c>
      <c r="J728" t="s">
        <v>180</v>
      </c>
      <c r="K728" t="s">
        <v>181</v>
      </c>
      <c r="L728" t="s">
        <v>74</v>
      </c>
      <c r="M728" t="s">
        <v>171</v>
      </c>
      <c r="N728" t="s">
        <v>2259</v>
      </c>
      <c r="O728" t="s">
        <v>59</v>
      </c>
      <c r="P728">
        <v>5</v>
      </c>
      <c r="Q728">
        <v>2018</v>
      </c>
      <c r="R728">
        <v>0.2</v>
      </c>
      <c r="S728">
        <v>8072</v>
      </c>
      <c r="T728">
        <v>5379.22</v>
      </c>
      <c r="U728">
        <v>2692.78</v>
      </c>
      <c r="V728" t="s">
        <v>111</v>
      </c>
      <c r="W728" t="s">
        <v>103</v>
      </c>
      <c r="X728" t="str">
        <f>_xlfn.TEXTJOIN("|", TRUE, A728:W728)</f>
        <v>ORD-2024-10727|45308|45314|6|OK|CUST-6655|Kabir Singh|Home Office|West|Gujarat|Ahmedabad|Technology|Phones|Pro Phones 857|Standard Class|5|2018|0.2|8072|5379.22|2692.78|Pending|Returned</v>
      </c>
      <c r="Y728">
        <f>COUNTIF($X$2:$X$1000, X728)</f>
        <v>1</v>
      </c>
      <c r="Z728">
        <f>COUNTIF($A$2:$A$1000, A728)</f>
        <v>1</v>
      </c>
      <c r="AA728" t="str">
        <f>IF(Y728&gt;1, "Exact Duplicate",
  IF(Z728&gt;1, "Conflicting Duplicate - Review",
    "Unique"))</f>
        <v>Unique</v>
      </c>
      <c r="AB728" s="2">
        <f>IF(ISBLANK(R728), 0, IF(ISTEXT(R728), VALUE(SUBSTITUTE(R728, "%", ""))/100, IF(OR(R728&lt;0, R728&gt;1), "Invalid", R728)))</f>
        <v>0.2</v>
      </c>
      <c r="AC728" s="4">
        <f>IF(AB728="Invalid", "Error", P728 * Q728 * (1 - AB728))</f>
        <v>8072</v>
      </c>
      <c r="AD728" s="4">
        <f>IF(AC728="Error", "Error", AC728 - T728)</f>
        <v>2692.7799999999997</v>
      </c>
      <c r="AE728" s="2">
        <f>IF(AC728="Error", "Error", IF(AC728=0, 0, AD728 / AC728))</f>
        <v>0.33359514370664023</v>
      </c>
      <c r="AF728" s="7">
        <f>C728-B728</f>
        <v>6</v>
      </c>
      <c r="AG728" s="2" t="str">
        <f>TEXT(B728, "mmmm")</f>
        <v>January</v>
      </c>
      <c r="AH728" s="4">
        <f>YEAR(B728)</f>
        <v>2024</v>
      </c>
      <c r="AI728" s="2" t="str">
        <f t="shared" si="25"/>
        <v>Clean</v>
      </c>
      <c r="AJ728">
        <f>COUNTIFS($A$2:$A$1000,A728,$B$2:$B$1000,B728,$C$2:$C$1000,C728,$D$2:$D$1000,D728,$E$2:$E$1000,E728,$F$2:$F$1000,F728)</f>
        <v>1</v>
      </c>
      <c r="AK728">
        <f>COUNTIF($A$2:$A$1000, A728)</f>
        <v>1</v>
      </c>
    </row>
    <row r="729" spans="1:37">
      <c r="A729" t="s">
        <v>2260</v>
      </c>
      <c r="B729" s="5">
        <v>45578</v>
      </c>
      <c r="C729" s="5">
        <v>45578</v>
      </c>
      <c r="D729" s="6">
        <f>IF(AND(C729&lt;&gt;"",B729&lt;&gt;""), C729-B729, "Missing Date")</f>
        <v>0</v>
      </c>
      <c r="E729" s="6" t="str">
        <f>IF(OR(B729="",C729=""), "Missing Date",
    IF(C729&lt;B729, "Invalid: Ship before Order",
      "OK"))</f>
        <v>OK</v>
      </c>
      <c r="F729" t="s">
        <v>2261</v>
      </c>
      <c r="G729" t="s">
        <v>128</v>
      </c>
      <c r="H729" t="s">
        <v>37</v>
      </c>
      <c r="I729" t="s">
        <v>38</v>
      </c>
      <c r="J729" t="s">
        <v>166</v>
      </c>
      <c r="K729" t="s">
        <v>167</v>
      </c>
      <c r="L729" t="s">
        <v>74</v>
      </c>
      <c r="M729" t="s">
        <v>75</v>
      </c>
      <c r="N729" t="s">
        <v>2262</v>
      </c>
      <c r="O729" t="s">
        <v>31</v>
      </c>
      <c r="P729">
        <v>8</v>
      </c>
      <c r="Q729">
        <v>3730.66</v>
      </c>
      <c r="R729">
        <v>0.05</v>
      </c>
      <c r="S729">
        <v>28353.02</v>
      </c>
      <c r="T729">
        <v>19257.849999999999</v>
      </c>
      <c r="U729">
        <v>9095.17</v>
      </c>
      <c r="V729" t="s">
        <v>32</v>
      </c>
      <c r="W729" t="s">
        <v>33</v>
      </c>
      <c r="X729" t="str">
        <f>_xlfn.TEXTJOIN("|", TRUE, A729:W729)</f>
        <v>ORD-2024-10728|45578|45578|0|OK|CUST-6492|Aarav Sharma|Small Business|East|Assam|Guwahati|Technology|Accessories|Max Accessories 567|Second Class|8|3730.66|0.05|28353.02|19257.85|9095.17|Paid|Completed</v>
      </c>
      <c r="Y729">
        <f>COUNTIF($X$2:$X$1000, X729)</f>
        <v>1</v>
      </c>
      <c r="Z729">
        <f>COUNTIF($A$2:$A$1000, A729)</f>
        <v>1</v>
      </c>
      <c r="AA729" t="str">
        <f>IF(Y729&gt;1, "Exact Duplicate",
  IF(Z729&gt;1, "Conflicting Duplicate - Review",
    "Unique"))</f>
        <v>Unique</v>
      </c>
      <c r="AB729" s="2">
        <f>IF(ISBLANK(R729), 0, IF(ISTEXT(R729), VALUE(SUBSTITUTE(R729, "%", ""))/100, IF(OR(R729&lt;0, R729&gt;1), "Invalid", R729)))</f>
        <v>0.05</v>
      </c>
      <c r="AC729" s="4">
        <f>IF(AB729="Invalid", "Error", P729 * Q729 * (1 - AB729))</f>
        <v>28353.015999999996</v>
      </c>
      <c r="AD729" s="4">
        <f>IF(AC729="Error", "Error", AC729 - T729)</f>
        <v>9095.1659999999974</v>
      </c>
      <c r="AE729" s="2">
        <f>IF(AC729="Error", "Error", IF(AC729=0, 0, AD729 / AC729))</f>
        <v>0.3207830165228277</v>
      </c>
      <c r="AF729" s="7">
        <f>C729-B729</f>
        <v>0</v>
      </c>
      <c r="AG729" s="2" t="str">
        <f>TEXT(B729, "mmmm")</f>
        <v>October</v>
      </c>
      <c r="AH729" s="4">
        <f>YEAR(B729)</f>
        <v>2024</v>
      </c>
      <c r="AI729" s="2" t="str">
        <f t="shared" si="25"/>
        <v>Clean</v>
      </c>
      <c r="AJ729">
        <f>COUNTIFS($A$2:$A$1000,A729,$B$2:$B$1000,B729,$C$2:$C$1000,C729,$D$2:$D$1000,D729,$E$2:$E$1000,E729,$F$2:$F$1000,F729)</f>
        <v>1</v>
      </c>
      <c r="AK729">
        <f>COUNTIF($A$2:$A$1000, A729)</f>
        <v>1</v>
      </c>
    </row>
    <row r="730" spans="1:37">
      <c r="A730" t="s">
        <v>2263</v>
      </c>
      <c r="B730" s="5">
        <v>45295</v>
      </c>
      <c r="C730" s="5">
        <v>45298</v>
      </c>
      <c r="D730" s="6">
        <f>IF(AND(C730&lt;&gt;"",B730&lt;&gt;""), C730-B730, "Missing Date")</f>
        <v>3</v>
      </c>
      <c r="E730" s="6" t="str">
        <f>IF(OR(B730="",C730=""), "Missing Date",
    IF(C730&lt;B730, "Invalid: Ship before Order",
      "OK"))</f>
        <v>OK</v>
      </c>
      <c r="F730" t="s">
        <v>2264</v>
      </c>
      <c r="G730" t="s">
        <v>132</v>
      </c>
      <c r="H730" t="s">
        <v>37</v>
      </c>
      <c r="I730" t="s">
        <v>54</v>
      </c>
      <c r="J730" t="s">
        <v>175</v>
      </c>
      <c r="K730" t="s">
        <v>176</v>
      </c>
      <c r="L730" t="s">
        <v>74</v>
      </c>
      <c r="M730" t="s">
        <v>274</v>
      </c>
      <c r="N730" t="s">
        <v>2265</v>
      </c>
      <c r="O730" t="s">
        <v>50</v>
      </c>
      <c r="P730">
        <v>1</v>
      </c>
      <c r="Q730">
        <v>2363.02</v>
      </c>
      <c r="R730">
        <v>0.15</v>
      </c>
      <c r="S730">
        <v>2008.57</v>
      </c>
      <c r="T730">
        <v>1194.83</v>
      </c>
      <c r="U730">
        <v>813.74</v>
      </c>
      <c r="V730" t="s">
        <v>32</v>
      </c>
      <c r="W730" t="s">
        <v>33</v>
      </c>
      <c r="X730" t="str">
        <f>_xlfn.TEXTJOIN("|", TRUE, A730:W730)</f>
        <v>ORD-2024-10729|45295|45298|3|OK|CUST-1154|Sneha Kapoor|Small Business|South|Karnataka|Bengaluru|Technology|Machines|Max Machines 200|First Class|1|2363.02|0.15|2008.57|1194.83|813.74|Paid|Completed</v>
      </c>
      <c r="Y730">
        <f>COUNTIF($X$2:$X$1000, X730)</f>
        <v>1</v>
      </c>
      <c r="Z730">
        <f>COUNTIF($A$2:$A$1000, A730)</f>
        <v>1</v>
      </c>
      <c r="AA730" t="str">
        <f>IF(Y730&gt;1, "Exact Duplicate",
  IF(Z730&gt;1, "Conflicting Duplicate - Review",
    "Unique"))</f>
        <v>Unique</v>
      </c>
      <c r="AB730" s="2">
        <f>IF(ISBLANK(R730), 0, IF(ISTEXT(R730), VALUE(SUBSTITUTE(R730, "%", ""))/100, IF(OR(R730&lt;0, R730&gt;1), "Invalid", R730)))</f>
        <v>0.15</v>
      </c>
      <c r="AC730" s="4">
        <f>IF(AB730="Invalid", "Error", P730 * Q730 * (1 - AB730))</f>
        <v>2008.567</v>
      </c>
      <c r="AD730" s="4">
        <f>IF(AC730="Error", "Error", AC730 - T730)</f>
        <v>813.73700000000008</v>
      </c>
      <c r="AE730" s="2">
        <f>IF(AC730="Error", "Error", IF(AC730=0, 0, AD730 / AC730))</f>
        <v>0.40513311231340554</v>
      </c>
      <c r="AF730" s="7">
        <f>C730-B730</f>
        <v>3</v>
      </c>
      <c r="AG730" s="2" t="str">
        <f>TEXT(B730, "mmmm")</f>
        <v>January</v>
      </c>
      <c r="AH730" s="4">
        <f>YEAR(B730)</f>
        <v>2024</v>
      </c>
      <c r="AI730" s="2" t="str">
        <f t="shared" si="25"/>
        <v>Clean</v>
      </c>
      <c r="AJ730">
        <f>COUNTIFS($A$2:$A$1000,A730,$B$2:$B$1000,B730,$C$2:$C$1000,C730,$D$2:$D$1000,D730,$E$2:$E$1000,E730,$F$2:$F$1000,F730)</f>
        <v>1</v>
      </c>
      <c r="AK730">
        <f>COUNTIF($A$2:$A$1000, A730)</f>
        <v>1</v>
      </c>
    </row>
    <row r="731" spans="1:37">
      <c r="A731" t="s">
        <v>2266</v>
      </c>
      <c r="B731" s="5">
        <v>45794</v>
      </c>
      <c r="C731" s="5">
        <v>45802</v>
      </c>
      <c r="D731" s="6">
        <f>IF(AND(C731&lt;&gt;"",B731&lt;&gt;""), C731-B731, "Missing Date")</f>
        <v>8</v>
      </c>
      <c r="E731" s="6" t="str">
        <f>IF(OR(B731="",C731=""), "Missing Date",
    IF(C731&lt;B731, "Invalid: Ship before Order",
      "OK"))</f>
        <v>OK</v>
      </c>
      <c r="F731" t="s">
        <v>2267</v>
      </c>
      <c r="G731" t="s">
        <v>62</v>
      </c>
      <c r="H731" t="s">
        <v>90</v>
      </c>
      <c r="I731" t="s">
        <v>54</v>
      </c>
      <c r="J731" t="s">
        <v>247</v>
      </c>
      <c r="K731" t="s">
        <v>248</v>
      </c>
      <c r="L731" t="s">
        <v>74</v>
      </c>
      <c r="M731" t="s">
        <v>274</v>
      </c>
      <c r="N731" t="s">
        <v>2268</v>
      </c>
      <c r="O731" t="s">
        <v>44</v>
      </c>
      <c r="P731">
        <v>6</v>
      </c>
      <c r="Q731">
        <v>1810.63</v>
      </c>
      <c r="R731">
        <v>0.15</v>
      </c>
      <c r="S731">
        <v>9234.2099999999991</v>
      </c>
      <c r="T731">
        <v>5516.52</v>
      </c>
      <c r="U731">
        <v>3717.69</v>
      </c>
      <c r="V731" t="s">
        <v>32</v>
      </c>
      <c r="W731" t="s">
        <v>33</v>
      </c>
      <c r="X731" t="str">
        <f>_xlfn.TEXTJOIN("|", TRUE, A731:W731)</f>
        <v>ORD-2025-10730|45794|45802|8|OK|CUST-8713|Ananya Rao|Corporate|South|Tamil Nadu|Chennai|Technology|Machines|Pro Machines 563|Same Day|6|1810.63|0.15|9234.21|5516.52|3717.69|Paid|Completed</v>
      </c>
      <c r="Y731">
        <f>COUNTIF($X$2:$X$1000, X731)</f>
        <v>1</v>
      </c>
      <c r="Z731">
        <f>COUNTIF($A$2:$A$1000, A731)</f>
        <v>2</v>
      </c>
      <c r="AA731" t="str">
        <f>IF(Y731&gt;1, "Exact Duplicate",
  IF(Z731&gt;1, "Conflicting Duplicate - Review",
    "Unique"))</f>
        <v>Conflicting Duplicate - Review</v>
      </c>
      <c r="AB731" s="2">
        <f>IF(ISBLANK(R731), 0, IF(ISTEXT(R731), VALUE(SUBSTITUTE(R731, "%", ""))/100, IF(OR(R731&lt;0, R731&gt;1), "Invalid", R731)))</f>
        <v>0.15</v>
      </c>
      <c r="AC731" s="4">
        <f>IF(AB731="Invalid", "Error", P731 * Q731 * (1 - AB731))</f>
        <v>9234.2129999999997</v>
      </c>
      <c r="AD731" s="4">
        <f>IF(AC731="Error", "Error", AC731 - T731)</f>
        <v>3717.6929999999993</v>
      </c>
      <c r="AE731" s="2">
        <f>IF(AC731="Error", "Error", IF(AC731=0, 0, AD731 / AC731))</f>
        <v>0.40259987505161504</v>
      </c>
      <c r="AF731" s="7">
        <f>C731-B731</f>
        <v>8</v>
      </c>
      <c r="AG731" s="2" t="str">
        <f>TEXT(B731, "mmmm")</f>
        <v>May</v>
      </c>
      <c r="AH731" s="4">
        <f>YEAR(B731)</f>
        <v>2025</v>
      </c>
      <c r="AI731" s="2" t="str">
        <f t="shared" si="25"/>
        <v>Clean</v>
      </c>
      <c r="AJ731">
        <f>COUNTIFS($A$2:$A$1000,A731,$B$2:$B$1000,B731,$C$2:$C$1000,C731,$D$2:$D$1000,D731,$E$2:$E$1000,E731,$F$2:$F$1000,F731)</f>
        <v>2</v>
      </c>
      <c r="AK731">
        <f>COUNTIF($A$2:$A$1000, A731)</f>
        <v>2</v>
      </c>
    </row>
    <row r="732" spans="1:37">
      <c r="A732" t="s">
        <v>2269</v>
      </c>
      <c r="B732" s="5">
        <v>45827</v>
      </c>
      <c r="C732" s="5">
        <v>45832</v>
      </c>
      <c r="D732" s="6">
        <f>IF(AND(C732&lt;&gt;"",B732&lt;&gt;""), C732-B732, "Missing Date")</f>
        <v>5</v>
      </c>
      <c r="E732" s="6" t="str">
        <f>IF(OR(B732="",C732=""), "Missing Date",
    IF(C732&lt;B732, "Invalid: Ship before Order",
      "OK"))</f>
        <v>OK</v>
      </c>
      <c r="F732" t="s">
        <v>2270</v>
      </c>
      <c r="G732" t="s">
        <v>53</v>
      </c>
      <c r="H732" t="s">
        <v>24</v>
      </c>
      <c r="I732" t="s">
        <v>38</v>
      </c>
      <c r="J732" t="s">
        <v>99</v>
      </c>
      <c r="K732" t="s">
        <v>100</v>
      </c>
      <c r="L732" t="s">
        <v>28</v>
      </c>
      <c r="M732" t="s">
        <v>48</v>
      </c>
      <c r="N732" t="s">
        <v>2271</v>
      </c>
      <c r="O732" t="s">
        <v>31</v>
      </c>
      <c r="P732">
        <v>4</v>
      </c>
      <c r="Q732">
        <v>782.01</v>
      </c>
      <c r="R732">
        <v>0.15</v>
      </c>
      <c r="S732">
        <v>2658.83</v>
      </c>
      <c r="T732">
        <v>2226.9699999999998</v>
      </c>
      <c r="U732">
        <v>431.86</v>
      </c>
      <c r="V732" t="s">
        <v>102</v>
      </c>
      <c r="W732" t="s">
        <v>103</v>
      </c>
      <c r="X732" t="str">
        <f>_xlfn.TEXTJOIN("|", TRUE, A732:W732)</f>
        <v>ORD-2025-10731|45827|45832|5|OK|CUST-6765|Arjun Bose|Consumer|East|West Bengal|Kolkata|Office Supplies|Art|Elite Art 696|Second Class|4|782.01|0.15|2658.83|2226.97|431.86|Refunded|Returned</v>
      </c>
      <c r="Y732">
        <f>COUNTIF($X$2:$X$1000, X732)</f>
        <v>1</v>
      </c>
      <c r="Z732">
        <f>COUNTIF($A$2:$A$1000, A732)</f>
        <v>1</v>
      </c>
      <c r="AA732" t="str">
        <f>IF(Y732&gt;1, "Exact Duplicate",
  IF(Z732&gt;1, "Conflicting Duplicate - Review",
    "Unique"))</f>
        <v>Unique</v>
      </c>
      <c r="AB732" s="2">
        <f>IF(ISBLANK(R732), 0, IF(ISTEXT(R732), VALUE(SUBSTITUTE(R732, "%", ""))/100, IF(OR(R732&lt;0, R732&gt;1), "Invalid", R732)))</f>
        <v>0.15</v>
      </c>
      <c r="AC732" s="4">
        <f>IF(AB732="Invalid", "Error", P732 * Q732 * (1 - AB732))</f>
        <v>2658.8339999999998</v>
      </c>
      <c r="AD732" s="4">
        <f>IF(AC732="Error", "Error", AC732 - T732)</f>
        <v>431.86400000000003</v>
      </c>
      <c r="AE732" s="2">
        <f>IF(AC732="Error", "Error", IF(AC732=0, 0, AD732 / AC732))</f>
        <v>0.16242608602116568</v>
      </c>
      <c r="AF732" s="7">
        <f>C732-B732</f>
        <v>5</v>
      </c>
      <c r="AG732" s="2" t="str">
        <f>TEXT(B732, "mmmm")</f>
        <v>June</v>
      </c>
      <c r="AH732" s="4">
        <f>YEAR(B732)</f>
        <v>2025</v>
      </c>
      <c r="AI732" s="2" t="str">
        <f t="shared" si="25"/>
        <v>Clean</v>
      </c>
      <c r="AJ732">
        <f>COUNTIFS($A$2:$A$1000,A732,$B$2:$B$1000,B732,$C$2:$C$1000,C732,$D$2:$D$1000,D732,$E$2:$E$1000,E732,$F$2:$F$1000,F732)</f>
        <v>1</v>
      </c>
      <c r="AK732">
        <f>COUNTIF($A$2:$A$1000, A732)</f>
        <v>1</v>
      </c>
    </row>
    <row r="733" spans="1:37">
      <c r="A733" t="s">
        <v>2272</v>
      </c>
      <c r="B733" s="5">
        <v>45368</v>
      </c>
      <c r="C733" s="5">
        <v>45370</v>
      </c>
      <c r="D733" s="6">
        <f>IF(AND(C733&lt;&gt;"",B733&lt;&gt;""), C733-B733, "Missing Date")</f>
        <v>2</v>
      </c>
      <c r="E733" s="6" t="str">
        <f>IF(OR(B733="",C733=""), "Missing Date",
    IF(C733&lt;B733, "Invalid: Ship before Order",
      "OK"))</f>
        <v>OK</v>
      </c>
      <c r="F733" t="s">
        <v>2273</v>
      </c>
      <c r="G733" t="s">
        <v>62</v>
      </c>
      <c r="H733" t="s">
        <v>90</v>
      </c>
      <c r="I733" t="s">
        <v>38</v>
      </c>
      <c r="J733" t="s">
        <v>39</v>
      </c>
      <c r="K733" t="s">
        <v>40</v>
      </c>
      <c r="L733" t="s">
        <v>28</v>
      </c>
      <c r="M733" t="s">
        <v>153</v>
      </c>
      <c r="N733" t="s">
        <v>2274</v>
      </c>
      <c r="O733" t="s">
        <v>50</v>
      </c>
      <c r="P733">
        <v>4</v>
      </c>
      <c r="Q733">
        <v>4376.68</v>
      </c>
      <c r="R733">
        <v>0.1</v>
      </c>
      <c r="S733">
        <v>15756.05</v>
      </c>
      <c r="T733">
        <v>10245.44</v>
      </c>
      <c r="U733">
        <v>5510.61</v>
      </c>
      <c r="V733" t="s">
        <v>32</v>
      </c>
      <c r="W733" t="s">
        <v>33</v>
      </c>
      <c r="X733" t="str">
        <f>_xlfn.TEXTJOIN("|", TRUE, A733:W733)</f>
        <v>ORD-2024-10732|45368|45370|2|OK|CUST-6849|Ananya Rao|Corporate|East|Odisha|Bhubaneswar|Office Supplies|Binders|Eco Binders 178|First Class|4|4376.68|0.1|15756.05|10245.44|5510.61|Paid|Completed</v>
      </c>
      <c r="Y733">
        <f>COUNTIF($X$2:$X$1000, X733)</f>
        <v>1</v>
      </c>
      <c r="Z733">
        <f>COUNTIF($A$2:$A$1000, A733)</f>
        <v>1</v>
      </c>
      <c r="AA733" t="str">
        <f>IF(Y733&gt;1, "Exact Duplicate",
  IF(Z733&gt;1, "Conflicting Duplicate - Review",
    "Unique"))</f>
        <v>Unique</v>
      </c>
      <c r="AB733" s="2">
        <f>IF(ISBLANK(R733), 0, IF(ISTEXT(R733), VALUE(SUBSTITUTE(R733, "%", ""))/100, IF(OR(R733&lt;0, R733&gt;1), "Invalid", R733)))</f>
        <v>0.1</v>
      </c>
      <c r="AC733" s="4">
        <f>IF(AB733="Invalid", "Error", P733 * Q733 * (1 - AB733))</f>
        <v>15756.048000000001</v>
      </c>
      <c r="AD733" s="4">
        <f>IF(AC733="Error", "Error", AC733 - T733)</f>
        <v>5510.6080000000002</v>
      </c>
      <c r="AE733" s="2">
        <f>IF(AC733="Error", "Error", IF(AC733=0, 0, AD733 / AC733))</f>
        <v>0.3497455707167178</v>
      </c>
      <c r="AF733" s="7">
        <f>C733-B733</f>
        <v>2</v>
      </c>
      <c r="AG733" s="2" t="str">
        <f>TEXT(B733, "mmmm")</f>
        <v>March</v>
      </c>
      <c r="AH733" s="4">
        <f>YEAR(B733)</f>
        <v>2024</v>
      </c>
      <c r="AI733" s="2" t="str">
        <f t="shared" si="25"/>
        <v>Clean</v>
      </c>
      <c r="AJ733">
        <f>COUNTIFS($A$2:$A$1000,A733,$B$2:$B$1000,B733,$C$2:$C$1000,C733,$D$2:$D$1000,D733,$E$2:$E$1000,E733,$F$2:$F$1000,F733)</f>
        <v>1</v>
      </c>
      <c r="AK733">
        <f>COUNTIF($A$2:$A$1000, A733)</f>
        <v>1</v>
      </c>
    </row>
    <row r="734" spans="1:37">
      <c r="A734" t="s">
        <v>2275</v>
      </c>
      <c r="B734" s="5">
        <v>45624</v>
      </c>
      <c r="C734" s="5">
        <v>45632</v>
      </c>
      <c r="D734" s="6">
        <f>IF(AND(C734&lt;&gt;"",B734&lt;&gt;""), C734-B734, "Missing Date")</f>
        <v>8</v>
      </c>
      <c r="E734" s="6" t="str">
        <f>IF(OR(B734="",C734=""), "Missing Date",
    IF(C734&lt;B734, "Invalid: Ship before Order",
      "OK"))</f>
        <v>OK</v>
      </c>
      <c r="F734" t="s">
        <v>2276</v>
      </c>
      <c r="G734" t="s">
        <v>53</v>
      </c>
      <c r="H734" t="s">
        <v>37</v>
      </c>
      <c r="I734" t="s">
        <v>25</v>
      </c>
      <c r="J734" t="s">
        <v>122</v>
      </c>
      <c r="K734" t="s">
        <v>123</v>
      </c>
      <c r="L734" t="s">
        <v>74</v>
      </c>
      <c r="M734" t="s">
        <v>171</v>
      </c>
      <c r="N734" t="s">
        <v>2277</v>
      </c>
      <c r="O734" t="s">
        <v>59</v>
      </c>
      <c r="P734">
        <v>6</v>
      </c>
      <c r="Q734">
        <v>2464.63</v>
      </c>
      <c r="R734">
        <v>0</v>
      </c>
      <c r="S734">
        <v>14787.78</v>
      </c>
      <c r="T734">
        <v>8596.65</v>
      </c>
      <c r="U734">
        <v>6191.13</v>
      </c>
      <c r="V734" t="s">
        <v>32</v>
      </c>
      <c r="W734" t="s">
        <v>33</v>
      </c>
      <c r="X734" t="str">
        <f>_xlfn.TEXTJOIN("|", TRUE, A734:W734)</f>
        <v>ORD-2024-10733|45624|45632|8|OK|CUST-4973|Arjun Bose|Small Business|North|Punjab|Ludhiana|Technology|Phones|Max Phones 678|Standard Class|6|2464.63|0|14787.78|8596.65|6191.13|Paid|Completed</v>
      </c>
      <c r="Y734">
        <f>COUNTIF($X$2:$X$1000, X734)</f>
        <v>1</v>
      </c>
      <c r="Z734">
        <f>COUNTIF($A$2:$A$1000, A734)</f>
        <v>1</v>
      </c>
      <c r="AA734" t="str">
        <f>IF(Y734&gt;1, "Exact Duplicate",
  IF(Z734&gt;1, "Conflicting Duplicate - Review",
    "Unique"))</f>
        <v>Unique</v>
      </c>
      <c r="AB734" s="2">
        <f>IF(ISBLANK(R734), 0, IF(ISTEXT(R734), VALUE(SUBSTITUTE(R734, "%", ""))/100, IF(OR(R734&lt;0, R734&gt;1), "Invalid", R734)))</f>
        <v>0</v>
      </c>
      <c r="AC734" s="4">
        <f>IF(AB734="Invalid", "Error", P734 * Q734 * (1 - AB734))</f>
        <v>14787.78</v>
      </c>
      <c r="AD734" s="4">
        <f>IF(AC734="Error", "Error", AC734 - T734)</f>
        <v>6191.130000000001</v>
      </c>
      <c r="AE734" s="2">
        <f>IF(AC734="Error", "Error", IF(AC734=0, 0, AD734 / AC734))</f>
        <v>0.41866527632950995</v>
      </c>
      <c r="AF734" s="7">
        <f>C734-B734</f>
        <v>8</v>
      </c>
      <c r="AG734" s="2" t="str">
        <f>TEXT(B734, "mmmm")</f>
        <v>November</v>
      </c>
      <c r="AH734" s="4">
        <f>YEAR(B734)</f>
        <v>2024</v>
      </c>
      <c r="AI734" s="2" t="str">
        <f t="shared" si="25"/>
        <v>Clean</v>
      </c>
      <c r="AJ734">
        <f>COUNTIFS($A$2:$A$1000,A734,$B$2:$B$1000,B734,$C$2:$C$1000,C734,$D$2:$D$1000,D734,$E$2:$E$1000,E734,$F$2:$F$1000,F734)</f>
        <v>1</v>
      </c>
      <c r="AK734">
        <f>COUNTIF($A$2:$A$1000, A734)</f>
        <v>1</v>
      </c>
    </row>
    <row r="735" spans="1:37">
      <c r="A735" t="s">
        <v>2278</v>
      </c>
      <c r="B735" s="5">
        <v>45464</v>
      </c>
      <c r="C735" s="5">
        <v>45471</v>
      </c>
      <c r="D735" s="6">
        <f>IF(AND(C735&lt;&gt;"",B735&lt;&gt;""), C735-B735, "Missing Date")</f>
        <v>7</v>
      </c>
      <c r="E735" s="6" t="str">
        <f>IF(OR(B735="",C735=""), "Missing Date",
    IF(C735&lt;B735, "Invalid: Ship before Order",
      "OK"))</f>
        <v>OK</v>
      </c>
      <c r="F735" t="s">
        <v>2279</v>
      </c>
      <c r="G735" t="s">
        <v>128</v>
      </c>
      <c r="H735" t="s">
        <v>95</v>
      </c>
      <c r="I735" t="s">
        <v>25</v>
      </c>
      <c r="J735" t="s">
        <v>26</v>
      </c>
      <c r="K735" t="s">
        <v>27</v>
      </c>
      <c r="L735" t="s">
        <v>41</v>
      </c>
      <c r="M735" t="s">
        <v>57</v>
      </c>
      <c r="N735" t="s">
        <v>2280</v>
      </c>
      <c r="O735" t="s">
        <v>50</v>
      </c>
      <c r="P735">
        <v>9</v>
      </c>
      <c r="Q735">
        <v>2797.96</v>
      </c>
      <c r="R735">
        <v>0</v>
      </c>
      <c r="S735">
        <v>25181.64</v>
      </c>
      <c r="T735">
        <v>15337.9</v>
      </c>
      <c r="U735">
        <v>9843.74</v>
      </c>
      <c r="V735" t="s">
        <v>32</v>
      </c>
      <c r="W735" t="s">
        <v>33</v>
      </c>
      <c r="X735" t="str">
        <f>_xlfn.TEXTJOIN("|", TRUE, A735:W735)</f>
        <v>ORD-2024-10734|45464|45471|7|OK|CUST-2394|Aarav Sharma|Home Office|North|Rajasthan|Jaipur|Furniture|Furnishings|Classic Furnishings 582|First Class|9|2797.96|0|25181.64|15337.9|9843.74|Paid|Completed</v>
      </c>
      <c r="Y735">
        <f>COUNTIF($X$2:$X$1000, X735)</f>
        <v>1</v>
      </c>
      <c r="Z735">
        <f>COUNTIF($A$2:$A$1000, A735)</f>
        <v>1</v>
      </c>
      <c r="AA735" t="str">
        <f>IF(Y735&gt;1, "Exact Duplicate",
  IF(Z735&gt;1, "Conflicting Duplicate - Review",
    "Unique"))</f>
        <v>Unique</v>
      </c>
      <c r="AB735" s="2">
        <f>IF(ISBLANK(R735), 0, IF(ISTEXT(R735), VALUE(SUBSTITUTE(R735, "%", ""))/100, IF(OR(R735&lt;0, R735&gt;1), "Invalid", R735)))</f>
        <v>0</v>
      </c>
      <c r="AC735" s="4">
        <f>IF(AB735="Invalid", "Error", P735 * Q735 * (1 - AB735))</f>
        <v>25181.64</v>
      </c>
      <c r="AD735" s="4">
        <f>IF(AC735="Error", "Error", AC735 - T735)</f>
        <v>9843.74</v>
      </c>
      <c r="AE735" s="2">
        <f>IF(AC735="Error", "Error", IF(AC735=0, 0, AD735 / AC735))</f>
        <v>0.39090940860086953</v>
      </c>
      <c r="AF735" s="7">
        <f>C735-B735</f>
        <v>7</v>
      </c>
      <c r="AG735" s="2" t="str">
        <f>TEXT(B735, "mmmm")</f>
        <v>June</v>
      </c>
      <c r="AH735" s="4">
        <f>YEAR(B735)</f>
        <v>2024</v>
      </c>
      <c r="AI735" s="2" t="str">
        <f t="shared" si="25"/>
        <v>Clean</v>
      </c>
      <c r="AJ735">
        <f>COUNTIFS($A$2:$A$1000,A735,$B$2:$B$1000,B735,$C$2:$C$1000,C735,$D$2:$D$1000,D735,$E$2:$E$1000,E735,$F$2:$F$1000,F735)</f>
        <v>1</v>
      </c>
      <c r="AK735">
        <f>COUNTIF($A$2:$A$1000, A735)</f>
        <v>1</v>
      </c>
    </row>
    <row r="736" spans="1:37">
      <c r="A736" t="s">
        <v>2281</v>
      </c>
      <c r="B736" s="5">
        <v>45528</v>
      </c>
      <c r="C736" s="5">
        <v>45528</v>
      </c>
      <c r="D736" s="6">
        <f>IF(AND(C736&lt;&gt;"",B736&lt;&gt;""), C736-B736, "Missing Date")</f>
        <v>0</v>
      </c>
      <c r="E736" s="6" t="str">
        <f>IF(OR(B736="",C736=""), "Missing Date",
    IF(C736&lt;B736, "Invalid: Ship before Order",
      "OK"))</f>
        <v>OK</v>
      </c>
      <c r="F736" t="s">
        <v>2282</v>
      </c>
      <c r="G736" t="s">
        <v>62</v>
      </c>
      <c r="H736" t="s">
        <v>37</v>
      </c>
      <c r="I736" t="s">
        <v>25</v>
      </c>
      <c r="J736" t="s">
        <v>26</v>
      </c>
      <c r="K736" t="s">
        <v>27</v>
      </c>
      <c r="L736" t="s">
        <v>74</v>
      </c>
      <c r="M736" t="s">
        <v>75</v>
      </c>
      <c r="N736" t="s">
        <v>2283</v>
      </c>
      <c r="O736" t="s">
        <v>50</v>
      </c>
      <c r="P736">
        <v>4</v>
      </c>
      <c r="Q736">
        <v>2761.86</v>
      </c>
      <c r="R736">
        <v>0.2</v>
      </c>
      <c r="S736">
        <v>8837.9500000000007</v>
      </c>
      <c r="T736">
        <v>6157.27</v>
      </c>
      <c r="U736">
        <v>2680.68</v>
      </c>
      <c r="V736" t="s">
        <v>32</v>
      </c>
      <c r="W736" t="s">
        <v>33</v>
      </c>
      <c r="X736" t="str">
        <f>_xlfn.TEXTJOIN("|", TRUE, A736:W736)</f>
        <v>ORD-2024-10735|45528|45528|0|OK|CUST-5406|Ananya Rao|Small Business|North|Rajasthan|Jaipur|Technology|Accessories|Classic Accessories 981|First Class|4|2761.86|0.2|8837.95|6157.27|2680.68|Paid|Completed</v>
      </c>
      <c r="Y736">
        <f>COUNTIF($X$2:$X$1000, X736)</f>
        <v>1</v>
      </c>
      <c r="Z736">
        <f>COUNTIF($A$2:$A$1000, A736)</f>
        <v>1</v>
      </c>
      <c r="AA736" t="str">
        <f>IF(Y736&gt;1, "Exact Duplicate",
  IF(Z736&gt;1, "Conflicting Duplicate - Review",
    "Unique"))</f>
        <v>Unique</v>
      </c>
      <c r="AB736" s="2">
        <f>IF(ISBLANK(R736), 0, IF(ISTEXT(R736), VALUE(SUBSTITUTE(R736, "%", ""))/100, IF(OR(R736&lt;0, R736&gt;1), "Invalid", R736)))</f>
        <v>0.2</v>
      </c>
      <c r="AC736" s="4">
        <f>IF(AB736="Invalid", "Error", P736 * Q736 * (1 - AB736))</f>
        <v>8837.9520000000011</v>
      </c>
      <c r="AD736" s="4">
        <f>IF(AC736="Error", "Error", AC736 - T736)</f>
        <v>2680.6820000000007</v>
      </c>
      <c r="AE736" s="2">
        <f>IF(AC736="Error", "Error", IF(AC736=0, 0, AD736 / AC736))</f>
        <v>0.30331484036120587</v>
      </c>
      <c r="AF736" s="7">
        <f>C736-B736</f>
        <v>0</v>
      </c>
      <c r="AG736" s="2" t="str">
        <f>TEXT(B736, "mmmm")</f>
        <v>August</v>
      </c>
      <c r="AH736" s="4">
        <f>YEAR(B736)</f>
        <v>2024</v>
      </c>
      <c r="AI736" s="2" t="str">
        <f t="shared" si="25"/>
        <v>Clean</v>
      </c>
      <c r="AJ736">
        <f>COUNTIFS($A$2:$A$1000,A736,$B$2:$B$1000,B736,$C$2:$C$1000,C736,$D$2:$D$1000,D736,$E$2:$E$1000,E736,$F$2:$F$1000,F736)</f>
        <v>1</v>
      </c>
      <c r="AK736">
        <f>COUNTIF($A$2:$A$1000, A736)</f>
        <v>1</v>
      </c>
    </row>
    <row r="737" spans="1:37">
      <c r="A737" t="s">
        <v>2284</v>
      </c>
      <c r="B737" s="5">
        <v>45515</v>
      </c>
      <c r="C737" s="5">
        <v>45523</v>
      </c>
      <c r="D737" s="6">
        <f>IF(AND(C737&lt;&gt;"",B737&lt;&gt;""), C737-B737, "Missing Date")</f>
        <v>8</v>
      </c>
      <c r="E737" s="6" t="str">
        <f>IF(OR(B737="",C737=""), "Missing Date",
    IF(C737&lt;B737, "Invalid: Ship before Order",
      "OK"))</f>
        <v>OK</v>
      </c>
      <c r="F737" t="s">
        <v>2285</v>
      </c>
      <c r="G737" t="s">
        <v>36</v>
      </c>
      <c r="H737" t="s">
        <v>24</v>
      </c>
      <c r="I737" t="s">
        <v>63</v>
      </c>
      <c r="J737" t="s">
        <v>64</v>
      </c>
      <c r="K737" t="s">
        <v>65</v>
      </c>
      <c r="L737" t="s">
        <v>41</v>
      </c>
      <c r="M737" t="s">
        <v>42</v>
      </c>
      <c r="N737" t="s">
        <v>2286</v>
      </c>
      <c r="O737" t="s">
        <v>59</v>
      </c>
      <c r="P737">
        <v>6</v>
      </c>
      <c r="Q737">
        <v>1515.79</v>
      </c>
      <c r="R737">
        <v>0.2</v>
      </c>
      <c r="S737">
        <v>7275.79</v>
      </c>
      <c r="T737">
        <v>6152.87</v>
      </c>
      <c r="U737">
        <v>1122.92</v>
      </c>
      <c r="V737" t="s">
        <v>32</v>
      </c>
      <c r="W737" t="s">
        <v>33</v>
      </c>
      <c r="X737" t="str">
        <f>_xlfn.TEXTJOIN("|", TRUE, A737:W737)</f>
        <v>ORD-2024-10736|45515|45523|8|OK|CUST-1963|Mira Das|Consumer|West|Maharashtra|Mumbai|Furniture|Tables|Classic Tables 534|Standard Class|6|1515.79|0.2|7275.79|6152.87|1122.92|Paid|Completed</v>
      </c>
      <c r="Y737">
        <f>COUNTIF($X$2:$X$1000, X737)</f>
        <v>1</v>
      </c>
      <c r="Z737">
        <f>COUNTIF($A$2:$A$1000, A737)</f>
        <v>1</v>
      </c>
      <c r="AA737" t="str">
        <f>IF(Y737&gt;1, "Exact Duplicate",
  IF(Z737&gt;1, "Conflicting Duplicate - Review",
    "Unique"))</f>
        <v>Unique</v>
      </c>
      <c r="AB737" s="2">
        <f>IF(ISBLANK(R737), 0, IF(ISTEXT(R737), VALUE(SUBSTITUTE(R737, "%", ""))/100, IF(OR(R737&lt;0, R737&gt;1), "Invalid", R737)))</f>
        <v>0.2</v>
      </c>
      <c r="AC737" s="4">
        <f>IF(AB737="Invalid", "Error", P737 * Q737 * (1 - AB737))</f>
        <v>7275.7920000000004</v>
      </c>
      <c r="AD737" s="4">
        <f>IF(AC737="Error", "Error", AC737 - T737)</f>
        <v>1122.9220000000005</v>
      </c>
      <c r="AE737" s="2">
        <f>IF(AC737="Error", "Error", IF(AC737=0, 0, AD737 / AC737))</f>
        <v>0.15433673749881804</v>
      </c>
      <c r="AF737" s="7">
        <f>C737-B737</f>
        <v>8</v>
      </c>
      <c r="AG737" s="2" t="str">
        <f>TEXT(B737, "mmmm")</f>
        <v>August</v>
      </c>
      <c r="AH737" s="4">
        <f>YEAR(B737)</f>
        <v>2024</v>
      </c>
      <c r="AI737" s="2" t="str">
        <f t="shared" si="25"/>
        <v>Clean</v>
      </c>
      <c r="AJ737">
        <f>COUNTIFS($A$2:$A$1000,A737,$B$2:$B$1000,B737,$C$2:$C$1000,C737,$D$2:$D$1000,D737,$E$2:$E$1000,E737,$F$2:$F$1000,F737)</f>
        <v>1</v>
      </c>
      <c r="AK737">
        <f>COUNTIF($A$2:$A$1000, A737)</f>
        <v>1</v>
      </c>
    </row>
    <row r="738" spans="1:37">
      <c r="A738" t="s">
        <v>2287</v>
      </c>
      <c r="B738" s="5">
        <v>45632</v>
      </c>
      <c r="C738" s="5">
        <v>45635</v>
      </c>
      <c r="D738" s="6">
        <f>IF(AND(C738&lt;&gt;"",B738&lt;&gt;""), C738-B738, "Missing Date")</f>
        <v>3</v>
      </c>
      <c r="E738" s="6" t="str">
        <f>IF(OR(B738="",C738=""), "Missing Date",
    IF(C738&lt;B738, "Invalid: Ship before Order",
      "OK"))</f>
        <v>OK</v>
      </c>
      <c r="F738" t="s">
        <v>2288</v>
      </c>
      <c r="G738" t="s">
        <v>89</v>
      </c>
      <c r="H738" t="s">
        <v>24</v>
      </c>
      <c r="I738" t="s">
        <v>63</v>
      </c>
      <c r="J738" t="s">
        <v>64</v>
      </c>
      <c r="K738" t="s">
        <v>65</v>
      </c>
      <c r="L738" t="s">
        <v>41</v>
      </c>
      <c r="M738" t="s">
        <v>66</v>
      </c>
      <c r="N738" t="s">
        <v>2289</v>
      </c>
      <c r="O738" t="s">
        <v>31</v>
      </c>
      <c r="P738">
        <v>9</v>
      </c>
      <c r="Q738">
        <v>290.75</v>
      </c>
      <c r="R738">
        <v>0.1</v>
      </c>
      <c r="S738">
        <v>2355.08</v>
      </c>
      <c r="T738">
        <v>1350.03</v>
      </c>
      <c r="U738">
        <v>1005.05</v>
      </c>
      <c r="V738" t="s">
        <v>32</v>
      </c>
      <c r="W738" t="s">
        <v>33</v>
      </c>
      <c r="X738" t="str">
        <f>_xlfn.TEXTJOIN("|", TRUE, A738:W738)</f>
        <v>ORD-2024-10737|45632|45635|3|OK|CUST-9017|Aditi Sen|Consumer|West|Maharashtra|Mumbai|Furniture|Chairs|Pro Chairs 383|Second Class|9|290.75|0.1|2355.08|1350.03|1005.05|Paid|Completed</v>
      </c>
      <c r="Y738">
        <f>COUNTIF($X$2:$X$1000, X738)</f>
        <v>1</v>
      </c>
      <c r="Z738">
        <f>COUNTIF($A$2:$A$1000, A738)</f>
        <v>1</v>
      </c>
      <c r="AA738" t="str">
        <f>IF(Y738&gt;1, "Exact Duplicate",
  IF(Z738&gt;1, "Conflicting Duplicate - Review",
    "Unique"))</f>
        <v>Unique</v>
      </c>
      <c r="AB738" s="2">
        <f>IF(ISBLANK(R738), 0, IF(ISTEXT(R738), VALUE(SUBSTITUTE(R738, "%", ""))/100, IF(OR(R738&lt;0, R738&gt;1), "Invalid", R738)))</f>
        <v>0.1</v>
      </c>
      <c r="AC738" s="4">
        <f>IF(AB738="Invalid", "Error", P738 * Q738 * (1 - AB738))</f>
        <v>2355.0750000000003</v>
      </c>
      <c r="AD738" s="4">
        <f>IF(AC738="Error", "Error", AC738 - T738)</f>
        <v>1005.0450000000003</v>
      </c>
      <c r="AE738" s="2">
        <f>IF(AC738="Error", "Error", IF(AC738=0, 0, AD738 / AC738))</f>
        <v>0.42675710964618968</v>
      </c>
      <c r="AF738" s="7">
        <f>C738-B738</f>
        <v>3</v>
      </c>
      <c r="AG738" s="2" t="str">
        <f>TEXT(B738, "mmmm")</f>
        <v>December</v>
      </c>
      <c r="AH738" s="4">
        <f>YEAR(B738)</f>
        <v>2024</v>
      </c>
      <c r="AI738" s="2" t="str">
        <f t="shared" si="25"/>
        <v>Clean</v>
      </c>
      <c r="AJ738">
        <f>COUNTIFS($A$2:$A$1000,A738,$B$2:$B$1000,B738,$C$2:$C$1000,C738,$D$2:$D$1000,D738,$E$2:$E$1000,E738,$F$2:$F$1000,F738)</f>
        <v>1</v>
      </c>
      <c r="AK738">
        <f>COUNTIF($A$2:$A$1000, A738)</f>
        <v>1</v>
      </c>
    </row>
    <row r="739" spans="1:37">
      <c r="A739" t="s">
        <v>2290</v>
      </c>
      <c r="B739" s="5">
        <v>45332</v>
      </c>
      <c r="C739" s="5">
        <v>45332</v>
      </c>
      <c r="D739" s="6">
        <f>IF(AND(C739&lt;&gt;"",B739&lt;&gt;""), C739-B739, "Missing Date")</f>
        <v>0</v>
      </c>
      <c r="E739" s="6" t="str">
        <f>IF(OR(B739="",C739=""), "Missing Date",
    IF(C739&lt;B739, "Invalid: Ship before Order",
      "OK"))</f>
        <v>OK</v>
      </c>
      <c r="F739" t="s">
        <v>2291</v>
      </c>
      <c r="G739" t="s">
        <v>47</v>
      </c>
      <c r="H739" t="s">
        <v>95</v>
      </c>
      <c r="I739" t="s">
        <v>63</v>
      </c>
      <c r="J739" t="s">
        <v>64</v>
      </c>
      <c r="K739" t="s">
        <v>65</v>
      </c>
      <c r="L739" t="s">
        <v>41</v>
      </c>
      <c r="M739" t="s">
        <v>66</v>
      </c>
      <c r="N739" t="s">
        <v>2292</v>
      </c>
      <c r="O739" t="s">
        <v>44</v>
      </c>
      <c r="P739">
        <v>6</v>
      </c>
      <c r="Q739">
        <v>601.52</v>
      </c>
      <c r="R739">
        <v>0</v>
      </c>
      <c r="S739">
        <v>3609.12</v>
      </c>
      <c r="T739">
        <v>2645.5</v>
      </c>
      <c r="U739">
        <v>963.62</v>
      </c>
      <c r="V739" t="s">
        <v>32</v>
      </c>
      <c r="W739" t="s">
        <v>33</v>
      </c>
      <c r="X739" t="str">
        <f>_xlfn.TEXTJOIN("|", TRUE, A739:W739)</f>
        <v>ORD-2024-10738|45332|45332|0|OK|CUST-7967|Isha Nair|Home Office|West|Maharashtra|Mumbai|Furniture|Chairs|Max Chairs 845|Same Day|6|601.52|0|3609.12|2645.5|963.62|Paid|Completed</v>
      </c>
      <c r="Y739">
        <f>COUNTIF($X$2:$X$1000, X739)</f>
        <v>1</v>
      </c>
      <c r="Z739">
        <f>COUNTIF($A$2:$A$1000, A739)</f>
        <v>1</v>
      </c>
      <c r="AA739" t="str">
        <f>IF(Y739&gt;1, "Exact Duplicate",
  IF(Z739&gt;1, "Conflicting Duplicate - Review",
    "Unique"))</f>
        <v>Unique</v>
      </c>
      <c r="AB739" s="2">
        <f>IF(ISBLANK(R739), 0, IF(ISTEXT(R739), VALUE(SUBSTITUTE(R739, "%", ""))/100, IF(OR(R739&lt;0, R739&gt;1), "Invalid", R739)))</f>
        <v>0</v>
      </c>
      <c r="AC739" s="4">
        <f>IF(AB739="Invalid", "Error", P739 * Q739 * (1 - AB739))</f>
        <v>3609.12</v>
      </c>
      <c r="AD739" s="4">
        <f>IF(AC739="Error", "Error", AC739 - T739)</f>
        <v>963.61999999999989</v>
      </c>
      <c r="AE739" s="2">
        <f>IF(AC739="Error", "Error", IF(AC739=0, 0, AD739 / AC739))</f>
        <v>0.2669958327791816</v>
      </c>
      <c r="AF739" s="7">
        <f>C739-B739</f>
        <v>0</v>
      </c>
      <c r="AG739" s="2" t="str">
        <f>TEXT(B739, "mmmm")</f>
        <v>February</v>
      </c>
      <c r="AH739" s="4">
        <f>YEAR(B739)</f>
        <v>2024</v>
      </c>
      <c r="AI739" s="2" t="str">
        <f t="shared" si="25"/>
        <v>Clean</v>
      </c>
      <c r="AJ739">
        <f>COUNTIFS($A$2:$A$1000,A739,$B$2:$B$1000,B739,$C$2:$C$1000,C739,$D$2:$D$1000,D739,$E$2:$E$1000,E739,$F$2:$F$1000,F739)</f>
        <v>1</v>
      </c>
      <c r="AK739">
        <f>COUNTIF($A$2:$A$1000, A739)</f>
        <v>1</v>
      </c>
    </row>
    <row r="740" spans="1:37">
      <c r="A740" t="s">
        <v>2293</v>
      </c>
      <c r="B740" s="5">
        <v>45708</v>
      </c>
      <c r="C740" s="5">
        <v>45710</v>
      </c>
      <c r="D740" s="6">
        <f>IF(AND(C740&lt;&gt;"",B740&lt;&gt;""), C740-B740, "Missing Date")</f>
        <v>2</v>
      </c>
      <c r="E740" s="6" t="str">
        <f>IF(OR(B740="",C740=""), "Missing Date",
    IF(C740&lt;B740, "Invalid: Ship before Order",
      "OK"))</f>
        <v>OK</v>
      </c>
      <c r="F740" t="s">
        <v>2294</v>
      </c>
      <c r="G740" t="s">
        <v>114</v>
      </c>
      <c r="H740" t="s">
        <v>90</v>
      </c>
      <c r="I740" t="s">
        <v>54</v>
      </c>
      <c r="J740" t="s">
        <v>185</v>
      </c>
      <c r="K740" t="s">
        <v>186</v>
      </c>
      <c r="L740" t="s">
        <v>28</v>
      </c>
      <c r="M740" t="s">
        <v>29</v>
      </c>
      <c r="N740" t="s">
        <v>2295</v>
      </c>
      <c r="O740" t="s">
        <v>50</v>
      </c>
      <c r="P740">
        <v>1</v>
      </c>
      <c r="Q740">
        <v>2188.19</v>
      </c>
      <c r="R740">
        <v>0</v>
      </c>
      <c r="S740">
        <v>2188.19</v>
      </c>
      <c r="T740">
        <v>1298.8399999999999</v>
      </c>
      <c r="U740">
        <v>889.35</v>
      </c>
      <c r="V740" t="s">
        <v>32</v>
      </c>
      <c r="W740" t="s">
        <v>33</v>
      </c>
      <c r="X740" t="str">
        <f>_xlfn.TEXTJOIN("|", TRUE, A740:W740)</f>
        <v>ORD-2025-10739|45708|45710|2|OK|CUST-5334|Priya Menon|Corporate|South|Kerala|Kochi|Office Supplies|Paper|Prime Paper 307|First Class|1|2188.19|0|2188.19|1298.84|889.35|Paid|Completed</v>
      </c>
      <c r="Y740">
        <f>COUNTIF($X$2:$X$1000, X740)</f>
        <v>1</v>
      </c>
      <c r="Z740">
        <f>COUNTIF($A$2:$A$1000, A740)</f>
        <v>1</v>
      </c>
      <c r="AA740" t="str">
        <f>IF(Y740&gt;1, "Exact Duplicate",
  IF(Z740&gt;1, "Conflicting Duplicate - Review",
    "Unique"))</f>
        <v>Unique</v>
      </c>
      <c r="AB740" s="2">
        <f>IF(ISBLANK(R740), 0, IF(ISTEXT(R740), VALUE(SUBSTITUTE(R740, "%", ""))/100, IF(OR(R740&lt;0, R740&gt;1), "Invalid", R740)))</f>
        <v>0</v>
      </c>
      <c r="AC740" s="4">
        <f>IF(AB740="Invalid", "Error", P740 * Q740 * (1 - AB740))</f>
        <v>2188.19</v>
      </c>
      <c r="AD740" s="4">
        <f>IF(AC740="Error", "Error", AC740 - T740)</f>
        <v>889.35000000000014</v>
      </c>
      <c r="AE740" s="2">
        <f>IF(AC740="Error", "Error", IF(AC740=0, 0, AD740 / AC740))</f>
        <v>0.40643179979800664</v>
      </c>
      <c r="AF740" s="7">
        <f>C740-B740</f>
        <v>2</v>
      </c>
      <c r="AG740" s="2" t="str">
        <f>TEXT(B740, "mmmm")</f>
        <v>February</v>
      </c>
      <c r="AH740" s="4">
        <f>YEAR(B740)</f>
        <v>2025</v>
      </c>
      <c r="AI740" s="2" t="str">
        <f t="shared" si="25"/>
        <v>Clean</v>
      </c>
      <c r="AJ740">
        <f>COUNTIFS($A$2:$A$1000,A740,$B$2:$B$1000,B740,$C$2:$C$1000,C740,$D$2:$D$1000,D740,$E$2:$E$1000,E740,$F$2:$F$1000,F740)</f>
        <v>1</v>
      </c>
      <c r="AK740">
        <f>COUNTIF($A$2:$A$1000, A740)</f>
        <v>1</v>
      </c>
    </row>
    <row r="741" spans="1:37">
      <c r="A741" t="s">
        <v>2296</v>
      </c>
      <c r="B741" s="5">
        <v>45629</v>
      </c>
      <c r="C741" s="5">
        <v>45577</v>
      </c>
      <c r="D741" s="6">
        <f>IF(AND(C741&lt;&gt;"",B741&lt;&gt;""), C741-B741, "Missing Date")</f>
        <v>-52</v>
      </c>
      <c r="E741" s="6" t="str">
        <f>IF(OR(B741="",C741=""), "Missing Date",
    IF(C741&lt;B741, "Invalid: Ship before Order",
      "OK"))</f>
        <v>Invalid: Ship before Order</v>
      </c>
      <c r="F741" t="s">
        <v>2297</v>
      </c>
      <c r="G741" t="s">
        <v>79</v>
      </c>
      <c r="H741" t="s">
        <v>90</v>
      </c>
      <c r="I741" t="s">
        <v>25</v>
      </c>
      <c r="J741" t="s">
        <v>26</v>
      </c>
      <c r="K741" t="s">
        <v>27</v>
      </c>
      <c r="L741" t="s">
        <v>74</v>
      </c>
      <c r="M741" t="s">
        <v>171</v>
      </c>
      <c r="N741" t="s">
        <v>2298</v>
      </c>
      <c r="O741" t="s">
        <v>59</v>
      </c>
      <c r="P741">
        <v>5</v>
      </c>
      <c r="Q741">
        <v>2393.86</v>
      </c>
      <c r="R741">
        <v>0.05</v>
      </c>
      <c r="S741">
        <v>11370.84</v>
      </c>
      <c r="T741">
        <v>7469.58</v>
      </c>
      <c r="U741">
        <v>3901.26</v>
      </c>
      <c r="V741" t="s">
        <v>32</v>
      </c>
      <c r="W741" t="s">
        <v>33</v>
      </c>
      <c r="X741" t="str">
        <f>_xlfn.TEXTJOIN("|", TRUE, A741:W741)</f>
        <v>ORD-2024-10740|45629|45577|-52|Invalid: Ship before Order|CUST-5846|Neha Gupta|Corporate|North|Rajasthan|Jaipur|Technology|Phones|Basic Phones 859|Standard Class|5|2393.86|0.05|11370.84|7469.58|3901.26|Paid|Completed</v>
      </c>
      <c r="Y741">
        <f>COUNTIF($X$2:$X$1000, X741)</f>
        <v>1</v>
      </c>
      <c r="Z741">
        <f>COUNTIF($A$2:$A$1000, A741)</f>
        <v>1</v>
      </c>
      <c r="AA741" t="str">
        <f>IF(Y741&gt;1, "Exact Duplicate",
  IF(Z741&gt;1, "Conflicting Duplicate - Review",
    "Unique"))</f>
        <v>Unique</v>
      </c>
      <c r="AB741" s="2">
        <f>IF(ISBLANK(R741), 0, IF(ISTEXT(R741), VALUE(SUBSTITUTE(R741, "%", ""))/100, IF(OR(R741&lt;0, R741&gt;1), "Invalid", R741)))</f>
        <v>0.05</v>
      </c>
      <c r="AC741" s="4">
        <f>IF(AB741="Invalid", "Error", P741 * Q741 * (1 - AB741))</f>
        <v>11370.835000000001</v>
      </c>
      <c r="AD741" s="4">
        <f>IF(AC741="Error", "Error", AC741 - T741)</f>
        <v>3901.255000000001</v>
      </c>
      <c r="AE741" s="2">
        <f>IF(AC741="Error", "Error", IF(AC741=0, 0, AD741 / AC741))</f>
        <v>0.34309309738466881</v>
      </c>
      <c r="AF741" s="7">
        <f>C741-B741</f>
        <v>-52</v>
      </c>
      <c r="AG741" s="2" t="str">
        <f>TEXT(B741, "mmmm")</f>
        <v>December</v>
      </c>
      <c r="AH741" s="4">
        <f>YEAR(B741)</f>
        <v>2024</v>
      </c>
      <c r="AI741" s="2" t="str">
        <f t="shared" si="25"/>
        <v>Invalid Shipping Record</v>
      </c>
      <c r="AJ741">
        <f>COUNTIFS($A$2:$A$1000,A741,$B$2:$B$1000,B741,$C$2:$C$1000,C741,$D$2:$D$1000,D741,$E$2:$E$1000,E741,$F$2:$F$1000,F741)</f>
        <v>1</v>
      </c>
      <c r="AK741">
        <f>COUNTIF($A$2:$A$1000, A741)</f>
        <v>1</v>
      </c>
    </row>
    <row r="742" spans="1:37">
      <c r="A742" t="s">
        <v>2299</v>
      </c>
      <c r="B742" s="5">
        <v>45384</v>
      </c>
      <c r="C742" s="5">
        <v>45326</v>
      </c>
      <c r="D742" s="6">
        <f>IF(AND(C742&lt;&gt;"",B742&lt;&gt;""), C742-B742, "Missing Date")</f>
        <v>-58</v>
      </c>
      <c r="E742" s="6" t="str">
        <f>IF(OR(B742="",C742=""), "Missing Date",
    IF(C742&lt;B742, "Invalid: Ship before Order",
      "OK"))</f>
        <v>Invalid: Ship before Order</v>
      </c>
      <c r="F742" t="s">
        <v>522</v>
      </c>
      <c r="G742" t="s">
        <v>132</v>
      </c>
      <c r="H742" t="s">
        <v>37</v>
      </c>
      <c r="I742" t="s">
        <v>63</v>
      </c>
      <c r="J742" t="s">
        <v>64</v>
      </c>
      <c r="K742" t="s">
        <v>65</v>
      </c>
      <c r="L742" t="s">
        <v>41</v>
      </c>
      <c r="M742" t="s">
        <v>66</v>
      </c>
      <c r="N742" t="s">
        <v>2300</v>
      </c>
      <c r="O742" t="s">
        <v>50</v>
      </c>
      <c r="P742">
        <v>4</v>
      </c>
      <c r="Q742">
        <v>2583</v>
      </c>
      <c r="R742">
        <v>0.1</v>
      </c>
      <c r="S742">
        <v>9298.7999999999993</v>
      </c>
      <c r="T742">
        <v>6548.5</v>
      </c>
      <c r="U742">
        <v>2750.3</v>
      </c>
      <c r="V742" t="s">
        <v>32</v>
      </c>
      <c r="W742" t="s">
        <v>33</v>
      </c>
      <c r="X742" t="str">
        <f>_xlfn.TEXTJOIN("|", TRUE, A742:W742)</f>
        <v>ORD-2024-10741|45384|45326|-58|Invalid: Ship before Order|CUST-7932|Sneha Kapoor|Small Business|West|Maharashtra|Mumbai|Furniture|Chairs|Eco Chairs 883|First Class|4|2583|0.1|9298.8|6548.5|2750.3|Paid|Completed</v>
      </c>
      <c r="Y742">
        <f>COUNTIF($X$2:$X$1000, X742)</f>
        <v>1</v>
      </c>
      <c r="Z742">
        <f>COUNTIF($A$2:$A$1000, A742)</f>
        <v>1</v>
      </c>
      <c r="AA742" t="str">
        <f>IF(Y742&gt;1, "Exact Duplicate",
  IF(Z742&gt;1, "Conflicting Duplicate - Review",
    "Unique"))</f>
        <v>Unique</v>
      </c>
      <c r="AB742" s="2">
        <f>IF(ISBLANK(R742), 0, IF(ISTEXT(R742), VALUE(SUBSTITUTE(R742, "%", ""))/100, IF(OR(R742&lt;0, R742&gt;1), "Invalid", R742)))</f>
        <v>0.1</v>
      </c>
      <c r="AC742" s="4">
        <f>IF(AB742="Invalid", "Error", P742 * Q742 * (1 - AB742))</f>
        <v>9298.8000000000011</v>
      </c>
      <c r="AD742" s="4">
        <f>IF(AC742="Error", "Error", AC742 - T742)</f>
        <v>2750.3000000000011</v>
      </c>
      <c r="AE742" s="2">
        <f>IF(AC742="Error", "Error", IF(AC742=0, 0, AD742 / AC742))</f>
        <v>0.29576934658235482</v>
      </c>
      <c r="AF742" s="7">
        <f>C742-B742</f>
        <v>-58</v>
      </c>
      <c r="AG742" s="2" t="str">
        <f>TEXT(B742, "mmmm")</f>
        <v>April</v>
      </c>
      <c r="AH742" s="4">
        <f>YEAR(B742)</f>
        <v>2024</v>
      </c>
      <c r="AI742" s="2" t="str">
        <f t="shared" si="25"/>
        <v>Invalid Shipping Record</v>
      </c>
      <c r="AJ742">
        <f>COUNTIFS($A$2:$A$1000,A742,$B$2:$B$1000,B742,$C$2:$C$1000,C742,$D$2:$D$1000,D742,$E$2:$E$1000,E742,$F$2:$F$1000,F742)</f>
        <v>1</v>
      </c>
      <c r="AK742">
        <f>COUNTIF($A$2:$A$1000, A742)</f>
        <v>1</v>
      </c>
    </row>
    <row r="743" spans="1:37">
      <c r="A743" t="s">
        <v>2301</v>
      </c>
      <c r="B743" s="5">
        <v>45770</v>
      </c>
      <c r="C743" s="5">
        <v>45772</v>
      </c>
      <c r="D743" s="6">
        <f>IF(AND(C743&lt;&gt;"",B743&lt;&gt;""), C743-B743, "Missing Date")</f>
        <v>2</v>
      </c>
      <c r="E743" s="6" t="str">
        <f>IF(OR(B743="",C743=""), "Missing Date",
    IF(C743&lt;B743, "Invalid: Ship before Order",
      "OK"))</f>
        <v>OK</v>
      </c>
      <c r="F743" t="s">
        <v>2302</v>
      </c>
      <c r="G743" t="s">
        <v>47</v>
      </c>
      <c r="H743" t="s">
        <v>95</v>
      </c>
      <c r="I743" t="s">
        <v>54</v>
      </c>
      <c r="J743" t="s">
        <v>247</v>
      </c>
      <c r="K743" t="s">
        <v>248</v>
      </c>
      <c r="L743" t="s">
        <v>41</v>
      </c>
      <c r="M743" t="s">
        <v>66</v>
      </c>
      <c r="N743" t="s">
        <v>2303</v>
      </c>
      <c r="O743" t="s">
        <v>31</v>
      </c>
      <c r="P743">
        <v>3</v>
      </c>
      <c r="Q743">
        <v>2951.12</v>
      </c>
      <c r="S743">
        <v>7082.69</v>
      </c>
      <c r="T743">
        <v>5596.34</v>
      </c>
      <c r="U743">
        <v>1486.35</v>
      </c>
      <c r="V743" t="s">
        <v>32</v>
      </c>
      <c r="W743" t="s">
        <v>68</v>
      </c>
      <c r="X743" t="str">
        <f>_xlfn.TEXTJOIN("|", TRUE, A743:W743)</f>
        <v>ORD-2025-10742|45770|45772|2|OK|CUST-3285|Isha Nair|Home Office|South|Tamil Nadu|Chennai|Furniture|Chairs|Max Chairs 706|Second Class|3|2951.12|7082.69|5596.34|1486.35|Paid|Cancelled</v>
      </c>
      <c r="Y743">
        <f>COUNTIF($X$2:$X$1000, X743)</f>
        <v>1</v>
      </c>
      <c r="Z743">
        <f>COUNTIF($A$2:$A$1000, A743)</f>
        <v>1</v>
      </c>
      <c r="AA743" t="str">
        <f>IF(Y743&gt;1, "Exact Duplicate",
  IF(Z743&gt;1, "Conflicting Duplicate - Review",
    "Unique"))</f>
        <v>Unique</v>
      </c>
      <c r="AB743" s="2">
        <f>IF(ISBLANK(R743), 0, IF(ISTEXT(R743), VALUE(SUBSTITUTE(R743, "%", ""))/100, IF(OR(R743&lt;0, R743&gt;1), "Invalid", R743)))</f>
        <v>0</v>
      </c>
      <c r="AC743" s="4">
        <f>IF(AB743="Invalid", "Error", P743 * Q743 * (1 - AB743))</f>
        <v>8853.36</v>
      </c>
      <c r="AD743" s="4">
        <f>IF(AC743="Error", "Error", AC743 - T743)</f>
        <v>3257.0200000000004</v>
      </c>
      <c r="AE743" s="2">
        <f>IF(AC743="Error", "Error", IF(AC743=0, 0, AD743 / AC743))</f>
        <v>0.36788518709280998</v>
      </c>
      <c r="AF743" s="7">
        <f>C743-B743</f>
        <v>2</v>
      </c>
      <c r="AG743" s="2" t="str">
        <f>TEXT(B743, "mmmm")</f>
        <v>April</v>
      </c>
      <c r="AH743" s="4">
        <f>YEAR(B743)</f>
        <v>2025</v>
      </c>
      <c r="AI743" s="2" t="str">
        <f t="shared" si="25"/>
        <v>Excluded from Sales</v>
      </c>
      <c r="AJ743">
        <f>COUNTIFS($A$2:$A$1000,A743,$B$2:$B$1000,B743,$C$2:$C$1000,C743,$D$2:$D$1000,D743,$E$2:$E$1000,E743,$F$2:$F$1000,F743)</f>
        <v>1</v>
      </c>
      <c r="AK743">
        <f>COUNTIF($A$2:$A$1000, A743)</f>
        <v>1</v>
      </c>
    </row>
    <row r="744" spans="1:37">
      <c r="A744" t="s">
        <v>2304</v>
      </c>
      <c r="B744" s="5">
        <v>45580</v>
      </c>
      <c r="C744" s="5">
        <v>45587</v>
      </c>
      <c r="D744" s="6">
        <f>IF(AND(C744&lt;&gt;"",B744&lt;&gt;""), C744-B744, "Missing Date")</f>
        <v>7</v>
      </c>
      <c r="E744" s="6" t="str">
        <f>IF(OR(B744="",C744=""), "Missing Date",
    IF(C744&lt;B744, "Invalid: Ship before Order",
      "OK"))</f>
        <v>OK</v>
      </c>
      <c r="F744" t="s">
        <v>2305</v>
      </c>
      <c r="G744" t="s">
        <v>23</v>
      </c>
      <c r="H744" t="s">
        <v>90</v>
      </c>
      <c r="I744" t="s">
        <v>38</v>
      </c>
      <c r="J744" t="s">
        <v>39</v>
      </c>
      <c r="K744" t="s">
        <v>40</v>
      </c>
      <c r="L744" t="s">
        <v>28</v>
      </c>
      <c r="M744" t="s">
        <v>29</v>
      </c>
      <c r="N744" t="s">
        <v>2306</v>
      </c>
      <c r="O744" t="s">
        <v>59</v>
      </c>
      <c r="P744">
        <v>4</v>
      </c>
      <c r="Q744">
        <v>2260.9499999999998</v>
      </c>
      <c r="R744">
        <v>0</v>
      </c>
      <c r="S744">
        <v>9043.7999999999993</v>
      </c>
      <c r="T744">
        <v>5913.38</v>
      </c>
      <c r="U744">
        <v>3130.42</v>
      </c>
      <c r="V744" t="s">
        <v>32</v>
      </c>
      <c r="W744" t="s">
        <v>33</v>
      </c>
      <c r="X744" t="str">
        <f>_xlfn.TEXTJOIN("|", TRUE, A744:W744)</f>
        <v>ORD-2024-10743|45580|45587|7|OK|CUST-6368|Karan Malhotra|Corporate|East|Odisha|Bhubaneswar|Office Supplies|Paper|Prime Paper 768|Standard Class|4|2260.95|0|9043.8|5913.38|3130.42|Paid|Completed</v>
      </c>
      <c r="Y744">
        <f>COUNTIF($X$2:$X$1000, X744)</f>
        <v>1</v>
      </c>
      <c r="Z744">
        <f>COUNTIF($A$2:$A$1000, A744)</f>
        <v>1</v>
      </c>
      <c r="AA744" t="str">
        <f>IF(Y744&gt;1, "Exact Duplicate",
  IF(Z744&gt;1, "Conflicting Duplicate - Review",
    "Unique"))</f>
        <v>Unique</v>
      </c>
      <c r="AB744" s="2">
        <f>IF(ISBLANK(R744), 0, IF(ISTEXT(R744), VALUE(SUBSTITUTE(R744, "%", ""))/100, IF(OR(R744&lt;0, R744&gt;1), "Invalid", R744)))</f>
        <v>0</v>
      </c>
      <c r="AC744" s="4">
        <f>IF(AB744="Invalid", "Error", P744 * Q744 * (1 - AB744))</f>
        <v>9043.7999999999993</v>
      </c>
      <c r="AD744" s="4">
        <f>IF(AC744="Error", "Error", AC744 - T744)</f>
        <v>3130.4199999999992</v>
      </c>
      <c r="AE744" s="2">
        <f>IF(AC744="Error", "Error", IF(AC744=0, 0, AD744 / AC744))</f>
        <v>0.34613989694597397</v>
      </c>
      <c r="AF744" s="7">
        <f>C744-B744</f>
        <v>7</v>
      </c>
      <c r="AG744" s="2" t="str">
        <f>TEXT(B744, "mmmm")</f>
        <v>October</v>
      </c>
      <c r="AH744" s="4">
        <f>YEAR(B744)</f>
        <v>2024</v>
      </c>
      <c r="AI744" s="2" t="str">
        <f t="shared" si="25"/>
        <v>Clean</v>
      </c>
      <c r="AJ744">
        <f>COUNTIFS($A$2:$A$1000,A744,$B$2:$B$1000,B744,$C$2:$C$1000,C744,$D$2:$D$1000,D744,$E$2:$E$1000,E744,$F$2:$F$1000,F744)</f>
        <v>1</v>
      </c>
      <c r="AK744">
        <f>COUNTIF($A$2:$A$1000, A744)</f>
        <v>1</v>
      </c>
    </row>
    <row r="745" spans="1:37">
      <c r="A745" t="s">
        <v>2307</v>
      </c>
      <c r="B745" s="5">
        <v>45993</v>
      </c>
      <c r="C745" s="5">
        <v>45702</v>
      </c>
      <c r="D745" s="6">
        <f>IF(AND(C745&lt;&gt;"",B745&lt;&gt;""), C745-B745, "Missing Date")</f>
        <v>-291</v>
      </c>
      <c r="E745" s="6" t="str">
        <f>IF(OR(B745="",C745=""), "Missing Date",
    IF(C745&lt;B745, "Invalid: Ship before Order",
      "OK"))</f>
        <v>Invalid: Ship before Order</v>
      </c>
      <c r="F745" t="s">
        <v>2308</v>
      </c>
      <c r="G745" t="s">
        <v>132</v>
      </c>
      <c r="H745" t="s">
        <v>24</v>
      </c>
      <c r="I745" t="s">
        <v>25</v>
      </c>
      <c r="J745" t="s">
        <v>136</v>
      </c>
      <c r="K745" t="s">
        <v>137</v>
      </c>
      <c r="L745" t="s">
        <v>28</v>
      </c>
      <c r="M745" t="s">
        <v>48</v>
      </c>
      <c r="N745" t="s">
        <v>2309</v>
      </c>
      <c r="O745" t="s">
        <v>59</v>
      </c>
      <c r="P745">
        <v>6</v>
      </c>
      <c r="Q745">
        <v>491.4</v>
      </c>
      <c r="R745">
        <v>0.25</v>
      </c>
      <c r="S745">
        <v>2211.3000000000002</v>
      </c>
      <c r="T745">
        <v>1735.64</v>
      </c>
      <c r="U745">
        <v>475.66</v>
      </c>
      <c r="V745" t="s">
        <v>32</v>
      </c>
      <c r="W745" t="s">
        <v>33</v>
      </c>
      <c r="X745" t="str">
        <f>_xlfn.TEXTJOIN("|", TRUE, A745:W745)</f>
        <v>ORD-2025-10744|45993|45702|-291|Invalid: Ship before Order|CUST-6231|Sneha Kapoor|Consumer|North|Uttar Pradesh|Noida|Office Supplies|Art|Basic Art 764|Standard Class|6|491.4|0.25|2211.3|1735.64|475.66|Paid|Completed</v>
      </c>
      <c r="Y745">
        <f>COUNTIF($X$2:$X$1000, X745)</f>
        <v>1</v>
      </c>
      <c r="Z745">
        <f>COUNTIF($A$2:$A$1000, A745)</f>
        <v>1</v>
      </c>
      <c r="AA745" t="str">
        <f>IF(Y745&gt;1, "Exact Duplicate",
  IF(Z745&gt;1, "Conflicting Duplicate - Review",
    "Unique"))</f>
        <v>Unique</v>
      </c>
      <c r="AB745" s="2">
        <f>IF(ISBLANK(R745), 0, IF(ISTEXT(R745), VALUE(SUBSTITUTE(R745, "%", ""))/100, IF(OR(R745&lt;0, R745&gt;1), "Invalid", R745)))</f>
        <v>0.25</v>
      </c>
      <c r="AC745" s="4">
        <f>IF(AB745="Invalid", "Error", P745 * Q745 * (1 - AB745))</f>
        <v>2211.2999999999997</v>
      </c>
      <c r="AD745" s="4">
        <f>IF(AC745="Error", "Error", AC745 - T745)</f>
        <v>475.65999999999963</v>
      </c>
      <c r="AE745" s="2">
        <f>IF(AC745="Error", "Error", IF(AC745=0, 0, AD745 / AC745))</f>
        <v>0.21510423732645942</v>
      </c>
      <c r="AF745" s="7">
        <f>C745-B745</f>
        <v>-291</v>
      </c>
      <c r="AG745" s="2" t="str">
        <f>TEXT(B745, "mmmm")</f>
        <v>December</v>
      </c>
      <c r="AH745" s="4">
        <f>YEAR(B745)</f>
        <v>2025</v>
      </c>
      <c r="AI745" s="2" t="str">
        <f t="shared" si="25"/>
        <v>Invalid Shipping Record</v>
      </c>
      <c r="AJ745">
        <f>COUNTIFS($A$2:$A$1000,A745,$B$2:$B$1000,B745,$C$2:$C$1000,C745,$D$2:$D$1000,D745,$E$2:$E$1000,E745,$F$2:$F$1000,F745)</f>
        <v>1</v>
      </c>
      <c r="AK745">
        <f>COUNTIF($A$2:$A$1000, A745)</f>
        <v>1</v>
      </c>
    </row>
    <row r="746" spans="1:37">
      <c r="A746" t="s">
        <v>2310</v>
      </c>
      <c r="B746" s="5">
        <v>45886</v>
      </c>
      <c r="C746" s="5">
        <v>45889</v>
      </c>
      <c r="D746" s="6">
        <f>IF(AND(C746&lt;&gt;"",B746&lt;&gt;""), C746-B746, "Missing Date")</f>
        <v>3</v>
      </c>
      <c r="E746" s="6" t="str">
        <f>IF(OR(B746="",C746=""), "Missing Date",
    IF(C746&lt;B746, "Invalid: Ship before Order",
      "OK"))</f>
        <v>OK</v>
      </c>
      <c r="F746" t="s">
        <v>2311</v>
      </c>
      <c r="G746" t="s">
        <v>36</v>
      </c>
      <c r="H746" t="s">
        <v>95</v>
      </c>
      <c r="I746" t="s">
        <v>25</v>
      </c>
      <c r="J746" t="s">
        <v>122</v>
      </c>
      <c r="K746" t="s">
        <v>123</v>
      </c>
      <c r="L746" t="s">
        <v>28</v>
      </c>
      <c r="M746" t="s">
        <v>153</v>
      </c>
      <c r="N746" t="s">
        <v>2312</v>
      </c>
      <c r="O746" t="s">
        <v>50</v>
      </c>
      <c r="P746">
        <v>5</v>
      </c>
      <c r="Q746">
        <v>2701.89</v>
      </c>
      <c r="R746">
        <v>0.1</v>
      </c>
      <c r="S746">
        <v>12158.5</v>
      </c>
      <c r="T746">
        <v>10260.07</v>
      </c>
      <c r="U746">
        <v>1898.43</v>
      </c>
      <c r="V746" t="s">
        <v>32</v>
      </c>
      <c r="W746" t="s">
        <v>68</v>
      </c>
      <c r="X746" t="str">
        <f>_xlfn.TEXTJOIN("|", TRUE, A746:W746)</f>
        <v>ORD-2025-10745|45886|45889|3|OK|CUST-2021|Mira Das|Home Office|North|Punjab|Ludhiana|Office Supplies|Binders|Prime Binders 181|First Class|5|2701.89|0.1|12158.5|10260.07|1898.43|Paid|Cancelled</v>
      </c>
      <c r="Y746">
        <f>COUNTIF($X$2:$X$1000, X746)</f>
        <v>1</v>
      </c>
      <c r="Z746">
        <f>COUNTIF($A$2:$A$1000, A746)</f>
        <v>1</v>
      </c>
      <c r="AA746" t="str">
        <f>IF(Y746&gt;1, "Exact Duplicate",
  IF(Z746&gt;1, "Conflicting Duplicate - Review",
    "Unique"))</f>
        <v>Unique</v>
      </c>
      <c r="AB746" s="2">
        <f>IF(ISBLANK(R746), 0, IF(ISTEXT(R746), VALUE(SUBSTITUTE(R746, "%", ""))/100, IF(OR(R746&lt;0, R746&gt;1), "Invalid", R746)))</f>
        <v>0.1</v>
      </c>
      <c r="AC746" s="4">
        <f>IF(AB746="Invalid", "Error", P746 * Q746 * (1 - AB746))</f>
        <v>12158.504999999999</v>
      </c>
      <c r="AD746" s="4">
        <f>IF(AC746="Error", "Error", AC746 - T746)</f>
        <v>1898.4349999999995</v>
      </c>
      <c r="AE746" s="2">
        <f>IF(AC746="Error", "Error", IF(AC746=0, 0, AD746 / AC746))</f>
        <v>0.15614049589155901</v>
      </c>
      <c r="AF746" s="7">
        <f>C746-B746</f>
        <v>3</v>
      </c>
      <c r="AG746" s="2" t="str">
        <f>TEXT(B746, "mmmm")</f>
        <v>August</v>
      </c>
      <c r="AH746" s="4">
        <f>YEAR(B746)</f>
        <v>2025</v>
      </c>
      <c r="AI746" s="2" t="str">
        <f t="shared" si="25"/>
        <v>Excluded from Sales</v>
      </c>
      <c r="AJ746">
        <f>COUNTIFS($A$2:$A$1000,A746,$B$2:$B$1000,B746,$C$2:$C$1000,C746,$D$2:$D$1000,D746,$E$2:$E$1000,E746,$F$2:$F$1000,F746)</f>
        <v>1</v>
      </c>
      <c r="AK746">
        <f>COUNTIF($A$2:$A$1000, A746)</f>
        <v>1</v>
      </c>
    </row>
    <row r="747" spans="1:37">
      <c r="A747" t="s">
        <v>2313</v>
      </c>
      <c r="B747" s="5">
        <v>45589</v>
      </c>
      <c r="C747" s="5">
        <v>45593</v>
      </c>
      <c r="D747" s="6">
        <f>IF(AND(C747&lt;&gt;"",B747&lt;&gt;""), C747-B747, "Missing Date")</f>
        <v>4</v>
      </c>
      <c r="E747" s="6" t="str">
        <f>IF(OR(B747="",C747=""), "Missing Date",
    IF(C747&lt;B747, "Invalid: Ship before Order",
      "OK"))</f>
        <v>OK</v>
      </c>
      <c r="F747" t="s">
        <v>2314</v>
      </c>
      <c r="G747" t="s">
        <v>36</v>
      </c>
      <c r="H747" t="s">
        <v>37</v>
      </c>
      <c r="I747" t="s">
        <v>38</v>
      </c>
      <c r="J747" t="s">
        <v>166</v>
      </c>
      <c r="K747" t="s">
        <v>167</v>
      </c>
      <c r="L747" t="s">
        <v>74</v>
      </c>
      <c r="M747" t="s">
        <v>80</v>
      </c>
      <c r="N747" t="s">
        <v>2315</v>
      </c>
      <c r="O747" t="s">
        <v>59</v>
      </c>
      <c r="P747">
        <v>3</v>
      </c>
      <c r="Q747">
        <v>723.59</v>
      </c>
      <c r="R747">
        <v>0.2</v>
      </c>
      <c r="S747">
        <v>1736.62</v>
      </c>
      <c r="T747">
        <v>1059.52</v>
      </c>
      <c r="U747">
        <v>677.1</v>
      </c>
      <c r="V747" t="s">
        <v>32</v>
      </c>
      <c r="W747" t="s">
        <v>33</v>
      </c>
      <c r="X747" t="str">
        <f>_xlfn.TEXTJOIN("|", TRUE, A747:W747)</f>
        <v>ORD-2024-10746|45589|45593|4|OK|CUST-1493|Mira Das|Small Business|East|Assam|Guwahati|Technology|Copiers|Max Copiers 866|Standard Class|3|723.59|0.2|1736.62|1059.52|677.1|Paid|Completed</v>
      </c>
      <c r="Y747">
        <f>COUNTIF($X$2:$X$1000, X747)</f>
        <v>1</v>
      </c>
      <c r="Z747">
        <f>COUNTIF($A$2:$A$1000, A747)</f>
        <v>1</v>
      </c>
      <c r="AA747" t="str">
        <f>IF(Y747&gt;1, "Exact Duplicate",
  IF(Z747&gt;1, "Conflicting Duplicate - Review",
    "Unique"))</f>
        <v>Unique</v>
      </c>
      <c r="AB747" s="2">
        <f>IF(ISBLANK(R747), 0, IF(ISTEXT(R747), VALUE(SUBSTITUTE(R747, "%", ""))/100, IF(OR(R747&lt;0, R747&gt;1), "Invalid", R747)))</f>
        <v>0.2</v>
      </c>
      <c r="AC747" s="4">
        <f>IF(AB747="Invalid", "Error", P747 * Q747 * (1 - AB747))</f>
        <v>1736.616</v>
      </c>
      <c r="AD747" s="4">
        <f>IF(AC747="Error", "Error", AC747 - T747)</f>
        <v>677.096</v>
      </c>
      <c r="AE747" s="2">
        <f>IF(AC747="Error", "Error", IF(AC747=0, 0, AD747 / AC747))</f>
        <v>0.38989390861307277</v>
      </c>
      <c r="AF747" s="7">
        <f>C747-B747</f>
        <v>4</v>
      </c>
      <c r="AG747" s="2" t="str">
        <f>TEXT(B747, "mmmm")</f>
        <v>October</v>
      </c>
      <c r="AH747" s="4">
        <f>YEAR(B747)</f>
        <v>2024</v>
      </c>
      <c r="AI747" s="2" t="str">
        <f t="shared" si="25"/>
        <v>Clean</v>
      </c>
      <c r="AJ747">
        <f>COUNTIFS($A$2:$A$1000,A747,$B$2:$B$1000,B747,$C$2:$C$1000,C747,$D$2:$D$1000,D747,$E$2:$E$1000,E747,$F$2:$F$1000,F747)</f>
        <v>1</v>
      </c>
      <c r="AK747">
        <f>COUNTIF($A$2:$A$1000, A747)</f>
        <v>1</v>
      </c>
    </row>
    <row r="748" spans="1:37">
      <c r="A748" t="s">
        <v>2316</v>
      </c>
      <c r="B748" s="5">
        <v>45661</v>
      </c>
      <c r="C748" s="5">
        <v>45667</v>
      </c>
      <c r="D748" s="6">
        <f>IF(AND(C748&lt;&gt;"",B748&lt;&gt;""), C748-B748, "Missing Date")</f>
        <v>6</v>
      </c>
      <c r="E748" s="6" t="str">
        <f>IF(OR(B748="",C748=""), "Missing Date",
    IF(C748&lt;B748, "Invalid: Ship before Order",
      "OK"))</f>
        <v>OK</v>
      </c>
      <c r="F748" t="s">
        <v>2025</v>
      </c>
      <c r="G748" t="s">
        <v>128</v>
      </c>
      <c r="H748" t="s">
        <v>95</v>
      </c>
      <c r="I748" t="s">
        <v>38</v>
      </c>
      <c r="J748" t="s">
        <v>99</v>
      </c>
      <c r="K748" t="s">
        <v>100</v>
      </c>
      <c r="L748" t="s">
        <v>28</v>
      </c>
      <c r="M748" t="s">
        <v>29</v>
      </c>
      <c r="N748" t="s">
        <v>2317</v>
      </c>
      <c r="O748" t="s">
        <v>59</v>
      </c>
      <c r="P748">
        <v>4</v>
      </c>
      <c r="Q748">
        <v>2583.19</v>
      </c>
      <c r="R748">
        <v>0.2</v>
      </c>
      <c r="S748">
        <v>8266.2099999999991</v>
      </c>
      <c r="T748">
        <v>6236.32</v>
      </c>
      <c r="U748">
        <v>2029.89</v>
      </c>
      <c r="V748" t="s">
        <v>32</v>
      </c>
      <c r="W748" t="s">
        <v>33</v>
      </c>
      <c r="X748" t="str">
        <f>_xlfn.TEXTJOIN("|", TRUE, A748:W748)</f>
        <v>ORD-2025-10747|45661|45667|6|OK|CUST-2314|Aarav Sharma|Home Office|East|West Bengal|Kolkata|Office Supplies|Paper|Pro Paper 662|Standard Class|4|2583.19|0.2|8266.21|6236.32|2029.89|Paid|Completed</v>
      </c>
      <c r="Y748">
        <f>COUNTIF($X$2:$X$1000, X748)</f>
        <v>1</v>
      </c>
      <c r="Z748">
        <f>COUNTIF($A$2:$A$1000, A748)</f>
        <v>1</v>
      </c>
      <c r="AA748" t="str">
        <f>IF(Y748&gt;1, "Exact Duplicate",
  IF(Z748&gt;1, "Conflicting Duplicate - Review",
    "Unique"))</f>
        <v>Unique</v>
      </c>
      <c r="AB748" s="2">
        <f>IF(ISBLANK(R748), 0, IF(ISTEXT(R748), VALUE(SUBSTITUTE(R748, "%", ""))/100, IF(OR(R748&lt;0, R748&gt;1), "Invalid", R748)))</f>
        <v>0.2</v>
      </c>
      <c r="AC748" s="4">
        <f>IF(AB748="Invalid", "Error", P748 * Q748 * (1 - AB748))</f>
        <v>8266.2080000000005</v>
      </c>
      <c r="AD748" s="4">
        <f>IF(AC748="Error", "Error", AC748 - T748)</f>
        <v>2029.8880000000008</v>
      </c>
      <c r="AE748" s="2">
        <f>IF(AC748="Error", "Error", IF(AC748=0, 0, AD748 / AC748))</f>
        <v>0.24556459261610653</v>
      </c>
      <c r="AF748" s="7">
        <f>C748-B748</f>
        <v>6</v>
      </c>
      <c r="AG748" s="2" t="str">
        <f>TEXT(B748, "mmmm")</f>
        <v>January</v>
      </c>
      <c r="AH748" s="4">
        <f>YEAR(B748)</f>
        <v>2025</v>
      </c>
      <c r="AI748" s="2" t="str">
        <f t="shared" si="25"/>
        <v>Clean</v>
      </c>
      <c r="AJ748">
        <f>COUNTIFS($A$2:$A$1000,A748,$B$2:$B$1000,B748,$C$2:$C$1000,C748,$D$2:$D$1000,D748,$E$2:$E$1000,E748,$F$2:$F$1000,F748)</f>
        <v>1</v>
      </c>
      <c r="AK748">
        <f>COUNTIF($A$2:$A$1000, A748)</f>
        <v>1</v>
      </c>
    </row>
    <row r="749" spans="1:37">
      <c r="A749" t="s">
        <v>2318</v>
      </c>
      <c r="B749" s="5">
        <v>45413</v>
      </c>
      <c r="C749" s="5">
        <v>45419</v>
      </c>
      <c r="D749" s="6">
        <f>IF(AND(C749&lt;&gt;"",B749&lt;&gt;""), C749-B749, "Missing Date")</f>
        <v>6</v>
      </c>
      <c r="E749" s="6" t="str">
        <f>IF(OR(B749="",C749=""), "Missing Date",
    IF(C749&lt;B749, "Invalid: Ship before Order",
      "OK"))</f>
        <v>OK</v>
      </c>
      <c r="F749" t="s">
        <v>2319</v>
      </c>
      <c r="G749" t="s">
        <v>47</v>
      </c>
      <c r="H749" t="s">
        <v>95</v>
      </c>
      <c r="I749" t="s">
        <v>38</v>
      </c>
      <c r="J749" t="s">
        <v>39</v>
      </c>
      <c r="K749" t="s">
        <v>40</v>
      </c>
      <c r="L749" t="s">
        <v>28</v>
      </c>
      <c r="M749" t="s">
        <v>29</v>
      </c>
      <c r="N749" t="s">
        <v>2320</v>
      </c>
      <c r="O749" t="s">
        <v>44</v>
      </c>
      <c r="P749">
        <v>8</v>
      </c>
      <c r="Q749">
        <v>1473.83</v>
      </c>
      <c r="R749">
        <v>0.15</v>
      </c>
      <c r="S749">
        <v>10022.040000000001</v>
      </c>
      <c r="T749">
        <v>5576.98</v>
      </c>
      <c r="U749">
        <v>4445.0600000000004</v>
      </c>
      <c r="V749" t="s">
        <v>32</v>
      </c>
      <c r="W749" t="s">
        <v>33</v>
      </c>
      <c r="X749" t="str">
        <f>_xlfn.TEXTJOIN("|", TRUE, A749:W749)</f>
        <v>ORD-2024-10748|45413|45419|6|OK|CUST-8416|Isha Nair|Home Office|East|Odisha|Bhubaneswar|Office Supplies|Paper|Classic Paper 388|Same Day|8|1473.83|0.15|10022.04|5576.98|4445.06|Paid|Completed</v>
      </c>
      <c r="Y749">
        <f>COUNTIF($X$2:$X$1000, X749)</f>
        <v>1</v>
      </c>
      <c r="Z749">
        <f>COUNTIF($A$2:$A$1000, A749)</f>
        <v>1</v>
      </c>
      <c r="AA749" t="str">
        <f>IF(Y749&gt;1, "Exact Duplicate",
  IF(Z749&gt;1, "Conflicting Duplicate - Review",
    "Unique"))</f>
        <v>Unique</v>
      </c>
      <c r="AB749" s="2">
        <f>IF(ISBLANK(R749), 0, IF(ISTEXT(R749), VALUE(SUBSTITUTE(R749, "%", ""))/100, IF(OR(R749&lt;0, R749&gt;1), "Invalid", R749)))</f>
        <v>0.15</v>
      </c>
      <c r="AC749" s="4">
        <f>IF(AB749="Invalid", "Error", P749 * Q749 * (1 - AB749))</f>
        <v>10022.044</v>
      </c>
      <c r="AD749" s="4">
        <f>IF(AC749="Error", "Error", AC749 - T749)</f>
        <v>4445.0640000000003</v>
      </c>
      <c r="AE749" s="2">
        <f>IF(AC749="Error", "Error", IF(AC749=0, 0, AD749 / AC749))</f>
        <v>0.44352868536597928</v>
      </c>
      <c r="AF749" s="7">
        <f>C749-B749</f>
        <v>6</v>
      </c>
      <c r="AG749" s="2" t="str">
        <f>TEXT(B749, "mmmm")</f>
        <v>May</v>
      </c>
      <c r="AH749" s="4">
        <f>YEAR(B749)</f>
        <v>2024</v>
      </c>
      <c r="AI749" s="2" t="str">
        <f t="shared" si="25"/>
        <v>Clean</v>
      </c>
      <c r="AJ749">
        <f>COUNTIFS($A$2:$A$1000,A749,$B$2:$B$1000,B749,$C$2:$C$1000,C749,$D$2:$D$1000,D749,$E$2:$E$1000,E749,$F$2:$F$1000,F749)</f>
        <v>1</v>
      </c>
      <c r="AK749">
        <f>COUNTIF($A$2:$A$1000, A749)</f>
        <v>1</v>
      </c>
    </row>
    <row r="750" spans="1:37">
      <c r="A750" t="s">
        <v>2321</v>
      </c>
      <c r="B750" s="5">
        <v>45442</v>
      </c>
      <c r="C750" s="5">
        <v>45442</v>
      </c>
      <c r="D750" s="6">
        <f>IF(AND(C750&lt;&gt;"",B750&lt;&gt;""), C750-B750, "Missing Date")</f>
        <v>0</v>
      </c>
      <c r="E750" s="6" t="str">
        <f>IF(OR(B750="",C750=""), "Missing Date",
    IF(C750&lt;B750, "Invalid: Ship before Order",
      "OK"))</f>
        <v>OK</v>
      </c>
      <c r="F750" t="s">
        <v>2322</v>
      </c>
      <c r="G750" t="s">
        <v>162</v>
      </c>
      <c r="H750" t="s">
        <v>95</v>
      </c>
      <c r="I750" t="s">
        <v>25</v>
      </c>
      <c r="J750" t="s">
        <v>236</v>
      </c>
      <c r="K750" t="s">
        <v>237</v>
      </c>
      <c r="L750" t="s">
        <v>74</v>
      </c>
      <c r="M750" t="s">
        <v>171</v>
      </c>
      <c r="N750" t="s">
        <v>2323</v>
      </c>
      <c r="O750" t="s">
        <v>31</v>
      </c>
      <c r="P750">
        <v>1</v>
      </c>
      <c r="Q750">
        <v>3848.04</v>
      </c>
      <c r="R750">
        <v>0.25</v>
      </c>
      <c r="S750">
        <v>2886.03</v>
      </c>
      <c r="T750">
        <v>2064.83</v>
      </c>
      <c r="U750">
        <v>821.2</v>
      </c>
      <c r="V750" t="s">
        <v>32</v>
      </c>
      <c r="W750" t="s">
        <v>33</v>
      </c>
      <c r="X750" t="str">
        <f>_xlfn.TEXTJOIN("|", TRUE, A750:W750)</f>
        <v>ORD-2024-10749|45442|45442|0|OK|CUST-3103|Diya Patel|Home Office|North|Haryana|Gurugram|Technology|Phones|Pro Phones 765|Second Class|1|3848.04|0.25|2886.03|2064.83|821.2|Paid|Completed</v>
      </c>
      <c r="Y750">
        <f>COUNTIF($X$2:$X$1000, X750)</f>
        <v>1</v>
      </c>
      <c r="Z750">
        <f>COUNTIF($A$2:$A$1000, A750)</f>
        <v>1</v>
      </c>
      <c r="AA750" t="str">
        <f>IF(Y750&gt;1, "Exact Duplicate",
  IF(Z750&gt;1, "Conflicting Duplicate - Review",
    "Unique"))</f>
        <v>Unique</v>
      </c>
      <c r="AB750" s="2">
        <f>IF(ISBLANK(R750), 0, IF(ISTEXT(R750), VALUE(SUBSTITUTE(R750, "%", ""))/100, IF(OR(R750&lt;0, R750&gt;1), "Invalid", R750)))</f>
        <v>0.25</v>
      </c>
      <c r="AC750" s="4">
        <f>IF(AB750="Invalid", "Error", P750 * Q750 * (1 - AB750))</f>
        <v>2886.0299999999997</v>
      </c>
      <c r="AD750" s="4">
        <f>IF(AC750="Error", "Error", AC750 - T750)</f>
        <v>821.19999999999982</v>
      </c>
      <c r="AE750" s="2">
        <f>IF(AC750="Error", "Error", IF(AC750=0, 0, AD750 / AC750))</f>
        <v>0.28454312671732446</v>
      </c>
      <c r="AF750" s="7">
        <f>C750-B750</f>
        <v>0</v>
      </c>
      <c r="AG750" s="2" t="str">
        <f>TEXT(B750, "mmmm")</f>
        <v>May</v>
      </c>
      <c r="AH750" s="4">
        <f>YEAR(B750)</f>
        <v>2024</v>
      </c>
      <c r="AI750" s="2" t="str">
        <f t="shared" si="25"/>
        <v>Clean</v>
      </c>
      <c r="AJ750">
        <f>COUNTIFS($A$2:$A$1000,A750,$B$2:$B$1000,B750,$C$2:$C$1000,C750,$D$2:$D$1000,D750,$E$2:$E$1000,E750,$F$2:$F$1000,F750)</f>
        <v>1</v>
      </c>
      <c r="AK750">
        <f>COUNTIF($A$2:$A$1000, A750)</f>
        <v>1</v>
      </c>
    </row>
    <row r="751" spans="1:37">
      <c r="A751" t="s">
        <v>2324</v>
      </c>
      <c r="B751" s="5">
        <v>45372</v>
      </c>
      <c r="C751" s="5">
        <v>45376</v>
      </c>
      <c r="D751" s="6">
        <f>IF(AND(C751&lt;&gt;"",B751&lt;&gt;""), C751-B751, "Missing Date")</f>
        <v>4</v>
      </c>
      <c r="E751" s="6" t="str">
        <f>IF(OR(B751="",C751=""), "Missing Date",
    IF(C751&lt;B751, "Invalid: Ship before Order",
      "OK"))</f>
        <v>OK</v>
      </c>
      <c r="F751" t="s">
        <v>2325</v>
      </c>
      <c r="G751" t="s">
        <v>89</v>
      </c>
      <c r="H751" t="s">
        <v>95</v>
      </c>
      <c r="I751" t="s">
        <v>38</v>
      </c>
      <c r="J751" t="s">
        <v>166</v>
      </c>
      <c r="K751" t="s">
        <v>167</v>
      </c>
      <c r="L751" t="s">
        <v>74</v>
      </c>
      <c r="M751" t="s">
        <v>274</v>
      </c>
      <c r="N751" t="s">
        <v>2326</v>
      </c>
      <c r="O751" t="s">
        <v>59</v>
      </c>
      <c r="P751">
        <v>1</v>
      </c>
      <c r="Q751">
        <v>1716.7</v>
      </c>
      <c r="R751">
        <v>0.15</v>
      </c>
      <c r="S751">
        <v>1459.19</v>
      </c>
      <c r="T751">
        <v>1055.79</v>
      </c>
      <c r="U751">
        <v>403.4</v>
      </c>
      <c r="V751" t="s">
        <v>32</v>
      </c>
      <c r="W751" t="s">
        <v>33</v>
      </c>
      <c r="X751" t="str">
        <f>_xlfn.TEXTJOIN("|", TRUE, A751:W751)</f>
        <v>ORD-2024-10750|45372|45376|4|OK|CUST-4457|Aditi Sen|Home Office|East|Assam|Guwahati|Technology|Machines|Classic Machines 543|Standard Class|1|1716.7|0.15|1459.19|1055.79|403.4|Paid|Completed</v>
      </c>
      <c r="Y751">
        <f>COUNTIF($X$2:$X$1000, X751)</f>
        <v>1</v>
      </c>
      <c r="Z751">
        <f>COUNTIF($A$2:$A$1000, A751)</f>
        <v>1</v>
      </c>
      <c r="AA751" t="str">
        <f>IF(Y751&gt;1, "Exact Duplicate",
  IF(Z751&gt;1, "Conflicting Duplicate - Review",
    "Unique"))</f>
        <v>Unique</v>
      </c>
      <c r="AB751" s="2">
        <f>IF(ISBLANK(R751), 0, IF(ISTEXT(R751), VALUE(SUBSTITUTE(R751, "%", ""))/100, IF(OR(R751&lt;0, R751&gt;1), "Invalid", R751)))</f>
        <v>0.15</v>
      </c>
      <c r="AC751" s="4">
        <f>IF(AB751="Invalid", "Error", P751 * Q751 * (1 - AB751))</f>
        <v>1459.1949999999999</v>
      </c>
      <c r="AD751" s="4">
        <f>IF(AC751="Error", "Error", AC751 - T751)</f>
        <v>403.40499999999997</v>
      </c>
      <c r="AE751" s="2">
        <f>IF(AC751="Error", "Error", IF(AC751=0, 0, AD751 / AC751))</f>
        <v>0.27645722470266137</v>
      </c>
      <c r="AF751" s="7">
        <f>C751-B751</f>
        <v>4</v>
      </c>
      <c r="AG751" s="2" t="str">
        <f>TEXT(B751, "mmmm")</f>
        <v>March</v>
      </c>
      <c r="AH751" s="4">
        <f>YEAR(B751)</f>
        <v>2024</v>
      </c>
      <c r="AI751" s="2" t="str">
        <f t="shared" si="25"/>
        <v>Clean</v>
      </c>
      <c r="AJ751">
        <f>COUNTIFS($A$2:$A$1000,A751,$B$2:$B$1000,B751,$C$2:$C$1000,C751,$D$2:$D$1000,D751,$E$2:$E$1000,E751,$F$2:$F$1000,F751)</f>
        <v>1</v>
      </c>
      <c r="AK751">
        <f>COUNTIF($A$2:$A$1000, A751)</f>
        <v>1</v>
      </c>
    </row>
    <row r="752" spans="1:37">
      <c r="A752" t="s">
        <v>2327</v>
      </c>
      <c r="B752" s="5">
        <v>45694</v>
      </c>
      <c r="C752" s="5">
        <v>45810</v>
      </c>
      <c r="D752" s="6">
        <f>IF(AND(C752&lt;&gt;"",B752&lt;&gt;""), C752-B752, "Missing Date")</f>
        <v>116</v>
      </c>
      <c r="E752" s="6" t="str">
        <f>IF(OR(B752="",C752=""), "Missing Date",
    IF(C752&lt;B752, "Invalid: Ship before Order",
      "OK"))</f>
        <v>OK</v>
      </c>
      <c r="F752" t="s">
        <v>2328</v>
      </c>
      <c r="G752" t="s">
        <v>128</v>
      </c>
      <c r="H752" t="s">
        <v>95</v>
      </c>
      <c r="I752" t="s">
        <v>54</v>
      </c>
      <c r="J752" t="s">
        <v>55</v>
      </c>
      <c r="K752" t="s">
        <v>56</v>
      </c>
      <c r="L752" t="s">
        <v>74</v>
      </c>
      <c r="M752" t="s">
        <v>75</v>
      </c>
      <c r="N752" t="s">
        <v>2329</v>
      </c>
      <c r="O752" t="s">
        <v>50</v>
      </c>
      <c r="P752">
        <v>8</v>
      </c>
      <c r="Q752">
        <v>3925.93</v>
      </c>
      <c r="R752">
        <v>0.15</v>
      </c>
      <c r="S752">
        <v>26696.32</v>
      </c>
      <c r="T752">
        <v>22724.52</v>
      </c>
      <c r="U752">
        <v>3971.8</v>
      </c>
      <c r="V752" t="s">
        <v>32</v>
      </c>
      <c r="W752" t="s">
        <v>33</v>
      </c>
      <c r="X752" t="str">
        <f>_xlfn.TEXTJOIN("|", TRUE, A752:W752)</f>
        <v>ORD-2025-10751|45694|45810|116|OK|CUST-7036|Aarav Sharma|Home Office|South|Telangana|Hyderabad|Technology|Accessories|Max Accessories 291|First Class|8|3925.93|0.15|26696.32|22724.52|3971.8|Paid|Completed</v>
      </c>
      <c r="Y752">
        <f>COUNTIF($X$2:$X$1000, X752)</f>
        <v>1</v>
      </c>
      <c r="Z752">
        <f>COUNTIF($A$2:$A$1000, A752)</f>
        <v>1</v>
      </c>
      <c r="AA752" t="str">
        <f>IF(Y752&gt;1, "Exact Duplicate",
  IF(Z752&gt;1, "Conflicting Duplicate - Review",
    "Unique"))</f>
        <v>Unique</v>
      </c>
      <c r="AB752" s="2">
        <f>IF(ISBLANK(R752), 0, IF(ISTEXT(R752), VALUE(SUBSTITUTE(R752, "%", ""))/100, IF(OR(R752&lt;0, R752&gt;1), "Invalid", R752)))</f>
        <v>0.15</v>
      </c>
      <c r="AC752" s="4">
        <f>IF(AB752="Invalid", "Error", P752 * Q752 * (1 - AB752))</f>
        <v>26696.323999999997</v>
      </c>
      <c r="AD752" s="4">
        <f>IF(AC752="Error", "Error", AC752 - T752)</f>
        <v>3971.8039999999964</v>
      </c>
      <c r="AE752" s="2">
        <f>IF(AC752="Error", "Error", IF(AC752=0, 0, AD752 / AC752))</f>
        <v>0.14877718745097629</v>
      </c>
      <c r="AF752" s="7">
        <f>C752-B752</f>
        <v>116</v>
      </c>
      <c r="AG752" s="2" t="str">
        <f>TEXT(B752, "mmmm")</f>
        <v>February</v>
      </c>
      <c r="AH752" s="4">
        <f>YEAR(B752)</f>
        <v>2025</v>
      </c>
      <c r="AI752" s="2" t="str">
        <f t="shared" si="25"/>
        <v>Clean</v>
      </c>
      <c r="AJ752">
        <f>COUNTIFS($A$2:$A$1000,A752,$B$2:$B$1000,B752,$C$2:$C$1000,C752,$D$2:$D$1000,D752,$E$2:$E$1000,E752,$F$2:$F$1000,F752)</f>
        <v>1</v>
      </c>
      <c r="AK752">
        <f>COUNTIF($A$2:$A$1000, A752)</f>
        <v>1</v>
      </c>
    </row>
    <row r="753" spans="1:37">
      <c r="A753" t="s">
        <v>2330</v>
      </c>
      <c r="B753" s="5">
        <v>45856</v>
      </c>
      <c r="C753" s="5">
        <v>45857</v>
      </c>
      <c r="D753" s="6">
        <f>IF(AND(C753&lt;&gt;"",B753&lt;&gt;""), C753-B753, "Missing Date")</f>
        <v>1</v>
      </c>
      <c r="E753" s="6" t="str">
        <f>IF(OR(B753="",C753=""), "Missing Date",
    IF(C753&lt;B753, "Invalid: Ship before Order",
      "OK"))</f>
        <v>OK</v>
      </c>
      <c r="F753" t="s">
        <v>2331</v>
      </c>
      <c r="G753" t="s">
        <v>114</v>
      </c>
      <c r="H753" t="s">
        <v>95</v>
      </c>
      <c r="I753" t="s">
        <v>2762</v>
      </c>
      <c r="J753" t="s">
        <v>136</v>
      </c>
      <c r="K753" t="s">
        <v>137</v>
      </c>
      <c r="L753" t="s">
        <v>74</v>
      </c>
      <c r="M753" t="s">
        <v>274</v>
      </c>
      <c r="N753" t="s">
        <v>2332</v>
      </c>
      <c r="O753" t="s">
        <v>2762</v>
      </c>
      <c r="P753">
        <v>3</v>
      </c>
      <c r="Q753">
        <v>2963.25</v>
      </c>
      <c r="R753">
        <v>0.05</v>
      </c>
      <c r="S753">
        <v>8445.26</v>
      </c>
      <c r="T753">
        <v>6937.6</v>
      </c>
      <c r="U753">
        <v>1507.66</v>
      </c>
      <c r="V753" t="s">
        <v>32</v>
      </c>
      <c r="W753" t="s">
        <v>33</v>
      </c>
      <c r="X753" t="str">
        <f>_xlfn.TEXTJOIN("|", TRUE, A753:W753)</f>
        <v>ORD-2025-10752|45856|45857|1|OK|CUST-8512|Priya Menon|Home Office|Unknown|Uttar Pradesh|Noida|Technology|Machines|Eco Machines 414|Unknown|3|2963.25|0.05|8445.26|6937.6|1507.66|Paid|Completed</v>
      </c>
      <c r="Y753">
        <f>COUNTIF($X$2:$X$1000, X753)</f>
        <v>1</v>
      </c>
      <c r="Z753">
        <f>COUNTIF($A$2:$A$1000, A753)</f>
        <v>1</v>
      </c>
      <c r="AA753" t="str">
        <f>IF(Y753&gt;1, "Exact Duplicate",
  IF(Z753&gt;1, "Conflicting Duplicate - Review",
    "Unique"))</f>
        <v>Unique</v>
      </c>
      <c r="AB753" s="2">
        <f>IF(ISBLANK(R753), 0, IF(ISTEXT(R753), VALUE(SUBSTITUTE(R753, "%", ""))/100, IF(OR(R753&lt;0, R753&gt;1), "Invalid", R753)))</f>
        <v>0.05</v>
      </c>
      <c r="AC753" s="4">
        <f>IF(AB753="Invalid", "Error", P753 * Q753 * (1 - AB753))</f>
        <v>8445.2624999999989</v>
      </c>
      <c r="AD753" s="4">
        <f>IF(AC753="Error", "Error", AC753 - T753)</f>
        <v>1507.6624999999985</v>
      </c>
      <c r="AE753" s="2">
        <f>IF(AC753="Error", "Error", IF(AC753=0, 0, AD753 / AC753))</f>
        <v>0.17852168597482893</v>
      </c>
      <c r="AF753" s="7">
        <f>C753-B753</f>
        <v>1</v>
      </c>
      <c r="AG753" s="2" t="str">
        <f>TEXT(B753, "mmmm")</f>
        <v>July</v>
      </c>
      <c r="AH753" s="4">
        <f>YEAR(B753)</f>
        <v>2025</v>
      </c>
      <c r="AI753" s="2" t="str">
        <f t="shared" si="25"/>
        <v>Warning: Missing Region</v>
      </c>
      <c r="AJ753">
        <f>COUNTIFS($A$2:$A$1000,A753,$B$2:$B$1000,B753,$C$2:$C$1000,C753,$D$2:$D$1000,D753,$E$2:$E$1000,E753,$F$2:$F$1000,F753)</f>
        <v>1</v>
      </c>
      <c r="AK753">
        <f>COUNTIF($A$2:$A$1000, A753)</f>
        <v>1</v>
      </c>
    </row>
    <row r="754" spans="1:37">
      <c r="A754" t="s">
        <v>2333</v>
      </c>
      <c r="B754" s="5">
        <v>45375</v>
      </c>
      <c r="C754" s="5">
        <v>45378</v>
      </c>
      <c r="D754" s="6">
        <f>IF(AND(C754&lt;&gt;"",B754&lt;&gt;""), C754-B754, "Missing Date")</f>
        <v>3</v>
      </c>
      <c r="E754" s="6" t="str">
        <f>IF(OR(B754="",C754=""), "Missing Date",
    IF(C754&lt;B754, "Invalid: Ship before Order",
      "OK"))</f>
        <v>OK</v>
      </c>
      <c r="F754" t="s">
        <v>2334</v>
      </c>
      <c r="G754" t="s">
        <v>89</v>
      </c>
      <c r="H754" t="s">
        <v>90</v>
      </c>
      <c r="I754" t="s">
        <v>63</v>
      </c>
      <c r="J754" t="s">
        <v>180</v>
      </c>
      <c r="K754" t="s">
        <v>181</v>
      </c>
      <c r="L754" t="s">
        <v>28</v>
      </c>
      <c r="M754" t="s">
        <v>124</v>
      </c>
      <c r="N754" t="s">
        <v>2335</v>
      </c>
      <c r="O754" t="s">
        <v>50</v>
      </c>
      <c r="P754">
        <v>5</v>
      </c>
      <c r="Q754">
        <v>2465.2199999999998</v>
      </c>
      <c r="R754">
        <v>0.05</v>
      </c>
      <c r="S754">
        <v>11709.79</v>
      </c>
      <c r="T754">
        <v>8372.2900000000009</v>
      </c>
      <c r="U754">
        <v>3337.5</v>
      </c>
      <c r="V754" t="s">
        <v>32</v>
      </c>
      <c r="W754" t="s">
        <v>33</v>
      </c>
      <c r="X754" t="str">
        <f>_xlfn.TEXTJOIN("|", TRUE, A754:W754)</f>
        <v>ORD-2024-10753|45375|45378|3|OK|CUST-6345|Aditi Sen|Corporate|West|Gujarat|Ahmedabad|Office Supplies|Storage|Basic Storage 273|First Class|5|2465.22|0.05|11709.79|8372.29|3337.5|Paid|Completed</v>
      </c>
      <c r="Y754">
        <f>COUNTIF($X$2:$X$1000, X754)</f>
        <v>1</v>
      </c>
      <c r="Z754">
        <f>COUNTIF($A$2:$A$1000, A754)</f>
        <v>1</v>
      </c>
      <c r="AA754" t="str">
        <f>IF(Y754&gt;1, "Exact Duplicate",
  IF(Z754&gt;1, "Conflicting Duplicate - Review",
    "Unique"))</f>
        <v>Unique</v>
      </c>
      <c r="AB754" s="2">
        <f>IF(ISBLANK(R754), 0, IF(ISTEXT(R754), VALUE(SUBSTITUTE(R754, "%", ""))/100, IF(OR(R754&lt;0, R754&gt;1), "Invalid", R754)))</f>
        <v>0.05</v>
      </c>
      <c r="AC754" s="4">
        <f>IF(AB754="Invalid", "Error", P754 * Q754 * (1 - AB754))</f>
        <v>11709.794999999998</v>
      </c>
      <c r="AD754" s="4">
        <f>IF(AC754="Error", "Error", AC754 - T754)</f>
        <v>3337.5049999999974</v>
      </c>
      <c r="AE754" s="2">
        <f>IF(AC754="Error", "Error", IF(AC754=0, 0, AD754 / AC754))</f>
        <v>0.28501822619439521</v>
      </c>
      <c r="AF754" s="7">
        <f>C754-B754</f>
        <v>3</v>
      </c>
      <c r="AG754" s="2" t="str">
        <f>TEXT(B754, "mmmm")</f>
        <v>March</v>
      </c>
      <c r="AH754" s="4">
        <f>YEAR(B754)</f>
        <v>2024</v>
      </c>
      <c r="AI754" s="2" t="str">
        <f t="shared" si="25"/>
        <v>Clean</v>
      </c>
      <c r="AJ754">
        <f>COUNTIFS($A$2:$A$1000,A754,$B$2:$B$1000,B754,$C$2:$C$1000,C754,$D$2:$D$1000,D754,$E$2:$E$1000,E754,$F$2:$F$1000,F754)</f>
        <v>1</v>
      </c>
      <c r="AK754">
        <f>COUNTIF($A$2:$A$1000, A754)</f>
        <v>1</v>
      </c>
    </row>
    <row r="755" spans="1:37">
      <c r="A755" t="s">
        <v>2336</v>
      </c>
      <c r="B755" s="5">
        <v>45515</v>
      </c>
      <c r="C755" s="5">
        <v>45514</v>
      </c>
      <c r="D755" s="6">
        <f>IF(AND(C755&lt;&gt;"",B755&lt;&gt;""), C755-B755, "Missing Date")</f>
        <v>-1</v>
      </c>
      <c r="E755" s="6" t="str">
        <f>IF(OR(B755="",C755=""), "Missing Date",
    IF(C755&lt;B755, "Invalid: Ship before Order",
      "OK"))</f>
        <v>Invalid: Ship before Order</v>
      </c>
      <c r="F755" t="s">
        <v>2337</v>
      </c>
      <c r="G755" t="s">
        <v>89</v>
      </c>
      <c r="H755" t="s">
        <v>90</v>
      </c>
      <c r="I755" t="s">
        <v>25</v>
      </c>
      <c r="J755" t="s">
        <v>350</v>
      </c>
      <c r="K755" t="s">
        <v>351</v>
      </c>
      <c r="L755" t="s">
        <v>41</v>
      </c>
      <c r="M755" t="s">
        <v>57</v>
      </c>
      <c r="N755" t="s">
        <v>2338</v>
      </c>
      <c r="O755" t="s">
        <v>31</v>
      </c>
      <c r="P755">
        <v>3</v>
      </c>
      <c r="Q755">
        <v>1017.22</v>
      </c>
      <c r="R755">
        <v>0.15</v>
      </c>
      <c r="S755">
        <v>2593.91</v>
      </c>
      <c r="T755">
        <v>1848.48</v>
      </c>
      <c r="U755">
        <v>745.43</v>
      </c>
      <c r="V755" t="s">
        <v>155</v>
      </c>
      <c r="W755" t="s">
        <v>103</v>
      </c>
      <c r="X755" t="str">
        <f>_xlfn.TEXTJOIN("|", TRUE, A755:W755)</f>
        <v>ORD-2024-10754|45515|45514|-1|Invalid: Ship before Order|CUST-4505|Aditi Sen|Corporate|North|Delhi|New Delhi|Furniture|Furnishings|Elite Furnishings 588|Second Class|3|1017.22|0.15|2593.91|1848.48|745.43|Failed|Returned</v>
      </c>
      <c r="Y755">
        <f>COUNTIF($X$2:$X$1000, X755)</f>
        <v>1</v>
      </c>
      <c r="Z755">
        <f>COUNTIF($A$2:$A$1000, A755)</f>
        <v>1</v>
      </c>
      <c r="AA755" t="str">
        <f>IF(Y755&gt;1, "Exact Duplicate",
  IF(Z755&gt;1, "Conflicting Duplicate - Review",
    "Unique"))</f>
        <v>Unique</v>
      </c>
      <c r="AB755" s="2">
        <f>IF(ISBLANK(R755), 0, IF(ISTEXT(R755), VALUE(SUBSTITUTE(R755, "%", ""))/100, IF(OR(R755&lt;0, R755&gt;1), "Invalid", R755)))</f>
        <v>0.15</v>
      </c>
      <c r="AC755" s="4">
        <f>IF(AB755="Invalid", "Error", P755 * Q755 * (1 - AB755))</f>
        <v>2593.9109999999996</v>
      </c>
      <c r="AD755" s="4">
        <f>IF(AC755="Error", "Error", AC755 - T755)</f>
        <v>745.43099999999959</v>
      </c>
      <c r="AE755" s="2">
        <f>IF(AC755="Error", "Error", IF(AC755=0, 0, AD755 / AC755))</f>
        <v>0.28737724617382776</v>
      </c>
      <c r="AF755" s="7">
        <f>C755-B755</f>
        <v>-1</v>
      </c>
      <c r="AG755" s="2" t="str">
        <f>TEXT(B755, "mmmm")</f>
        <v>August</v>
      </c>
      <c r="AH755" s="4">
        <f>YEAR(B755)</f>
        <v>2024</v>
      </c>
      <c r="AI755" s="2" t="str">
        <f t="shared" si="25"/>
        <v>Excluded from Sales</v>
      </c>
      <c r="AJ755">
        <f>COUNTIFS($A$2:$A$1000,A755,$B$2:$B$1000,B755,$C$2:$C$1000,C755,$D$2:$D$1000,D755,$E$2:$E$1000,E755,$F$2:$F$1000,F755)</f>
        <v>1</v>
      </c>
      <c r="AK755">
        <f>COUNTIF($A$2:$A$1000, A755)</f>
        <v>1</v>
      </c>
    </row>
    <row r="756" spans="1:37">
      <c r="A756" t="s">
        <v>2339</v>
      </c>
      <c r="B756" s="5">
        <v>45753</v>
      </c>
      <c r="C756" s="5">
        <v>45753</v>
      </c>
      <c r="D756" s="6">
        <f>IF(AND(C756&lt;&gt;"",B756&lt;&gt;""), C756-B756, "Missing Date")</f>
        <v>0</v>
      </c>
      <c r="E756" s="6" t="str">
        <f>IF(OR(B756="",C756=""), "Missing Date",
    IF(C756&lt;B756, "Invalid: Ship before Order",
      "OK"))</f>
        <v>OK</v>
      </c>
      <c r="F756" t="s">
        <v>2340</v>
      </c>
      <c r="G756" t="s">
        <v>79</v>
      </c>
      <c r="H756" t="s">
        <v>90</v>
      </c>
      <c r="I756" t="s">
        <v>54</v>
      </c>
      <c r="J756" t="s">
        <v>185</v>
      </c>
      <c r="K756" t="s">
        <v>186</v>
      </c>
      <c r="L756" t="s">
        <v>28</v>
      </c>
      <c r="M756" t="s">
        <v>124</v>
      </c>
      <c r="N756" t="s">
        <v>2341</v>
      </c>
      <c r="O756" t="s">
        <v>59</v>
      </c>
      <c r="P756">
        <v>4</v>
      </c>
      <c r="Q756">
        <v>891.34</v>
      </c>
      <c r="R756">
        <v>0.25</v>
      </c>
      <c r="S756">
        <v>2674.02</v>
      </c>
      <c r="T756">
        <v>2207.5700000000002</v>
      </c>
      <c r="U756">
        <v>466.45</v>
      </c>
      <c r="V756" t="s">
        <v>32</v>
      </c>
      <c r="W756" t="s">
        <v>33</v>
      </c>
      <c r="X756" t="str">
        <f>_xlfn.TEXTJOIN("|", TRUE, A756:W756)</f>
        <v>ORD-2025-10755|45753|45753|0|OK|CUST-7960|Neha Gupta|Corporate|South|Kerala|Kochi|Office Supplies|Storage|Elite Storage 857|Standard Class|4|891.34|0.25|2674.02|2207.57|466.45|Paid|Completed</v>
      </c>
      <c r="Y756">
        <f>COUNTIF($X$2:$X$1000, X756)</f>
        <v>1</v>
      </c>
      <c r="Z756">
        <f>COUNTIF($A$2:$A$1000, A756)</f>
        <v>1</v>
      </c>
      <c r="AA756" t="str">
        <f>IF(Y756&gt;1, "Exact Duplicate",
  IF(Z756&gt;1, "Conflicting Duplicate - Review",
    "Unique"))</f>
        <v>Unique</v>
      </c>
      <c r="AB756" s="2">
        <f>IF(ISBLANK(R756), 0, IF(ISTEXT(R756), VALUE(SUBSTITUTE(R756, "%", ""))/100, IF(OR(R756&lt;0, R756&gt;1), "Invalid", R756)))</f>
        <v>0.25</v>
      </c>
      <c r="AC756" s="4">
        <f>IF(AB756="Invalid", "Error", P756 * Q756 * (1 - AB756))</f>
        <v>2674.02</v>
      </c>
      <c r="AD756" s="4">
        <f>IF(AC756="Error", "Error", AC756 - T756)</f>
        <v>466.44999999999982</v>
      </c>
      <c r="AE756" s="2">
        <f>IF(AC756="Error", "Error", IF(AC756=0, 0, AD756 / AC756))</f>
        <v>0.17443773793763689</v>
      </c>
      <c r="AF756" s="7">
        <f>C756-B756</f>
        <v>0</v>
      </c>
      <c r="AG756" s="2" t="str">
        <f>TEXT(B756, "mmmm")</f>
        <v>April</v>
      </c>
      <c r="AH756" s="4">
        <f>YEAR(B756)</f>
        <v>2025</v>
      </c>
      <c r="AI756" s="2" t="str">
        <f t="shared" si="25"/>
        <v>Clean</v>
      </c>
      <c r="AJ756">
        <f>COUNTIFS($A$2:$A$1000,A756,$B$2:$B$1000,B756,$C$2:$C$1000,C756,$D$2:$D$1000,D756,$E$2:$E$1000,E756,$F$2:$F$1000,F756)</f>
        <v>1</v>
      </c>
      <c r="AK756">
        <f>COUNTIF($A$2:$A$1000, A756)</f>
        <v>1</v>
      </c>
    </row>
    <row r="757" spans="1:37">
      <c r="A757" t="s">
        <v>2342</v>
      </c>
      <c r="B757" s="5">
        <v>45858</v>
      </c>
      <c r="C757" s="5">
        <v>45862</v>
      </c>
      <c r="D757" s="6">
        <f>IF(AND(C757&lt;&gt;"",B757&lt;&gt;""), C757-B757, "Missing Date")</f>
        <v>4</v>
      </c>
      <c r="E757" s="6" t="str">
        <f>IF(OR(B757="",C757=""), "Missing Date",
    IF(C757&lt;B757, "Invalid: Ship before Order",
      "OK"))</f>
        <v>OK</v>
      </c>
      <c r="F757" t="s">
        <v>2343</v>
      </c>
      <c r="G757" t="s">
        <v>114</v>
      </c>
      <c r="H757" t="s">
        <v>95</v>
      </c>
      <c r="I757" t="s">
        <v>63</v>
      </c>
      <c r="J757" t="s">
        <v>72</v>
      </c>
      <c r="K757" t="s">
        <v>73</v>
      </c>
      <c r="L757" t="s">
        <v>28</v>
      </c>
      <c r="M757" t="s">
        <v>124</v>
      </c>
      <c r="N757" t="s">
        <v>2344</v>
      </c>
      <c r="O757" t="s">
        <v>31</v>
      </c>
      <c r="P757">
        <v>5</v>
      </c>
      <c r="Q757">
        <v>2481.7399999999998</v>
      </c>
      <c r="R757">
        <v>0.2</v>
      </c>
      <c r="S757">
        <v>9926.9599999999991</v>
      </c>
      <c r="T757">
        <v>7994.98</v>
      </c>
      <c r="U757">
        <v>1931.98</v>
      </c>
      <c r="V757" t="s">
        <v>32</v>
      </c>
      <c r="W757" t="s">
        <v>33</v>
      </c>
      <c r="X757" t="str">
        <f>_xlfn.TEXTJOIN("|", TRUE, A757:W757)</f>
        <v>ORD-2025-10756|45858|45862|4|OK|CUST-3365|Priya Menon|Home Office|West|Madhya Pradesh|Indore|Office Supplies|Storage|Prime Storage 183|Second Class|5|2481.74|0.2|9926.96|7994.98|1931.98|Paid|Completed</v>
      </c>
      <c r="Y757">
        <f>COUNTIF($X$2:$X$1000, X757)</f>
        <v>1</v>
      </c>
      <c r="Z757">
        <f>COUNTIF($A$2:$A$1000, A757)</f>
        <v>1</v>
      </c>
      <c r="AA757" t="str">
        <f>IF(Y757&gt;1, "Exact Duplicate",
  IF(Z757&gt;1, "Conflicting Duplicate - Review",
    "Unique"))</f>
        <v>Unique</v>
      </c>
      <c r="AB757" s="2">
        <f>IF(ISBLANK(R757), 0, IF(ISTEXT(R757), VALUE(SUBSTITUTE(R757, "%", ""))/100, IF(OR(R757&lt;0, R757&gt;1), "Invalid", R757)))</f>
        <v>0.2</v>
      </c>
      <c r="AC757" s="4">
        <f>IF(AB757="Invalid", "Error", P757 * Q757 * (1 - AB757))</f>
        <v>9926.9599999999991</v>
      </c>
      <c r="AD757" s="4">
        <f>IF(AC757="Error", "Error", AC757 - T757)</f>
        <v>1931.9799999999996</v>
      </c>
      <c r="AE757" s="2">
        <f>IF(AC757="Error", "Error", IF(AC757=0, 0, AD757 / AC757))</f>
        <v>0.19461950083409219</v>
      </c>
      <c r="AF757" s="7">
        <f>C757-B757</f>
        <v>4</v>
      </c>
      <c r="AG757" s="2" t="str">
        <f>TEXT(B757, "mmmm")</f>
        <v>July</v>
      </c>
      <c r="AH757" s="4">
        <f>YEAR(B757)</f>
        <v>2025</v>
      </c>
      <c r="AI757" s="2" t="str">
        <f t="shared" si="25"/>
        <v>Clean</v>
      </c>
      <c r="AJ757">
        <f>COUNTIFS($A$2:$A$1000,A757,$B$2:$B$1000,B757,$C$2:$C$1000,C757,$D$2:$D$1000,D757,$E$2:$E$1000,E757,$F$2:$F$1000,F757)</f>
        <v>1</v>
      </c>
      <c r="AK757">
        <f>COUNTIF($A$2:$A$1000, A757)</f>
        <v>1</v>
      </c>
    </row>
    <row r="758" spans="1:37">
      <c r="A758" t="s">
        <v>2345</v>
      </c>
      <c r="B758" s="5">
        <v>45592</v>
      </c>
      <c r="C758" s="5">
        <v>45302</v>
      </c>
      <c r="D758" s="6">
        <f>IF(AND(C758&lt;&gt;"",B758&lt;&gt;""), C758-B758, "Missing Date")</f>
        <v>-290</v>
      </c>
      <c r="E758" s="6" t="str">
        <f>IF(OR(B758="",C758=""), "Missing Date",
    IF(C758&lt;B758, "Invalid: Ship before Order",
      "OK"))</f>
        <v>Invalid: Ship before Order</v>
      </c>
      <c r="F758" t="s">
        <v>2346</v>
      </c>
      <c r="G758" t="s">
        <v>141</v>
      </c>
      <c r="H758" t="s">
        <v>24</v>
      </c>
      <c r="I758" t="s">
        <v>25</v>
      </c>
      <c r="J758" t="s">
        <v>26</v>
      </c>
      <c r="K758" t="s">
        <v>27</v>
      </c>
      <c r="L758" t="s">
        <v>74</v>
      </c>
      <c r="M758" t="s">
        <v>75</v>
      </c>
      <c r="N758" t="s">
        <v>2347</v>
      </c>
      <c r="O758" t="s">
        <v>44</v>
      </c>
      <c r="P758">
        <v>7</v>
      </c>
      <c r="Q758">
        <v>2177.1</v>
      </c>
      <c r="R758">
        <v>0.2</v>
      </c>
      <c r="S758">
        <v>12191.76</v>
      </c>
      <c r="T758">
        <v>10457.49</v>
      </c>
      <c r="U758">
        <v>1734.27</v>
      </c>
      <c r="V758" t="s">
        <v>32</v>
      </c>
      <c r="W758" t="s">
        <v>103</v>
      </c>
      <c r="X758" t="str">
        <f>_xlfn.TEXTJOIN("|", TRUE, A758:W758)</f>
        <v>ORD-2024-10757|45592|45302|-290|Invalid: Ship before Order|CUST-1557|Rohan Mehta|Consumer|North|Rajasthan|Jaipur|Technology|Accessories|Smart Accessories 362|Same Day|7|2177.1|0.2|12191.76|10457.49|1734.27|Paid|Returned</v>
      </c>
      <c r="Y758">
        <f>COUNTIF($X$2:$X$1000, X758)</f>
        <v>1</v>
      </c>
      <c r="Z758">
        <f>COUNTIF($A$2:$A$1000, A758)</f>
        <v>1</v>
      </c>
      <c r="AA758" t="str">
        <f>IF(Y758&gt;1, "Exact Duplicate",
  IF(Z758&gt;1, "Conflicting Duplicate - Review",
    "Unique"))</f>
        <v>Unique</v>
      </c>
      <c r="AB758" s="2">
        <f>IF(ISBLANK(R758), 0, IF(ISTEXT(R758), VALUE(SUBSTITUTE(R758, "%", ""))/100, IF(OR(R758&lt;0, R758&gt;1), "Invalid", R758)))</f>
        <v>0.2</v>
      </c>
      <c r="AC758" s="4">
        <f>IF(AB758="Invalid", "Error", P758 * Q758 * (1 - AB758))</f>
        <v>12191.76</v>
      </c>
      <c r="AD758" s="4">
        <f>IF(AC758="Error", "Error", AC758 - T758)</f>
        <v>1734.2700000000004</v>
      </c>
      <c r="AE758" s="2">
        <f>IF(AC758="Error", "Error", IF(AC758=0, 0, AD758 / AC758))</f>
        <v>0.14224935530226976</v>
      </c>
      <c r="AF758" s="7">
        <f>C758-B758</f>
        <v>-290</v>
      </c>
      <c r="AG758" s="2" t="str">
        <f>TEXT(B758, "mmmm")</f>
        <v>October</v>
      </c>
      <c r="AH758" s="4">
        <f>YEAR(B758)</f>
        <v>2024</v>
      </c>
      <c r="AI758" s="2" t="str">
        <f t="shared" si="25"/>
        <v>Invalid Shipping Record</v>
      </c>
      <c r="AJ758">
        <f>COUNTIFS($A$2:$A$1000,A758,$B$2:$B$1000,B758,$C$2:$C$1000,C758,$D$2:$D$1000,D758,$E$2:$E$1000,E758,$F$2:$F$1000,F758)</f>
        <v>1</v>
      </c>
      <c r="AK758">
        <f>COUNTIF($A$2:$A$1000, A758)</f>
        <v>1</v>
      </c>
    </row>
    <row r="759" spans="1:37">
      <c r="A759" t="s">
        <v>2348</v>
      </c>
      <c r="B759" s="5">
        <v>45870</v>
      </c>
      <c r="C759" s="5">
        <v>45872</v>
      </c>
      <c r="D759" s="6">
        <f>IF(AND(C759&lt;&gt;"",B759&lt;&gt;""), C759-B759, "Missing Date")</f>
        <v>2</v>
      </c>
      <c r="E759" s="6" t="str">
        <f>IF(OR(B759="",C759=""), "Missing Date",
    IF(C759&lt;B759, "Invalid: Ship before Order",
      "OK"))</f>
        <v>OK</v>
      </c>
      <c r="F759" t="s">
        <v>2349</v>
      </c>
      <c r="G759" t="s">
        <v>89</v>
      </c>
      <c r="H759" t="s">
        <v>37</v>
      </c>
      <c r="I759" t="s">
        <v>54</v>
      </c>
      <c r="J759" t="s">
        <v>185</v>
      </c>
      <c r="K759" t="s">
        <v>186</v>
      </c>
      <c r="L759" t="s">
        <v>41</v>
      </c>
      <c r="M759" t="s">
        <v>158</v>
      </c>
      <c r="N759" t="s">
        <v>2350</v>
      </c>
      <c r="O759" t="s">
        <v>59</v>
      </c>
      <c r="P759">
        <v>3</v>
      </c>
      <c r="Q759">
        <v>1904.78</v>
      </c>
      <c r="R759">
        <v>0.25</v>
      </c>
      <c r="S759">
        <v>4285.76</v>
      </c>
      <c r="T759">
        <v>2386.33</v>
      </c>
      <c r="U759">
        <v>1899.43</v>
      </c>
      <c r="V759" t="s">
        <v>155</v>
      </c>
      <c r="W759" t="s">
        <v>68</v>
      </c>
      <c r="X759" t="str">
        <f>_xlfn.TEXTJOIN("|", TRUE, A759:W759)</f>
        <v>ORD-2025-10758|45870|45872|2|OK|CUST-3058|Aditi Sen|Small Business|South|Kerala|Kochi|Furniture|Bookcases|Classic Bookcases 310|Standard Class|3|1904.78|0.25|4285.76|2386.33|1899.43|Failed|Cancelled</v>
      </c>
      <c r="Y759">
        <f>COUNTIF($X$2:$X$1000, X759)</f>
        <v>1</v>
      </c>
      <c r="Z759">
        <f>COUNTIF($A$2:$A$1000, A759)</f>
        <v>1</v>
      </c>
      <c r="AA759" t="str">
        <f>IF(Y759&gt;1, "Exact Duplicate",
  IF(Z759&gt;1, "Conflicting Duplicate - Review",
    "Unique"))</f>
        <v>Unique</v>
      </c>
      <c r="AB759" s="2">
        <f>IF(ISBLANK(R759), 0, IF(ISTEXT(R759), VALUE(SUBSTITUTE(R759, "%", ""))/100, IF(OR(R759&lt;0, R759&gt;1), "Invalid", R759)))</f>
        <v>0.25</v>
      </c>
      <c r="AC759" s="4">
        <f>IF(AB759="Invalid", "Error", P759 * Q759 * (1 - AB759))</f>
        <v>4285.7550000000001</v>
      </c>
      <c r="AD759" s="4">
        <f>IF(AC759="Error", "Error", AC759 - T759)</f>
        <v>1899.4250000000002</v>
      </c>
      <c r="AE759" s="2">
        <f>IF(AC759="Error", "Error", IF(AC759=0, 0, AD759 / AC759))</f>
        <v>0.44319495631458172</v>
      </c>
      <c r="AF759" s="7">
        <f>C759-B759</f>
        <v>2</v>
      </c>
      <c r="AG759" s="2" t="str">
        <f>TEXT(B759, "mmmm")</f>
        <v>August</v>
      </c>
      <c r="AH759" s="4">
        <f>YEAR(B759)</f>
        <v>2025</v>
      </c>
      <c r="AI759" s="2" t="str">
        <f t="shared" si="25"/>
        <v>Excluded from Sales</v>
      </c>
      <c r="AJ759">
        <f>COUNTIFS($A$2:$A$1000,A759,$B$2:$B$1000,B759,$C$2:$C$1000,C759,$D$2:$D$1000,D759,$E$2:$E$1000,E759,$F$2:$F$1000,F759)</f>
        <v>1</v>
      </c>
      <c r="AK759">
        <f>COUNTIF($A$2:$A$1000, A759)</f>
        <v>1</v>
      </c>
    </row>
    <row r="760" spans="1:37">
      <c r="A760" t="s">
        <v>2351</v>
      </c>
      <c r="B760" s="5">
        <v>45414</v>
      </c>
      <c r="C760" s="5">
        <v>45422</v>
      </c>
      <c r="D760" s="6">
        <f>IF(AND(C760&lt;&gt;"",B760&lt;&gt;""), C760-B760, "Missing Date")</f>
        <v>8</v>
      </c>
      <c r="E760" s="6" t="str">
        <f>IF(OR(B760="",C760=""), "Missing Date",
    IF(C760&lt;B760, "Invalid: Ship before Order",
      "OK"))</f>
        <v>OK</v>
      </c>
      <c r="F760" t="s">
        <v>2352</v>
      </c>
      <c r="G760" t="s">
        <v>128</v>
      </c>
      <c r="H760" t="s">
        <v>37</v>
      </c>
      <c r="I760" t="s">
        <v>54</v>
      </c>
      <c r="J760" t="s">
        <v>175</v>
      </c>
      <c r="K760" t="s">
        <v>176</v>
      </c>
      <c r="L760" t="s">
        <v>41</v>
      </c>
      <c r="M760" t="s">
        <v>66</v>
      </c>
      <c r="N760" t="s">
        <v>2353</v>
      </c>
      <c r="O760" t="s">
        <v>59</v>
      </c>
      <c r="P760">
        <v>1</v>
      </c>
      <c r="Q760">
        <v>4166.91</v>
      </c>
      <c r="R760">
        <v>0</v>
      </c>
      <c r="S760">
        <v>4166.91</v>
      </c>
      <c r="T760">
        <v>3412.63</v>
      </c>
      <c r="U760">
        <v>754.28</v>
      </c>
      <c r="V760" t="s">
        <v>32</v>
      </c>
      <c r="W760" t="s">
        <v>33</v>
      </c>
      <c r="X760" t="str">
        <f>_xlfn.TEXTJOIN("|", TRUE, A760:W760)</f>
        <v>ORD-2024-10759|45414|45422|8|OK|CUST-6076|Aarav Sharma|Small Business|South|Karnataka|Bengaluru|Furniture|Chairs|Prime Chairs 721|Standard Class|1|4166.91|0|4166.91|3412.63|754.28|Paid|Completed</v>
      </c>
      <c r="Y760">
        <f>COUNTIF($X$2:$X$1000, X760)</f>
        <v>1</v>
      </c>
      <c r="Z760">
        <f>COUNTIF($A$2:$A$1000, A760)</f>
        <v>1</v>
      </c>
      <c r="AA760" t="str">
        <f>IF(Y760&gt;1, "Exact Duplicate",
  IF(Z760&gt;1, "Conflicting Duplicate - Review",
    "Unique"))</f>
        <v>Unique</v>
      </c>
      <c r="AB760" s="2">
        <f>IF(ISBLANK(R760), 0, IF(ISTEXT(R760), VALUE(SUBSTITUTE(R760, "%", ""))/100, IF(OR(R760&lt;0, R760&gt;1), "Invalid", R760)))</f>
        <v>0</v>
      </c>
      <c r="AC760" s="4">
        <f>IF(AB760="Invalid", "Error", P760 * Q760 * (1 - AB760))</f>
        <v>4166.91</v>
      </c>
      <c r="AD760" s="4">
        <f>IF(AC760="Error", "Error", AC760 - T760)</f>
        <v>754.27999999999975</v>
      </c>
      <c r="AE760" s="2">
        <f>IF(AC760="Error", "Error", IF(AC760=0, 0, AD760 / AC760))</f>
        <v>0.18101662862888801</v>
      </c>
      <c r="AF760" s="7">
        <f>C760-B760</f>
        <v>8</v>
      </c>
      <c r="AG760" s="2" t="str">
        <f>TEXT(B760, "mmmm")</f>
        <v>May</v>
      </c>
      <c r="AH760" s="4">
        <f>YEAR(B760)</f>
        <v>2024</v>
      </c>
      <c r="AI760" s="2" t="str">
        <f t="shared" si="25"/>
        <v>Clean</v>
      </c>
      <c r="AJ760">
        <f>COUNTIFS($A$2:$A$1000,A760,$B$2:$B$1000,B760,$C$2:$C$1000,C760,$D$2:$D$1000,D760,$E$2:$E$1000,E760,$F$2:$F$1000,F760)</f>
        <v>1</v>
      </c>
      <c r="AK760">
        <f>COUNTIF($A$2:$A$1000, A760)</f>
        <v>1</v>
      </c>
    </row>
    <row r="761" spans="1:37">
      <c r="A761" t="s">
        <v>2354</v>
      </c>
      <c r="B761" s="5">
        <v>45492</v>
      </c>
      <c r="C761" s="5">
        <v>45499</v>
      </c>
      <c r="D761" s="6">
        <f>IF(AND(C761&lt;&gt;"",B761&lt;&gt;""), C761-B761, "Missing Date")</f>
        <v>7</v>
      </c>
      <c r="E761" s="6" t="str">
        <f>IF(OR(B761="",C761=""), "Missing Date",
    IF(C761&lt;B761, "Invalid: Ship before Order",
      "OK"))</f>
        <v>OK</v>
      </c>
      <c r="F761" t="s">
        <v>2355</v>
      </c>
      <c r="G761" t="s">
        <v>53</v>
      </c>
      <c r="H761" t="s">
        <v>95</v>
      </c>
      <c r="I761" t="s">
        <v>54</v>
      </c>
      <c r="J761" t="s">
        <v>175</v>
      </c>
      <c r="K761" t="s">
        <v>176</v>
      </c>
      <c r="L761" t="s">
        <v>41</v>
      </c>
      <c r="M761" t="s">
        <v>42</v>
      </c>
      <c r="N761" t="s">
        <v>2356</v>
      </c>
      <c r="O761" t="s">
        <v>31</v>
      </c>
      <c r="P761">
        <v>5</v>
      </c>
      <c r="Q761">
        <v>3986.01</v>
      </c>
      <c r="R761">
        <v>0.25</v>
      </c>
      <c r="S761">
        <v>14947.54</v>
      </c>
      <c r="T761">
        <v>9438.4599999999991</v>
      </c>
      <c r="U761">
        <v>5509.08</v>
      </c>
      <c r="V761" t="s">
        <v>32</v>
      </c>
      <c r="W761" t="s">
        <v>33</v>
      </c>
      <c r="X761" t="str">
        <f>_xlfn.TEXTJOIN("|", TRUE, A761:W761)</f>
        <v>ORD-2024-10760|45492|45499|7|OK|CUST-2098|Arjun Bose|Home Office|South|Karnataka|Bengaluru|Furniture|Tables|Prime Tables 797|Second Class|5|3986.01|0.25|14947.54|9438.46|5509.08|Paid|Completed</v>
      </c>
      <c r="Y761">
        <f>COUNTIF($X$2:$X$1000, X761)</f>
        <v>1</v>
      </c>
      <c r="Z761">
        <f>COUNTIF($A$2:$A$1000, A761)</f>
        <v>1</v>
      </c>
      <c r="AA761" t="str">
        <f>IF(Y761&gt;1, "Exact Duplicate",
  IF(Z761&gt;1, "Conflicting Duplicate - Review",
    "Unique"))</f>
        <v>Unique</v>
      </c>
      <c r="AB761" s="2">
        <f>IF(ISBLANK(R761), 0, IF(ISTEXT(R761), VALUE(SUBSTITUTE(R761, "%", ""))/100, IF(OR(R761&lt;0, R761&gt;1), "Invalid", R761)))</f>
        <v>0.25</v>
      </c>
      <c r="AC761" s="4">
        <f>IF(AB761="Invalid", "Error", P761 * Q761 * (1 - AB761))</f>
        <v>14947.537500000002</v>
      </c>
      <c r="AD761" s="4">
        <f>IF(AC761="Error", "Error", AC761 - T761)</f>
        <v>5509.0775000000031</v>
      </c>
      <c r="AE761" s="2">
        <f>IF(AC761="Error", "Error", IF(AC761=0, 0, AD761 / AC761))</f>
        <v>0.36856087499362367</v>
      </c>
      <c r="AF761" s="7">
        <f>C761-B761</f>
        <v>7</v>
      </c>
      <c r="AG761" s="2" t="str">
        <f>TEXT(B761, "mmmm")</f>
        <v>July</v>
      </c>
      <c r="AH761" s="4">
        <f>YEAR(B761)</f>
        <v>2024</v>
      </c>
      <c r="AI761" s="2" t="str">
        <f t="shared" si="25"/>
        <v>Clean</v>
      </c>
      <c r="AJ761">
        <f>COUNTIFS($A$2:$A$1000,A761,$B$2:$B$1000,B761,$C$2:$C$1000,C761,$D$2:$D$1000,D761,$E$2:$E$1000,E761,$F$2:$F$1000,F761)</f>
        <v>1</v>
      </c>
      <c r="AK761">
        <f>COUNTIF($A$2:$A$1000, A761)</f>
        <v>1</v>
      </c>
    </row>
    <row r="762" spans="1:37">
      <c r="A762" t="s">
        <v>2357</v>
      </c>
      <c r="B762" s="5">
        <v>45532</v>
      </c>
      <c r="C762" s="5">
        <v>45537</v>
      </c>
      <c r="D762" s="6">
        <f>IF(AND(C762&lt;&gt;"",B762&lt;&gt;""), C762-B762, "Missing Date")</f>
        <v>5</v>
      </c>
      <c r="E762" s="6" t="str">
        <f>IF(OR(B762="",C762=""), "Missing Date",
    IF(C762&lt;B762, "Invalid: Ship before Order",
      "OK"))</f>
        <v>OK</v>
      </c>
      <c r="F762" t="s">
        <v>2358</v>
      </c>
      <c r="G762" t="s">
        <v>89</v>
      </c>
      <c r="H762" t="s">
        <v>95</v>
      </c>
      <c r="I762" t="s">
        <v>38</v>
      </c>
      <c r="J762" t="s">
        <v>166</v>
      </c>
      <c r="K762" t="s">
        <v>167</v>
      </c>
      <c r="L762" t="s">
        <v>28</v>
      </c>
      <c r="M762" t="s">
        <v>48</v>
      </c>
      <c r="N762" t="s">
        <v>2359</v>
      </c>
      <c r="O762" t="s">
        <v>31</v>
      </c>
      <c r="P762">
        <v>4</v>
      </c>
      <c r="Q762">
        <v>3365.53</v>
      </c>
      <c r="R762">
        <v>0</v>
      </c>
      <c r="S762">
        <v>13462.12</v>
      </c>
      <c r="T762">
        <v>7600.63</v>
      </c>
      <c r="U762">
        <v>5861.49</v>
      </c>
      <c r="V762" t="s">
        <v>111</v>
      </c>
      <c r="W762" t="s">
        <v>103</v>
      </c>
      <c r="X762" t="str">
        <f>_xlfn.TEXTJOIN("|", TRUE, A762:W762)</f>
        <v>ORD-2024-10761|45532|45537|5|OK|CUST-7193|Aditi Sen|Home Office|East|Assam|Guwahati|Office Supplies|Art|Max Art 926|Second Class|4|3365.53|0|13462.12|7600.63|5861.49|Pending|Returned</v>
      </c>
      <c r="Y762">
        <f>COUNTIF($X$2:$X$1000, X762)</f>
        <v>1</v>
      </c>
      <c r="Z762">
        <f>COUNTIF($A$2:$A$1000, A762)</f>
        <v>1</v>
      </c>
      <c r="AA762" t="str">
        <f>IF(Y762&gt;1, "Exact Duplicate",
  IF(Z762&gt;1, "Conflicting Duplicate - Review",
    "Unique"))</f>
        <v>Unique</v>
      </c>
      <c r="AB762" s="2">
        <f>IF(ISBLANK(R762), 0, IF(ISTEXT(R762), VALUE(SUBSTITUTE(R762, "%", ""))/100, IF(OR(R762&lt;0, R762&gt;1), "Invalid", R762)))</f>
        <v>0</v>
      </c>
      <c r="AC762" s="4">
        <f>IF(AB762="Invalid", "Error", P762 * Q762 * (1 - AB762))</f>
        <v>13462.12</v>
      </c>
      <c r="AD762" s="4">
        <f>IF(AC762="Error", "Error", AC762 - T762)</f>
        <v>5861.4900000000007</v>
      </c>
      <c r="AE762" s="2">
        <f>IF(AC762="Error", "Error", IF(AC762=0, 0, AD762 / AC762))</f>
        <v>0.43540616188237813</v>
      </c>
      <c r="AF762" s="7">
        <f>C762-B762</f>
        <v>5</v>
      </c>
      <c r="AG762" s="2" t="str">
        <f>TEXT(B762, "mmmm")</f>
        <v>August</v>
      </c>
      <c r="AH762" s="4">
        <f>YEAR(B762)</f>
        <v>2024</v>
      </c>
      <c r="AI762" s="2" t="str">
        <f t="shared" si="25"/>
        <v>Clean</v>
      </c>
      <c r="AJ762">
        <f>COUNTIFS($A$2:$A$1000,A762,$B$2:$B$1000,B762,$C$2:$C$1000,C762,$D$2:$D$1000,D762,$E$2:$E$1000,E762,$F$2:$F$1000,F762)</f>
        <v>1</v>
      </c>
      <c r="AK762">
        <f>COUNTIF($A$2:$A$1000, A762)</f>
        <v>1</v>
      </c>
    </row>
    <row r="763" spans="1:37">
      <c r="A763" t="s">
        <v>2360</v>
      </c>
      <c r="B763" s="5">
        <v>45896</v>
      </c>
      <c r="C763" s="5">
        <v>45900</v>
      </c>
      <c r="D763" s="6">
        <f>IF(AND(C763&lt;&gt;"",B763&lt;&gt;""), C763-B763, "Missing Date")</f>
        <v>4</v>
      </c>
      <c r="E763" s="6" t="str">
        <f>IF(OR(B763="",C763=""), "Missing Date",
    IF(C763&lt;B763, "Invalid: Ship before Order",
      "OK"))</f>
        <v>OK</v>
      </c>
      <c r="F763" t="s">
        <v>2361</v>
      </c>
      <c r="G763" t="s">
        <v>47</v>
      </c>
      <c r="H763" t="s">
        <v>24</v>
      </c>
      <c r="I763" t="s">
        <v>54</v>
      </c>
      <c r="J763" t="s">
        <v>175</v>
      </c>
      <c r="K763" t="s">
        <v>176</v>
      </c>
      <c r="L763" t="s">
        <v>74</v>
      </c>
      <c r="M763" t="s">
        <v>274</v>
      </c>
      <c r="N763" t="s">
        <v>2362</v>
      </c>
      <c r="O763" t="s">
        <v>50</v>
      </c>
      <c r="P763">
        <v>3</v>
      </c>
      <c r="Q763">
        <v>2489.12</v>
      </c>
      <c r="R763">
        <v>0</v>
      </c>
      <c r="S763">
        <v>7467.36</v>
      </c>
      <c r="T763">
        <v>5010.6099999999997</v>
      </c>
      <c r="U763">
        <v>2456.75</v>
      </c>
      <c r="V763" t="s">
        <v>32</v>
      </c>
      <c r="W763" t="s">
        <v>33</v>
      </c>
      <c r="X763" t="str">
        <f>_xlfn.TEXTJOIN("|", TRUE, A763:W763)</f>
        <v>ORD-2025-10762|45896|45900|4|OK|CUST-8948|Isha Nair|Consumer|South|Karnataka|Bengaluru|Technology|Machines|Max Machines 364|First Class|3|2489.12|0|7467.36|5010.61|2456.75|Paid|Completed</v>
      </c>
      <c r="Y763">
        <f>COUNTIF($X$2:$X$1000, X763)</f>
        <v>1</v>
      </c>
      <c r="Z763">
        <f>COUNTIF($A$2:$A$1000, A763)</f>
        <v>1</v>
      </c>
      <c r="AA763" t="str">
        <f>IF(Y763&gt;1, "Exact Duplicate",
  IF(Z763&gt;1, "Conflicting Duplicate - Review",
    "Unique"))</f>
        <v>Unique</v>
      </c>
      <c r="AB763" s="2">
        <f>IF(ISBLANK(R763), 0, IF(ISTEXT(R763), VALUE(SUBSTITUTE(R763, "%", ""))/100, IF(OR(R763&lt;0, R763&gt;1), "Invalid", R763)))</f>
        <v>0</v>
      </c>
      <c r="AC763" s="4">
        <f>IF(AB763="Invalid", "Error", P763 * Q763 * (1 - AB763))</f>
        <v>7467.36</v>
      </c>
      <c r="AD763" s="4">
        <f>IF(AC763="Error", "Error", AC763 - T763)</f>
        <v>2456.75</v>
      </c>
      <c r="AE763" s="2">
        <f>IF(AC763="Error", "Error", IF(AC763=0, 0, AD763 / AC763))</f>
        <v>0.32899846799940008</v>
      </c>
      <c r="AF763" s="7">
        <f>C763-B763</f>
        <v>4</v>
      </c>
      <c r="AG763" s="2" t="str">
        <f>TEXT(B763, "mmmm")</f>
        <v>August</v>
      </c>
      <c r="AH763" s="4">
        <f>YEAR(B763)</f>
        <v>2025</v>
      </c>
      <c r="AI763" s="2" t="str">
        <f t="shared" si="25"/>
        <v>Clean</v>
      </c>
      <c r="AJ763">
        <f>COUNTIFS($A$2:$A$1000,A763,$B$2:$B$1000,B763,$C$2:$C$1000,C763,$D$2:$D$1000,D763,$E$2:$E$1000,E763,$F$2:$F$1000,F763)</f>
        <v>1</v>
      </c>
      <c r="AK763">
        <f>COUNTIF($A$2:$A$1000, A763)</f>
        <v>1</v>
      </c>
    </row>
    <row r="764" spans="1:37">
      <c r="A764" t="s">
        <v>2363</v>
      </c>
      <c r="B764" s="5">
        <v>45292</v>
      </c>
      <c r="C764" s="5">
        <v>45296</v>
      </c>
      <c r="D764" s="6">
        <f>IF(AND(C764&lt;&gt;"",B764&lt;&gt;""), C764-B764, "Missing Date")</f>
        <v>4</v>
      </c>
      <c r="E764" s="6" t="str">
        <f>IF(OR(B764="",C764=""), "Missing Date",
    IF(C764&lt;B764, "Invalid: Ship before Order",
      "OK"))</f>
        <v>OK</v>
      </c>
      <c r="F764" t="s">
        <v>2364</v>
      </c>
      <c r="G764" t="s">
        <v>162</v>
      </c>
      <c r="H764" t="s">
        <v>90</v>
      </c>
      <c r="I764" t="s">
        <v>63</v>
      </c>
      <c r="J764" t="s">
        <v>72</v>
      </c>
      <c r="K764" t="s">
        <v>73</v>
      </c>
      <c r="L764" t="s">
        <v>74</v>
      </c>
      <c r="M764" t="s">
        <v>274</v>
      </c>
      <c r="N764" t="s">
        <v>2365</v>
      </c>
      <c r="O764" t="s">
        <v>31</v>
      </c>
      <c r="P764">
        <v>2</v>
      </c>
      <c r="Q764">
        <v>3694.12</v>
      </c>
      <c r="R764">
        <v>0.2</v>
      </c>
      <c r="S764">
        <v>5910.59</v>
      </c>
      <c r="T764">
        <v>4775.4399999999996</v>
      </c>
      <c r="U764">
        <v>1135.1500000000001</v>
      </c>
      <c r="V764" t="s">
        <v>102</v>
      </c>
      <c r="W764" t="s">
        <v>103</v>
      </c>
      <c r="X764" t="str">
        <f>_xlfn.TEXTJOIN("|", TRUE, A764:W764)</f>
        <v>ORD-2024-10763|45292|45296|4|OK|CUST-6921|Diya Patel|Corporate|West|Madhya Pradesh|Indore|Technology|Machines|Classic Machines 122|Second Class|2|3694.12|0.2|5910.59|4775.44|1135.15|Refunded|Returned</v>
      </c>
      <c r="Y764">
        <f>COUNTIF($X$2:$X$1000, X764)</f>
        <v>1</v>
      </c>
      <c r="Z764">
        <f>COUNTIF($A$2:$A$1000, A764)</f>
        <v>1</v>
      </c>
      <c r="AA764" t="str">
        <f>IF(Y764&gt;1, "Exact Duplicate",
  IF(Z764&gt;1, "Conflicting Duplicate - Review",
    "Unique"))</f>
        <v>Unique</v>
      </c>
      <c r="AB764" s="2">
        <f>IF(ISBLANK(R764), 0, IF(ISTEXT(R764), VALUE(SUBSTITUTE(R764, "%", ""))/100, IF(OR(R764&lt;0, R764&gt;1), "Invalid", R764)))</f>
        <v>0.2</v>
      </c>
      <c r="AC764" s="4">
        <f>IF(AB764="Invalid", "Error", P764 * Q764 * (1 - AB764))</f>
        <v>5910.5920000000006</v>
      </c>
      <c r="AD764" s="4">
        <f>IF(AC764="Error", "Error", AC764 - T764)</f>
        <v>1135.152000000001</v>
      </c>
      <c r="AE764" s="2">
        <f>IF(AC764="Error", "Error", IF(AC764=0, 0, AD764 / AC764))</f>
        <v>0.19205385856442145</v>
      </c>
      <c r="AF764" s="7">
        <f>C764-B764</f>
        <v>4</v>
      </c>
      <c r="AG764" s="2" t="str">
        <f>TEXT(B764, "mmmm")</f>
        <v>January</v>
      </c>
      <c r="AH764" s="4">
        <f>YEAR(B764)</f>
        <v>2024</v>
      </c>
      <c r="AI764" s="2" t="str">
        <f t="shared" si="25"/>
        <v>Clean</v>
      </c>
      <c r="AJ764">
        <f>COUNTIFS($A$2:$A$1000,A764,$B$2:$B$1000,B764,$C$2:$C$1000,C764,$D$2:$D$1000,D764,$E$2:$E$1000,E764,$F$2:$F$1000,F764)</f>
        <v>1</v>
      </c>
      <c r="AK764">
        <f>COUNTIF($A$2:$A$1000, A764)</f>
        <v>1</v>
      </c>
    </row>
    <row r="765" spans="1:37">
      <c r="A765" t="s">
        <v>2366</v>
      </c>
      <c r="B765" s="5">
        <v>45892</v>
      </c>
      <c r="C765" s="5">
        <v>45894</v>
      </c>
      <c r="D765" s="6">
        <f>IF(AND(C765&lt;&gt;"",B765&lt;&gt;""), C765-B765, "Missing Date")</f>
        <v>2</v>
      </c>
      <c r="E765" s="6" t="str">
        <f>IF(OR(B765="",C765=""), "Missing Date",
    IF(C765&lt;B765, "Invalid: Ship before Order",
      "OK"))</f>
        <v>OK</v>
      </c>
      <c r="F765" t="s">
        <v>2367</v>
      </c>
      <c r="G765" t="s">
        <v>162</v>
      </c>
      <c r="H765" t="s">
        <v>24</v>
      </c>
      <c r="I765" t="s">
        <v>25</v>
      </c>
      <c r="J765" t="s">
        <v>26</v>
      </c>
      <c r="K765" t="s">
        <v>27</v>
      </c>
      <c r="L765" t="s">
        <v>41</v>
      </c>
      <c r="M765" t="s">
        <v>57</v>
      </c>
      <c r="N765" t="s">
        <v>2368</v>
      </c>
      <c r="O765" t="s">
        <v>44</v>
      </c>
      <c r="P765">
        <v>6</v>
      </c>
      <c r="Q765">
        <v>2742.48</v>
      </c>
      <c r="R765">
        <v>0</v>
      </c>
      <c r="S765">
        <v>16454.88</v>
      </c>
      <c r="T765">
        <v>12081.54</v>
      </c>
      <c r="U765">
        <v>4373.34</v>
      </c>
      <c r="V765" t="s">
        <v>32</v>
      </c>
      <c r="W765" t="s">
        <v>33</v>
      </c>
      <c r="X765" t="str">
        <f>_xlfn.TEXTJOIN("|", TRUE, A765:W765)</f>
        <v>ORD-2025-10764|45892|45894|2|OK|CUST-4086|Diya Patel|Consumer|North|Rajasthan|Jaipur|Furniture|Furnishings|Elite Furnishings 169|Same Day|6|2742.48|0|16454.88|12081.54|4373.34|Paid|Completed</v>
      </c>
      <c r="Y765">
        <f>COUNTIF($X$2:$X$1000, X765)</f>
        <v>1</v>
      </c>
      <c r="Z765">
        <f>COUNTIF($A$2:$A$1000, A765)</f>
        <v>1</v>
      </c>
      <c r="AA765" t="str">
        <f>IF(Y765&gt;1, "Exact Duplicate",
  IF(Z765&gt;1, "Conflicting Duplicate - Review",
    "Unique"))</f>
        <v>Unique</v>
      </c>
      <c r="AB765" s="2">
        <f>IF(ISBLANK(R765), 0, IF(ISTEXT(R765), VALUE(SUBSTITUTE(R765, "%", ""))/100, IF(OR(R765&lt;0, R765&gt;1), "Invalid", R765)))</f>
        <v>0</v>
      </c>
      <c r="AC765" s="4">
        <f>IF(AB765="Invalid", "Error", P765 * Q765 * (1 - AB765))</f>
        <v>16454.88</v>
      </c>
      <c r="AD765" s="4">
        <f>IF(AC765="Error", "Error", AC765 - T765)</f>
        <v>4373.34</v>
      </c>
      <c r="AE765" s="2">
        <f>IF(AC765="Error", "Error", IF(AC765=0, 0, AD765 / AC765))</f>
        <v>0.26577769026574488</v>
      </c>
      <c r="AF765" s="7">
        <f>C765-B765</f>
        <v>2</v>
      </c>
      <c r="AG765" s="2" t="str">
        <f>TEXT(B765, "mmmm")</f>
        <v>August</v>
      </c>
      <c r="AH765" s="4">
        <f>YEAR(B765)</f>
        <v>2025</v>
      </c>
      <c r="AI765" s="2" t="str">
        <f t="shared" si="25"/>
        <v>Clean</v>
      </c>
      <c r="AJ765">
        <f>COUNTIFS($A$2:$A$1000,A765,$B$2:$B$1000,B765,$C$2:$C$1000,C765,$D$2:$D$1000,D765,$E$2:$E$1000,E765,$F$2:$F$1000,F765)</f>
        <v>1</v>
      </c>
      <c r="AK765">
        <f>COUNTIF($A$2:$A$1000, A765)</f>
        <v>1</v>
      </c>
    </row>
    <row r="766" spans="1:37">
      <c r="A766" t="s">
        <v>2369</v>
      </c>
      <c r="B766" s="5">
        <v>45760</v>
      </c>
      <c r="C766" s="5">
        <v>45760</v>
      </c>
      <c r="D766" s="6">
        <f>IF(AND(C766&lt;&gt;"",B766&lt;&gt;""), C766-B766, "Missing Date")</f>
        <v>0</v>
      </c>
      <c r="E766" s="6" t="str">
        <f>IF(OR(B766="",C766=""), "Missing Date",
    IF(C766&lt;B766, "Invalid: Ship before Order",
      "OK"))</f>
        <v>OK</v>
      </c>
      <c r="F766" t="s">
        <v>885</v>
      </c>
      <c r="G766" t="s">
        <v>114</v>
      </c>
      <c r="H766" t="s">
        <v>90</v>
      </c>
      <c r="I766" t="s">
        <v>54</v>
      </c>
      <c r="J766" t="s">
        <v>185</v>
      </c>
      <c r="K766" t="s">
        <v>186</v>
      </c>
      <c r="L766" t="s">
        <v>41</v>
      </c>
      <c r="M766" t="s">
        <v>158</v>
      </c>
      <c r="N766" t="s">
        <v>2370</v>
      </c>
      <c r="O766" t="s">
        <v>50</v>
      </c>
      <c r="P766">
        <v>6</v>
      </c>
      <c r="Q766">
        <v>4414</v>
      </c>
      <c r="R766">
        <v>0.05</v>
      </c>
      <c r="S766">
        <v>25159.8</v>
      </c>
      <c r="T766">
        <v>21606.83</v>
      </c>
      <c r="U766">
        <v>3552.97</v>
      </c>
      <c r="V766" t="s">
        <v>32</v>
      </c>
      <c r="W766" t="s">
        <v>33</v>
      </c>
      <c r="X766" t="str">
        <f>_xlfn.TEXTJOIN("|", TRUE, A766:W766)</f>
        <v>ORD-2025-10765|45760|45760|0|OK|CUST-5174|Priya Menon|Corporate|South|Kerala|Kochi|Furniture|Bookcases|Pro Bookcases 615|First Class|6|4414|0.05|25159.8|21606.83|3552.97|Paid|Completed</v>
      </c>
      <c r="Y766">
        <f>COUNTIF($X$2:$X$1000, X766)</f>
        <v>1</v>
      </c>
      <c r="Z766">
        <f>COUNTIF($A$2:$A$1000, A766)</f>
        <v>1</v>
      </c>
      <c r="AA766" t="str">
        <f>IF(Y766&gt;1, "Exact Duplicate",
  IF(Z766&gt;1, "Conflicting Duplicate - Review",
    "Unique"))</f>
        <v>Unique</v>
      </c>
      <c r="AB766" s="2">
        <f>IF(ISBLANK(R766), 0, IF(ISTEXT(R766), VALUE(SUBSTITUTE(R766, "%", ""))/100, IF(OR(R766&lt;0, R766&gt;1), "Invalid", R766)))</f>
        <v>0.05</v>
      </c>
      <c r="AC766" s="4">
        <f>IF(AB766="Invalid", "Error", P766 * Q766 * (1 - AB766))</f>
        <v>25159.8</v>
      </c>
      <c r="AD766" s="4">
        <f>IF(AC766="Error", "Error", AC766 - T766)</f>
        <v>3552.9699999999975</v>
      </c>
      <c r="AE766" s="2">
        <f>IF(AC766="Error", "Error", IF(AC766=0, 0, AD766 / AC766))</f>
        <v>0.14121614639226057</v>
      </c>
      <c r="AF766" s="7">
        <f>C766-B766</f>
        <v>0</v>
      </c>
      <c r="AG766" s="2" t="str">
        <f>TEXT(B766, "mmmm")</f>
        <v>April</v>
      </c>
      <c r="AH766" s="4">
        <f>YEAR(B766)</f>
        <v>2025</v>
      </c>
      <c r="AI766" s="2" t="str">
        <f t="shared" si="25"/>
        <v>Clean</v>
      </c>
      <c r="AJ766">
        <f>COUNTIFS($A$2:$A$1000,A766,$B$2:$B$1000,B766,$C$2:$C$1000,C766,$D$2:$D$1000,D766,$E$2:$E$1000,E766,$F$2:$F$1000,F766)</f>
        <v>1</v>
      </c>
      <c r="AK766">
        <f>COUNTIF($A$2:$A$1000, A766)</f>
        <v>1</v>
      </c>
    </row>
    <row r="767" spans="1:37">
      <c r="A767" t="s">
        <v>2371</v>
      </c>
      <c r="B767" s="5">
        <v>45837</v>
      </c>
      <c r="C767" s="5">
        <v>45841</v>
      </c>
      <c r="D767" s="6">
        <f>IF(AND(C767&lt;&gt;"",B767&lt;&gt;""), C767-B767, "Missing Date")</f>
        <v>4</v>
      </c>
      <c r="E767" s="6" t="str">
        <f>IF(OR(B767="",C767=""), "Missing Date",
    IF(C767&lt;B767, "Invalid: Ship before Order",
      "OK"))</f>
        <v>OK</v>
      </c>
      <c r="F767" t="s">
        <v>2372</v>
      </c>
      <c r="G767" t="s">
        <v>71</v>
      </c>
      <c r="H767" t="s">
        <v>90</v>
      </c>
      <c r="I767" t="s">
        <v>38</v>
      </c>
      <c r="J767" t="s">
        <v>228</v>
      </c>
      <c r="K767" t="s">
        <v>229</v>
      </c>
      <c r="L767" t="s">
        <v>28</v>
      </c>
      <c r="M767" t="s">
        <v>91</v>
      </c>
      <c r="N767" t="s">
        <v>2373</v>
      </c>
      <c r="O767" t="s">
        <v>50</v>
      </c>
      <c r="P767">
        <v>3</v>
      </c>
      <c r="Q767">
        <v>608.14</v>
      </c>
      <c r="R767">
        <v>0</v>
      </c>
      <c r="S767">
        <v>1824.42</v>
      </c>
      <c r="T767">
        <v>1214.8699999999999</v>
      </c>
      <c r="U767">
        <v>609.54999999999995</v>
      </c>
      <c r="V767" t="s">
        <v>32</v>
      </c>
      <c r="W767" t="s">
        <v>33</v>
      </c>
      <c r="X767" t="str">
        <f>_xlfn.TEXTJOIN("|", TRUE, A767:W767)</f>
        <v>ORD-2025-10766|45837|45841|4|OK|CUST-8747|Vikram Iyer|Corporate|East|Jharkhand|Ranchi|Office Supplies|Labels|Max Labels 136|First Class|3|608.14|0|1824.42|1214.87|609.55|Paid|Completed</v>
      </c>
      <c r="Y767">
        <f>COUNTIF($X$2:$X$1000, X767)</f>
        <v>1</v>
      </c>
      <c r="Z767">
        <f>COUNTIF($A$2:$A$1000, A767)</f>
        <v>1</v>
      </c>
      <c r="AA767" t="str">
        <f>IF(Y767&gt;1, "Exact Duplicate",
  IF(Z767&gt;1, "Conflicting Duplicate - Review",
    "Unique"))</f>
        <v>Unique</v>
      </c>
      <c r="AB767" s="2">
        <f>IF(ISBLANK(R767), 0, IF(ISTEXT(R767), VALUE(SUBSTITUTE(R767, "%", ""))/100, IF(OR(R767&lt;0, R767&gt;1), "Invalid", R767)))</f>
        <v>0</v>
      </c>
      <c r="AC767" s="4">
        <f>IF(AB767="Invalid", "Error", P767 * Q767 * (1 - AB767))</f>
        <v>1824.42</v>
      </c>
      <c r="AD767" s="4">
        <f>IF(AC767="Error", "Error", AC767 - T767)</f>
        <v>609.55000000000018</v>
      </c>
      <c r="AE767" s="2">
        <f>IF(AC767="Error", "Error", IF(AC767=0, 0, AD767 / AC767))</f>
        <v>0.33410618169061956</v>
      </c>
      <c r="AF767" s="7">
        <f>C767-B767</f>
        <v>4</v>
      </c>
      <c r="AG767" s="2" t="str">
        <f>TEXT(B767, "mmmm")</f>
        <v>June</v>
      </c>
      <c r="AH767" s="4">
        <f>YEAR(B767)</f>
        <v>2025</v>
      </c>
      <c r="AI767" s="2" t="str">
        <f t="shared" si="25"/>
        <v>Clean</v>
      </c>
      <c r="AJ767">
        <f>COUNTIFS($A$2:$A$1000,A767,$B$2:$B$1000,B767,$C$2:$C$1000,C767,$D$2:$D$1000,D767,$E$2:$E$1000,E767,$F$2:$F$1000,F767)</f>
        <v>1</v>
      </c>
      <c r="AK767">
        <f>COUNTIF($A$2:$A$1000, A767)</f>
        <v>1</v>
      </c>
    </row>
    <row r="768" spans="1:37">
      <c r="A768" t="s">
        <v>2374</v>
      </c>
      <c r="B768" s="5">
        <v>45552</v>
      </c>
      <c r="C768" s="5">
        <v>45559</v>
      </c>
      <c r="D768" s="6">
        <f>IF(AND(C768&lt;&gt;"",B768&lt;&gt;""), C768-B768, "Missing Date")</f>
        <v>7</v>
      </c>
      <c r="E768" s="6" t="str">
        <f>IF(OR(B768="",C768=""), "Missing Date",
    IF(C768&lt;B768, "Invalid: Ship before Order",
      "OK"))</f>
        <v>OK</v>
      </c>
      <c r="F768" t="s">
        <v>2375</v>
      </c>
      <c r="G768" t="s">
        <v>36</v>
      </c>
      <c r="H768" t="s">
        <v>90</v>
      </c>
      <c r="I768" t="s">
        <v>63</v>
      </c>
      <c r="J768" t="s">
        <v>180</v>
      </c>
      <c r="K768" t="s">
        <v>181</v>
      </c>
      <c r="L768" t="s">
        <v>28</v>
      </c>
      <c r="M768" t="s">
        <v>48</v>
      </c>
      <c r="N768" t="s">
        <v>2376</v>
      </c>
      <c r="O768" t="s">
        <v>31</v>
      </c>
      <c r="P768">
        <v>9</v>
      </c>
      <c r="Q768">
        <v>2307.96</v>
      </c>
      <c r="R768">
        <v>0.2</v>
      </c>
      <c r="S768">
        <v>16617.310000000001</v>
      </c>
      <c r="T768">
        <v>9195.73</v>
      </c>
      <c r="U768">
        <v>7421.58</v>
      </c>
      <c r="V768" t="s">
        <v>32</v>
      </c>
      <c r="W768" t="s">
        <v>68</v>
      </c>
      <c r="X768" t="str">
        <f>_xlfn.TEXTJOIN("|", TRUE, A768:W768)</f>
        <v>ORD-2024-10767|45552|45559|7|OK|CUST-3156|Mira Das|Corporate|West|Gujarat|Ahmedabad|Office Supplies|Art|Prime Art 380|Second Class|9|2307.96|0.2|16617.31|9195.73|7421.58|Paid|Cancelled</v>
      </c>
      <c r="Y768">
        <f>COUNTIF($X$2:$X$1000, X768)</f>
        <v>1</v>
      </c>
      <c r="Z768">
        <f>COUNTIF($A$2:$A$1000, A768)</f>
        <v>1</v>
      </c>
      <c r="AA768" t="str">
        <f>IF(Y768&gt;1, "Exact Duplicate",
  IF(Z768&gt;1, "Conflicting Duplicate - Review",
    "Unique"))</f>
        <v>Unique</v>
      </c>
      <c r="AB768" s="2">
        <f>IF(ISBLANK(R768), 0, IF(ISTEXT(R768), VALUE(SUBSTITUTE(R768, "%", ""))/100, IF(OR(R768&lt;0, R768&gt;1), "Invalid", R768)))</f>
        <v>0.2</v>
      </c>
      <c r="AC768" s="4">
        <f>IF(AB768="Invalid", "Error", P768 * Q768 * (1 - AB768))</f>
        <v>16617.312000000002</v>
      </c>
      <c r="AD768" s="4">
        <f>IF(AC768="Error", "Error", AC768 - T768)</f>
        <v>7421.5820000000022</v>
      </c>
      <c r="AE768" s="2">
        <f>IF(AC768="Error", "Error", IF(AC768=0, 0, AD768 / AC768))</f>
        <v>0.44661747940942564</v>
      </c>
      <c r="AF768" s="7">
        <f>C768-B768</f>
        <v>7</v>
      </c>
      <c r="AG768" s="2" t="str">
        <f>TEXT(B768, "mmmm")</f>
        <v>September</v>
      </c>
      <c r="AH768" s="4">
        <f>YEAR(B768)</f>
        <v>2024</v>
      </c>
      <c r="AI768" s="2" t="str">
        <f t="shared" si="25"/>
        <v>Excluded from Sales</v>
      </c>
      <c r="AJ768">
        <f>COUNTIFS($A$2:$A$1000,A768,$B$2:$B$1000,B768,$C$2:$C$1000,C768,$D$2:$D$1000,D768,$E$2:$E$1000,E768,$F$2:$F$1000,F768)</f>
        <v>1</v>
      </c>
      <c r="AK768">
        <f>COUNTIF($A$2:$A$1000, A768)</f>
        <v>1</v>
      </c>
    </row>
    <row r="769" spans="1:37">
      <c r="A769" t="s">
        <v>2377</v>
      </c>
      <c r="B769" s="5">
        <v>45415</v>
      </c>
      <c r="C769" s="5">
        <v>45448</v>
      </c>
      <c r="D769" s="6">
        <f>IF(AND(C769&lt;&gt;"",B769&lt;&gt;""), C769-B769, "Missing Date")</f>
        <v>33</v>
      </c>
      <c r="E769" s="6" t="str">
        <f>IF(OR(B769="",C769=""), "Missing Date",
    IF(C769&lt;B769, "Invalid: Ship before Order",
      "OK"))</f>
        <v>OK</v>
      </c>
      <c r="F769" t="s">
        <v>2378</v>
      </c>
      <c r="G769" t="s">
        <v>62</v>
      </c>
      <c r="H769" t="s">
        <v>95</v>
      </c>
      <c r="I769" t="s">
        <v>25</v>
      </c>
      <c r="J769" t="s">
        <v>136</v>
      </c>
      <c r="K769" t="s">
        <v>137</v>
      </c>
      <c r="L769" t="s">
        <v>28</v>
      </c>
      <c r="M769" t="s">
        <v>153</v>
      </c>
      <c r="N769" t="s">
        <v>2379</v>
      </c>
      <c r="O769" t="s">
        <v>59</v>
      </c>
      <c r="P769">
        <v>1</v>
      </c>
      <c r="Q769">
        <v>1244.58</v>
      </c>
      <c r="R769">
        <v>0.25</v>
      </c>
      <c r="S769">
        <v>933.43</v>
      </c>
      <c r="T769">
        <v>583.09</v>
      </c>
      <c r="U769">
        <v>350.34</v>
      </c>
      <c r="V769" t="s">
        <v>32</v>
      </c>
      <c r="W769" t="s">
        <v>33</v>
      </c>
      <c r="X769" t="str">
        <f>_xlfn.TEXTJOIN("|", TRUE, A769:W769)</f>
        <v>ORD-2024-10768|45415|45448|33|OK|CUST-2043|Ananya Rao|Home Office|North|Uttar Pradesh|Noida|Office Supplies|Binders|Classic Binders 234|Standard Class|1|1244.58|0.25|933.43|583.09|350.34|Paid|Completed</v>
      </c>
      <c r="Y769">
        <f>COUNTIF($X$2:$X$1000, X769)</f>
        <v>1</v>
      </c>
      <c r="Z769">
        <f>COUNTIF($A$2:$A$1000, A769)</f>
        <v>1</v>
      </c>
      <c r="AA769" t="str">
        <f>IF(Y769&gt;1, "Exact Duplicate",
  IF(Z769&gt;1, "Conflicting Duplicate - Review",
    "Unique"))</f>
        <v>Unique</v>
      </c>
      <c r="AB769" s="2">
        <f>IF(ISBLANK(R769), 0, IF(ISTEXT(R769), VALUE(SUBSTITUTE(R769, "%", ""))/100, IF(OR(R769&lt;0, R769&gt;1), "Invalid", R769)))</f>
        <v>0.25</v>
      </c>
      <c r="AC769" s="4">
        <f>IF(AB769="Invalid", "Error", P769 * Q769 * (1 - AB769))</f>
        <v>933.43499999999995</v>
      </c>
      <c r="AD769" s="4">
        <f>IF(AC769="Error", "Error", AC769 - T769)</f>
        <v>350.34499999999991</v>
      </c>
      <c r="AE769" s="2">
        <f>IF(AC769="Error", "Error", IF(AC769=0, 0, AD769 / AC769))</f>
        <v>0.3753287588316272</v>
      </c>
      <c r="AF769" s="7">
        <f>C769-B769</f>
        <v>33</v>
      </c>
      <c r="AG769" s="2" t="str">
        <f>TEXT(B769, "mmmm")</f>
        <v>May</v>
      </c>
      <c r="AH769" s="4">
        <f>YEAR(B769)</f>
        <v>2024</v>
      </c>
      <c r="AI769" s="2" t="str">
        <f t="shared" si="25"/>
        <v>Clean</v>
      </c>
      <c r="AJ769">
        <f>COUNTIFS($A$2:$A$1000,A769,$B$2:$B$1000,B769,$C$2:$C$1000,C769,$D$2:$D$1000,D769,$E$2:$E$1000,E769,$F$2:$F$1000,F769)</f>
        <v>1</v>
      </c>
      <c r="AK769">
        <f>COUNTIF($A$2:$A$1000, A769)</f>
        <v>1</v>
      </c>
    </row>
    <row r="770" spans="1:37">
      <c r="A770" t="s">
        <v>2380</v>
      </c>
      <c r="B770" s="5">
        <v>45749</v>
      </c>
      <c r="C770" s="5">
        <v>45751</v>
      </c>
      <c r="D770" s="6">
        <f>IF(AND(C770&lt;&gt;"",B770&lt;&gt;""), C770-B770, "Missing Date")</f>
        <v>2</v>
      </c>
      <c r="E770" s="6" t="str">
        <f>IF(OR(B770="",C770=""), "Missing Date",
    IF(C770&lt;B770, "Invalid: Ship before Order",
      "OK"))</f>
        <v>OK</v>
      </c>
      <c r="F770" t="s">
        <v>2381</v>
      </c>
      <c r="G770" t="s">
        <v>132</v>
      </c>
      <c r="H770" t="s">
        <v>95</v>
      </c>
      <c r="I770" t="s">
        <v>38</v>
      </c>
      <c r="J770" t="s">
        <v>228</v>
      </c>
      <c r="K770" t="s">
        <v>229</v>
      </c>
      <c r="L770" t="s">
        <v>28</v>
      </c>
      <c r="M770" t="s">
        <v>29</v>
      </c>
      <c r="N770" t="s">
        <v>2382</v>
      </c>
      <c r="O770" t="s">
        <v>44</v>
      </c>
      <c r="P770">
        <v>5</v>
      </c>
      <c r="Q770">
        <v>3234.24</v>
      </c>
      <c r="R770">
        <v>0.1</v>
      </c>
      <c r="S770">
        <v>14554.08</v>
      </c>
      <c r="T770">
        <v>11166.84</v>
      </c>
      <c r="U770">
        <v>3387.24</v>
      </c>
      <c r="V770" t="s">
        <v>32</v>
      </c>
      <c r="W770" t="s">
        <v>33</v>
      </c>
      <c r="X770" t="str">
        <f>_xlfn.TEXTJOIN("|", TRUE, A770:W770)</f>
        <v>ORD-2025-10769|45749|45751|2|OK|CUST-8808|Sneha Kapoor|Home Office|East|Jharkhand|Ranchi|Office Supplies|Paper|Classic Paper 280|Same Day|5|3234.24|0.1|14554.08|11166.84|3387.24|Paid|Completed</v>
      </c>
      <c r="Y770">
        <f>COUNTIF($X$2:$X$1000, X770)</f>
        <v>1</v>
      </c>
      <c r="Z770">
        <f>COUNTIF($A$2:$A$1000, A770)</f>
        <v>1</v>
      </c>
      <c r="AA770" t="str">
        <f>IF(Y770&gt;1, "Exact Duplicate",
  IF(Z770&gt;1, "Conflicting Duplicate - Review",
    "Unique"))</f>
        <v>Unique</v>
      </c>
      <c r="AB770" s="2">
        <f>IF(ISBLANK(R770), 0, IF(ISTEXT(R770), VALUE(SUBSTITUTE(R770, "%", ""))/100, IF(OR(R770&lt;0, R770&gt;1), "Invalid", R770)))</f>
        <v>0.1</v>
      </c>
      <c r="AC770" s="4">
        <f>IF(AB770="Invalid", "Error", P770 * Q770 * (1 - AB770))</f>
        <v>14554.08</v>
      </c>
      <c r="AD770" s="4">
        <f>IF(AC770="Error", "Error", AC770 - T770)</f>
        <v>3387.24</v>
      </c>
      <c r="AE770" s="2">
        <f>IF(AC770="Error", "Error", IF(AC770=0, 0, AD770 / AC770))</f>
        <v>0.23273473830018798</v>
      </c>
      <c r="AF770" s="7">
        <f>C770-B770</f>
        <v>2</v>
      </c>
      <c r="AG770" s="2" t="str">
        <f>TEXT(B770, "mmmm")</f>
        <v>April</v>
      </c>
      <c r="AH770" s="4">
        <f>YEAR(B770)</f>
        <v>2025</v>
      </c>
      <c r="AI770" s="2" t="str">
        <f t="shared" si="25"/>
        <v>Clean</v>
      </c>
      <c r="AJ770">
        <f>COUNTIFS($A$2:$A$1000,A770,$B$2:$B$1000,B770,$C$2:$C$1000,C770,$D$2:$D$1000,D770,$E$2:$E$1000,E770,$F$2:$F$1000,F770)</f>
        <v>1</v>
      </c>
      <c r="AK770">
        <f>COUNTIF($A$2:$A$1000, A770)</f>
        <v>1</v>
      </c>
    </row>
    <row r="771" spans="1:37">
      <c r="A771" t="s">
        <v>2383</v>
      </c>
      <c r="B771" s="5">
        <v>45601</v>
      </c>
      <c r="C771" s="5">
        <v>45425</v>
      </c>
      <c r="D771" s="6">
        <f>IF(AND(C771&lt;&gt;"",B771&lt;&gt;""), C771-B771, "Missing Date")</f>
        <v>-176</v>
      </c>
      <c r="E771" s="6" t="str">
        <f>IF(OR(B771="",C771=""), "Missing Date",
    IF(C771&lt;B771, "Invalid: Ship before Order",
      "OK"))</f>
        <v>Invalid: Ship before Order</v>
      </c>
      <c r="F771" t="s">
        <v>2384</v>
      </c>
      <c r="G771" t="s">
        <v>114</v>
      </c>
      <c r="H771" t="s">
        <v>95</v>
      </c>
      <c r="I771" t="s">
        <v>63</v>
      </c>
      <c r="J771" t="s">
        <v>190</v>
      </c>
      <c r="K771" t="s">
        <v>191</v>
      </c>
      <c r="L771" t="s">
        <v>41</v>
      </c>
      <c r="M771" t="s">
        <v>158</v>
      </c>
      <c r="N771" t="s">
        <v>2385</v>
      </c>
      <c r="O771" t="s">
        <v>44</v>
      </c>
      <c r="P771">
        <v>3</v>
      </c>
      <c r="Q771">
        <v>3612.75</v>
      </c>
      <c r="R771">
        <v>0.25</v>
      </c>
      <c r="S771">
        <v>8128.69</v>
      </c>
      <c r="T771">
        <v>5071.66</v>
      </c>
      <c r="U771">
        <v>3057.03</v>
      </c>
      <c r="V771" t="s">
        <v>32</v>
      </c>
      <c r="W771" t="s">
        <v>33</v>
      </c>
      <c r="X771" t="str">
        <f>_xlfn.TEXTJOIN("|", TRUE, A771:W771)</f>
        <v>ORD-2024-10770|45601|45425|-176|Invalid: Ship before Order|CUST-1293|Priya Menon|Home Office|West|Goa|Panaji|Furniture|Bookcases|Classic Bookcases 922|Same Day|3|3612.75|0.25|8128.69|5071.66|3057.03|Paid|Completed</v>
      </c>
      <c r="Y771">
        <f>COUNTIF($X$2:$X$1000, X771)</f>
        <v>1</v>
      </c>
      <c r="Z771">
        <f>COUNTIF($A$2:$A$1000, A771)</f>
        <v>1</v>
      </c>
      <c r="AA771" t="str">
        <f>IF(Y771&gt;1, "Exact Duplicate",
  IF(Z771&gt;1, "Conflicting Duplicate - Review",
    "Unique"))</f>
        <v>Unique</v>
      </c>
      <c r="AB771" s="2">
        <f>IF(ISBLANK(R771), 0, IF(ISTEXT(R771), VALUE(SUBSTITUTE(R771, "%", ""))/100, IF(OR(R771&lt;0, R771&gt;1), "Invalid", R771)))</f>
        <v>0.25</v>
      </c>
      <c r="AC771" s="4">
        <f>IF(AB771="Invalid", "Error", P771 * Q771 * (1 - AB771))</f>
        <v>8128.6875</v>
      </c>
      <c r="AD771" s="4">
        <f>IF(AC771="Error", "Error", AC771 - T771)</f>
        <v>3057.0275000000001</v>
      </c>
      <c r="AE771" s="2">
        <f>IF(AC771="Error", "Error", IF(AC771=0, 0, AD771 / AC771))</f>
        <v>0.3760788565189645</v>
      </c>
      <c r="AF771" s="7">
        <f>C771-B771</f>
        <v>-176</v>
      </c>
      <c r="AG771" s="2" t="str">
        <f>TEXT(B771, "mmmm")</f>
        <v>November</v>
      </c>
      <c r="AH771" s="4">
        <f>YEAR(B771)</f>
        <v>2024</v>
      </c>
      <c r="AI771" s="2" t="str">
        <f t="shared" ref="AI771:AI834" si="26">IF(OR(R771&lt;0,R771&gt;1),"Invalid: Discount",
IF(AND(I771="Unknown",J771&lt;&gt;""),"Warning: Missing Region",
IF(W771="Cancelled","Excluded from Sales",
IF(V771="Failed","Excluded from Sales",
IF(O771="Unknown","Warning: Missing Shipping Mode",
IF(W771="Refunded","Refund – Separate Summary",
IF(C771&lt;B771,"Invalid Shipping Record",
"Clean")))))))</f>
        <v>Invalid Shipping Record</v>
      </c>
      <c r="AJ771">
        <f>COUNTIFS($A$2:$A$1000,A771,$B$2:$B$1000,B771,$C$2:$C$1000,C771,$D$2:$D$1000,D771,$E$2:$E$1000,E771,$F$2:$F$1000,F771)</f>
        <v>1</v>
      </c>
      <c r="AK771">
        <f>COUNTIF($A$2:$A$1000, A771)</f>
        <v>1</v>
      </c>
    </row>
    <row r="772" spans="1:37">
      <c r="A772" t="s">
        <v>2386</v>
      </c>
      <c r="B772" s="5">
        <v>45337</v>
      </c>
      <c r="C772" s="5">
        <v>45339</v>
      </c>
      <c r="D772" s="6">
        <f>IF(AND(C772&lt;&gt;"",B772&lt;&gt;""), C772-B772, "Missing Date")</f>
        <v>2</v>
      </c>
      <c r="E772" s="6" t="str">
        <f>IF(OR(B772="",C772=""), "Missing Date",
    IF(C772&lt;B772, "Invalid: Ship before Order",
      "OK"))</f>
        <v>OK</v>
      </c>
      <c r="F772" t="s">
        <v>2387</v>
      </c>
      <c r="G772" t="s">
        <v>79</v>
      </c>
      <c r="H772" t="s">
        <v>24</v>
      </c>
      <c r="I772" t="s">
        <v>25</v>
      </c>
      <c r="J772" t="s">
        <v>136</v>
      </c>
      <c r="K772" t="s">
        <v>137</v>
      </c>
      <c r="L772" t="s">
        <v>74</v>
      </c>
      <c r="M772" t="s">
        <v>80</v>
      </c>
      <c r="N772" t="s">
        <v>2388</v>
      </c>
      <c r="O772" t="s">
        <v>50</v>
      </c>
      <c r="P772">
        <v>4</v>
      </c>
      <c r="Q772">
        <v>863</v>
      </c>
      <c r="S772">
        <v>3106.8</v>
      </c>
      <c r="T772">
        <v>2376.62</v>
      </c>
      <c r="U772">
        <v>730.18</v>
      </c>
      <c r="V772" t="s">
        <v>32</v>
      </c>
      <c r="W772" t="s">
        <v>33</v>
      </c>
      <c r="X772" t="str">
        <f>_xlfn.TEXTJOIN("|", TRUE, A772:W772)</f>
        <v>ORD-2024-10771|45337|45339|2|OK|CUST-8384|Neha Gupta|Consumer|North|Uttar Pradesh|Noida|Technology|Copiers|Eco Copiers 396|First Class|4|863|3106.8|2376.62|730.18|Paid|Completed</v>
      </c>
      <c r="Y772">
        <f>COUNTIF($X$2:$X$1000, X772)</f>
        <v>1</v>
      </c>
      <c r="Z772">
        <f>COUNTIF($A$2:$A$1000, A772)</f>
        <v>1</v>
      </c>
      <c r="AA772" t="str">
        <f>IF(Y772&gt;1, "Exact Duplicate",
  IF(Z772&gt;1, "Conflicting Duplicate - Review",
    "Unique"))</f>
        <v>Unique</v>
      </c>
      <c r="AB772" s="2">
        <f>IF(ISBLANK(R772), 0, IF(ISTEXT(R772), VALUE(SUBSTITUTE(R772, "%", ""))/100, IF(OR(R772&lt;0, R772&gt;1), "Invalid", R772)))</f>
        <v>0</v>
      </c>
      <c r="AC772" s="4">
        <f>IF(AB772="Invalid", "Error", P772 * Q772 * (1 - AB772))</f>
        <v>3452</v>
      </c>
      <c r="AD772" s="4">
        <f>IF(AC772="Error", "Error", AC772 - T772)</f>
        <v>1075.3800000000001</v>
      </c>
      <c r="AE772" s="2">
        <f>IF(AC772="Error", "Error", IF(AC772=0, 0, AD772 / AC772))</f>
        <v>0.3115237543453071</v>
      </c>
      <c r="AF772" s="7">
        <f>C772-B772</f>
        <v>2</v>
      </c>
      <c r="AG772" s="2" t="str">
        <f>TEXT(B772, "mmmm")</f>
        <v>February</v>
      </c>
      <c r="AH772" s="4">
        <f>YEAR(B772)</f>
        <v>2024</v>
      </c>
      <c r="AI772" s="2" t="str">
        <f t="shared" si="26"/>
        <v>Clean</v>
      </c>
      <c r="AJ772">
        <f>COUNTIFS($A$2:$A$1000,A772,$B$2:$B$1000,B772,$C$2:$C$1000,C772,$D$2:$D$1000,D772,$E$2:$E$1000,E772,$F$2:$F$1000,F772)</f>
        <v>1</v>
      </c>
      <c r="AK772">
        <f>COUNTIF($A$2:$A$1000, A772)</f>
        <v>1</v>
      </c>
    </row>
    <row r="773" spans="1:37">
      <c r="A773" t="s">
        <v>2389</v>
      </c>
      <c r="B773" s="5">
        <v>45485</v>
      </c>
      <c r="C773" s="5">
        <v>45487</v>
      </c>
      <c r="D773" s="6">
        <f>IF(AND(C773&lt;&gt;"",B773&lt;&gt;""), C773-B773, "Missing Date")</f>
        <v>2</v>
      </c>
      <c r="E773" s="6" t="str">
        <f>IF(OR(B773="",C773=""), "Missing Date",
    IF(C773&lt;B773, "Invalid: Ship before Order",
      "OK"))</f>
        <v>OK</v>
      </c>
      <c r="F773" t="s">
        <v>467</v>
      </c>
      <c r="G773" t="s">
        <v>62</v>
      </c>
      <c r="H773" t="s">
        <v>24</v>
      </c>
      <c r="I773" t="s">
        <v>25</v>
      </c>
      <c r="J773" t="s">
        <v>236</v>
      </c>
      <c r="K773" t="s">
        <v>237</v>
      </c>
      <c r="L773" t="s">
        <v>74</v>
      </c>
      <c r="M773" t="s">
        <v>274</v>
      </c>
      <c r="N773" t="s">
        <v>2390</v>
      </c>
      <c r="O773" t="s">
        <v>31</v>
      </c>
      <c r="P773">
        <v>4</v>
      </c>
      <c r="Q773">
        <v>2131.41</v>
      </c>
      <c r="S773">
        <v>6394.23</v>
      </c>
      <c r="T773">
        <v>3520.69</v>
      </c>
      <c r="U773">
        <v>2873.54</v>
      </c>
      <c r="V773" t="s">
        <v>32</v>
      </c>
      <c r="W773" t="s">
        <v>33</v>
      </c>
      <c r="X773" t="str">
        <f>_xlfn.TEXTJOIN("|", TRUE, A773:W773)</f>
        <v>ORD-2024-10772|45485|45487|2|OK|CUST-7861|Ananya Rao|Consumer|North|Haryana|Gurugram|Technology|Machines|Basic Machines 401|Second Class|4|2131.41|6394.23|3520.69|2873.54|Paid|Completed</v>
      </c>
      <c r="Y773">
        <f>COUNTIF($X$2:$X$1000, X773)</f>
        <v>1</v>
      </c>
      <c r="Z773">
        <f>COUNTIF($A$2:$A$1000, A773)</f>
        <v>1</v>
      </c>
      <c r="AA773" t="str">
        <f>IF(Y773&gt;1, "Exact Duplicate",
  IF(Z773&gt;1, "Conflicting Duplicate - Review",
    "Unique"))</f>
        <v>Unique</v>
      </c>
      <c r="AB773" s="2">
        <f>IF(ISBLANK(R773), 0, IF(ISTEXT(R773), VALUE(SUBSTITUTE(R773, "%", ""))/100, IF(OR(R773&lt;0, R773&gt;1), "Invalid", R773)))</f>
        <v>0</v>
      </c>
      <c r="AC773" s="4">
        <f>IF(AB773="Invalid", "Error", P773 * Q773 * (1 - AB773))</f>
        <v>8525.64</v>
      </c>
      <c r="AD773" s="4">
        <f>IF(AC773="Error", "Error", AC773 - T773)</f>
        <v>5004.9499999999989</v>
      </c>
      <c r="AE773" s="2">
        <f>IF(AC773="Error", "Error", IF(AC773=0, 0, AD773 / AC773))</f>
        <v>0.58704683753946907</v>
      </c>
      <c r="AF773" s="7">
        <f>C773-B773</f>
        <v>2</v>
      </c>
      <c r="AG773" s="2" t="str">
        <f>TEXT(B773, "mmmm")</f>
        <v>July</v>
      </c>
      <c r="AH773" s="4">
        <f>YEAR(B773)</f>
        <v>2024</v>
      </c>
      <c r="AI773" s="2" t="str">
        <f t="shared" si="26"/>
        <v>Clean</v>
      </c>
      <c r="AJ773">
        <f>COUNTIFS($A$2:$A$1000,A773,$B$2:$B$1000,B773,$C$2:$C$1000,C773,$D$2:$D$1000,D773,$E$2:$E$1000,E773,$F$2:$F$1000,F773)</f>
        <v>1</v>
      </c>
      <c r="AK773">
        <f>COUNTIF($A$2:$A$1000, A773)</f>
        <v>1</v>
      </c>
    </row>
    <row r="774" spans="1:37">
      <c r="A774" t="s">
        <v>2391</v>
      </c>
      <c r="B774" s="5">
        <v>45853</v>
      </c>
      <c r="C774" s="5">
        <v>45857</v>
      </c>
      <c r="D774" s="6">
        <f>IF(AND(C774&lt;&gt;"",B774&lt;&gt;""), C774-B774, "Missing Date")</f>
        <v>4</v>
      </c>
      <c r="E774" s="6" t="str">
        <f>IF(OR(B774="",C774=""), "Missing Date",
    IF(C774&lt;B774, "Invalid: Ship before Order",
      "OK"))</f>
        <v>OK</v>
      </c>
      <c r="F774" t="s">
        <v>2392</v>
      </c>
      <c r="G774" t="s">
        <v>162</v>
      </c>
      <c r="H774" t="s">
        <v>24</v>
      </c>
      <c r="I774" t="s">
        <v>54</v>
      </c>
      <c r="J774" t="s">
        <v>247</v>
      </c>
      <c r="K774" t="s">
        <v>248</v>
      </c>
      <c r="L774" t="s">
        <v>41</v>
      </c>
      <c r="M774" t="s">
        <v>66</v>
      </c>
      <c r="N774" t="s">
        <v>2393</v>
      </c>
      <c r="O774" t="s">
        <v>44</v>
      </c>
      <c r="P774">
        <v>1</v>
      </c>
      <c r="Q774">
        <v>3903.22</v>
      </c>
      <c r="R774">
        <v>0.05</v>
      </c>
      <c r="S774">
        <v>3708.06</v>
      </c>
      <c r="T774">
        <v>2760.29</v>
      </c>
      <c r="U774">
        <v>947.77</v>
      </c>
      <c r="V774" t="s">
        <v>111</v>
      </c>
      <c r="W774" t="s">
        <v>68</v>
      </c>
      <c r="X774" t="str">
        <f>_xlfn.TEXTJOIN("|", TRUE, A774:W774)</f>
        <v>ORD-2025-10773|45853|45857|4|OK|CUST-8422|Diya Patel|Consumer|South|Tamil Nadu|Chennai|Furniture|Chairs|Basic Chairs 279|Same Day|1|3903.22|0.05|3708.06|2760.29|947.77|Pending|Cancelled</v>
      </c>
      <c r="Y774">
        <f>COUNTIF($X$2:$X$1000, X774)</f>
        <v>1</v>
      </c>
      <c r="Z774">
        <f>COUNTIF($A$2:$A$1000, A774)</f>
        <v>1</v>
      </c>
      <c r="AA774" t="str">
        <f>IF(Y774&gt;1, "Exact Duplicate",
  IF(Z774&gt;1, "Conflicting Duplicate - Review",
    "Unique"))</f>
        <v>Unique</v>
      </c>
      <c r="AB774" s="2">
        <f>IF(ISBLANK(R774), 0, IF(ISTEXT(R774), VALUE(SUBSTITUTE(R774, "%", ""))/100, IF(OR(R774&lt;0, R774&gt;1), "Invalid", R774)))</f>
        <v>0.05</v>
      </c>
      <c r="AC774" s="4">
        <f>IF(AB774="Invalid", "Error", P774 * Q774 * (1 - AB774))</f>
        <v>3708.0589999999997</v>
      </c>
      <c r="AD774" s="4">
        <f>IF(AC774="Error", "Error", AC774 - T774)</f>
        <v>947.76899999999978</v>
      </c>
      <c r="AE774" s="2">
        <f>IF(AC774="Error", "Error", IF(AC774=0, 0, AD774 / AC774))</f>
        <v>0.25559706574248142</v>
      </c>
      <c r="AF774" s="7">
        <f>C774-B774</f>
        <v>4</v>
      </c>
      <c r="AG774" s="2" t="str">
        <f>TEXT(B774, "mmmm")</f>
        <v>July</v>
      </c>
      <c r="AH774" s="4">
        <f>YEAR(B774)</f>
        <v>2025</v>
      </c>
      <c r="AI774" s="2" t="str">
        <f t="shared" si="26"/>
        <v>Excluded from Sales</v>
      </c>
      <c r="AJ774">
        <f>COUNTIFS($A$2:$A$1000,A774,$B$2:$B$1000,B774,$C$2:$C$1000,C774,$D$2:$D$1000,D774,$E$2:$E$1000,E774,$F$2:$F$1000,F774)</f>
        <v>1</v>
      </c>
      <c r="AK774">
        <f>COUNTIF($A$2:$A$1000, A774)</f>
        <v>1</v>
      </c>
    </row>
    <row r="775" spans="1:37">
      <c r="A775" t="s">
        <v>2394</v>
      </c>
      <c r="B775" s="5">
        <v>45709</v>
      </c>
      <c r="C775" s="5">
        <v>45709</v>
      </c>
      <c r="D775" s="6">
        <f>IF(AND(C775&lt;&gt;"",B775&lt;&gt;""), C775-B775, "Missing Date")</f>
        <v>0</v>
      </c>
      <c r="E775" s="6" t="str">
        <f>IF(OR(B775="",C775=""), "Missing Date",
    IF(C775&lt;B775, "Invalid: Ship before Order",
      "OK"))</f>
        <v>OK</v>
      </c>
      <c r="F775" t="s">
        <v>2395</v>
      </c>
      <c r="G775" t="s">
        <v>23</v>
      </c>
      <c r="H775" t="s">
        <v>95</v>
      </c>
      <c r="I775" t="s">
        <v>63</v>
      </c>
      <c r="J775" t="s">
        <v>180</v>
      </c>
      <c r="K775" t="s">
        <v>181</v>
      </c>
      <c r="L775" t="s">
        <v>74</v>
      </c>
      <c r="M775" t="s">
        <v>171</v>
      </c>
      <c r="N775" t="s">
        <v>2396</v>
      </c>
      <c r="O775" t="s">
        <v>2762</v>
      </c>
      <c r="P775">
        <v>4</v>
      </c>
      <c r="Q775">
        <v>2945.07</v>
      </c>
      <c r="R775">
        <v>0.2</v>
      </c>
      <c r="S775">
        <v>9424.2199999999993</v>
      </c>
      <c r="T775">
        <v>6178.92</v>
      </c>
      <c r="U775">
        <v>3245.3</v>
      </c>
      <c r="V775" t="s">
        <v>32</v>
      </c>
      <c r="W775" t="s">
        <v>33</v>
      </c>
      <c r="X775" t="str">
        <f>_xlfn.TEXTJOIN("|", TRUE, A775:W775)</f>
        <v>ORD-2025-10774|45709|45709|0|OK|CUST-4766|Karan Malhotra|Home Office|West|Gujarat|Ahmedabad|Technology|Phones|Basic Phones 753|Unknown|4|2945.07|0.2|9424.22|6178.92|3245.3|Paid|Completed</v>
      </c>
      <c r="Y775">
        <f>COUNTIF($X$2:$X$1000, X775)</f>
        <v>1</v>
      </c>
      <c r="Z775">
        <f>COUNTIF($A$2:$A$1000, A775)</f>
        <v>1</v>
      </c>
      <c r="AA775" t="str">
        <f>IF(Y775&gt;1, "Exact Duplicate",
  IF(Z775&gt;1, "Conflicting Duplicate - Review",
    "Unique"))</f>
        <v>Unique</v>
      </c>
      <c r="AB775" s="2">
        <f>IF(ISBLANK(R775), 0, IF(ISTEXT(R775), VALUE(SUBSTITUTE(R775, "%", ""))/100, IF(OR(R775&lt;0, R775&gt;1), "Invalid", R775)))</f>
        <v>0.2</v>
      </c>
      <c r="AC775" s="4">
        <f>IF(AB775="Invalid", "Error", P775 * Q775 * (1 - AB775))</f>
        <v>9424.2240000000002</v>
      </c>
      <c r="AD775" s="4">
        <f>IF(AC775="Error", "Error", AC775 - T775)</f>
        <v>3245.3040000000001</v>
      </c>
      <c r="AE775" s="2">
        <f>IF(AC775="Error", "Error", IF(AC775=0, 0, AD775 / AC775))</f>
        <v>0.3443576892909167</v>
      </c>
      <c r="AF775" s="7">
        <f>C775-B775</f>
        <v>0</v>
      </c>
      <c r="AG775" s="2" t="str">
        <f>TEXT(B775, "mmmm")</f>
        <v>February</v>
      </c>
      <c r="AH775" s="4">
        <f>YEAR(B775)</f>
        <v>2025</v>
      </c>
      <c r="AI775" s="2" t="str">
        <f t="shared" si="26"/>
        <v>Warning: Missing Shipping Mode</v>
      </c>
      <c r="AJ775">
        <f>COUNTIFS($A$2:$A$1000,A775,$B$2:$B$1000,B775,$C$2:$C$1000,C775,$D$2:$D$1000,D775,$E$2:$E$1000,E775,$F$2:$F$1000,F775)</f>
        <v>1</v>
      </c>
      <c r="AK775">
        <f>COUNTIF($A$2:$A$1000, A775)</f>
        <v>1</v>
      </c>
    </row>
    <row r="776" spans="1:37">
      <c r="A776" t="s">
        <v>2397</v>
      </c>
      <c r="B776" s="5">
        <v>45876</v>
      </c>
      <c r="C776" s="5">
        <v>45876</v>
      </c>
      <c r="D776" s="6">
        <f>IF(AND(C776&lt;&gt;"",B776&lt;&gt;""), C776-B776, "Missing Date")</f>
        <v>0</v>
      </c>
      <c r="E776" s="6" t="str">
        <f>IF(OR(B776="",C776=""), "Missing Date",
    IF(C776&lt;B776, "Invalid: Ship before Order",
      "OK"))</f>
        <v>OK</v>
      </c>
      <c r="F776" t="s">
        <v>2398</v>
      </c>
      <c r="G776" t="s">
        <v>264</v>
      </c>
      <c r="H776" t="s">
        <v>24</v>
      </c>
      <c r="I776" t="s">
        <v>63</v>
      </c>
      <c r="J776" t="s">
        <v>26</v>
      </c>
      <c r="K776" t="s">
        <v>109</v>
      </c>
      <c r="L776" t="s">
        <v>74</v>
      </c>
      <c r="M776" t="s">
        <v>274</v>
      </c>
      <c r="N776" t="s">
        <v>2399</v>
      </c>
      <c r="O776" t="s">
        <v>2762</v>
      </c>
      <c r="P776">
        <v>9</v>
      </c>
      <c r="Q776">
        <v>1076.75</v>
      </c>
      <c r="R776">
        <v>0.2</v>
      </c>
      <c r="S776">
        <v>7752.6</v>
      </c>
      <c r="T776">
        <v>4689.3</v>
      </c>
      <c r="U776">
        <v>3063.3</v>
      </c>
      <c r="V776" t="s">
        <v>32</v>
      </c>
      <c r="W776" t="s">
        <v>33</v>
      </c>
      <c r="X776" t="str">
        <f>_xlfn.TEXTJOIN("|", TRUE, A776:W776)</f>
        <v>ORD-2025-10775|45876|45876|0|OK|CUST-1182|Kabir Singh|Consumer|West|Rajasthan|Udaipur|Technology|Machines|Smart Machines 789|Unknown|9|1076.75|0.2|7752.6|4689.3|3063.3|Paid|Completed</v>
      </c>
      <c r="Y776">
        <f>COUNTIF($X$2:$X$1000, X776)</f>
        <v>1</v>
      </c>
      <c r="Z776">
        <f>COUNTIF($A$2:$A$1000, A776)</f>
        <v>1</v>
      </c>
      <c r="AA776" t="str">
        <f>IF(Y776&gt;1, "Exact Duplicate",
  IF(Z776&gt;1, "Conflicting Duplicate - Review",
    "Unique"))</f>
        <v>Unique</v>
      </c>
      <c r="AB776" s="2">
        <f>IF(ISBLANK(R776), 0, IF(ISTEXT(R776), VALUE(SUBSTITUTE(R776, "%", ""))/100, IF(OR(R776&lt;0, R776&gt;1), "Invalid", R776)))</f>
        <v>0.2</v>
      </c>
      <c r="AC776" s="4">
        <f>IF(AB776="Invalid", "Error", P776 * Q776 * (1 - AB776))</f>
        <v>7752.6</v>
      </c>
      <c r="AD776" s="4">
        <f>IF(AC776="Error", "Error", AC776 - T776)</f>
        <v>3063.3</v>
      </c>
      <c r="AE776" s="2">
        <f>IF(AC776="Error", "Error", IF(AC776=0, 0, AD776 / AC776))</f>
        <v>0.39513195573098059</v>
      </c>
      <c r="AF776" s="7">
        <f>C776-B776</f>
        <v>0</v>
      </c>
      <c r="AG776" s="2" t="str">
        <f>TEXT(B776, "mmmm")</f>
        <v>August</v>
      </c>
      <c r="AH776" s="4">
        <f>YEAR(B776)</f>
        <v>2025</v>
      </c>
      <c r="AI776" s="2" t="str">
        <f t="shared" si="26"/>
        <v>Warning: Missing Shipping Mode</v>
      </c>
      <c r="AJ776">
        <f>COUNTIFS($A$2:$A$1000,A776,$B$2:$B$1000,B776,$C$2:$C$1000,C776,$D$2:$D$1000,D776,$E$2:$E$1000,E776,$F$2:$F$1000,F776)</f>
        <v>1</v>
      </c>
      <c r="AK776">
        <f>COUNTIF($A$2:$A$1000, A776)</f>
        <v>1</v>
      </c>
    </row>
    <row r="777" spans="1:37">
      <c r="A777" t="s">
        <v>2400</v>
      </c>
      <c r="B777" s="5">
        <v>45396</v>
      </c>
      <c r="C777" s="5">
        <v>45404</v>
      </c>
      <c r="D777" s="6">
        <f>IF(AND(C777&lt;&gt;"",B777&lt;&gt;""), C777-B777, "Missing Date")</f>
        <v>8</v>
      </c>
      <c r="E777" s="6" t="str">
        <f>IF(OR(B777="",C777=""), "Missing Date",
    IF(C777&lt;B777, "Invalid: Ship before Order",
      "OK"))</f>
        <v>OK</v>
      </c>
      <c r="F777" t="s">
        <v>2401</v>
      </c>
      <c r="G777" t="s">
        <v>53</v>
      </c>
      <c r="H777" t="s">
        <v>24</v>
      </c>
      <c r="I777" t="s">
        <v>25</v>
      </c>
      <c r="J777" t="s">
        <v>236</v>
      </c>
      <c r="K777" t="s">
        <v>237</v>
      </c>
      <c r="L777" t="s">
        <v>74</v>
      </c>
      <c r="M777" t="s">
        <v>75</v>
      </c>
      <c r="N777" t="s">
        <v>2402</v>
      </c>
      <c r="O777" t="s">
        <v>59</v>
      </c>
      <c r="P777">
        <v>8</v>
      </c>
      <c r="Q777">
        <v>3956.12</v>
      </c>
      <c r="R777">
        <v>0.25</v>
      </c>
      <c r="S777">
        <v>23736.720000000001</v>
      </c>
      <c r="T777">
        <v>13890.9</v>
      </c>
      <c r="U777">
        <v>9845.82</v>
      </c>
      <c r="V777" t="s">
        <v>32</v>
      </c>
      <c r="W777" t="s">
        <v>33</v>
      </c>
      <c r="X777" t="str">
        <f>_xlfn.TEXTJOIN("|", TRUE, A777:W777)</f>
        <v>ORD-2024-10776|45396|45404|8|OK|CUST-4461|Arjun Bose|Consumer|North|Haryana|Gurugram|Technology|Accessories|Elite Accessories 312|Standard Class|8|3956.12|0.25|23736.72|13890.9|9845.82|Paid|Completed</v>
      </c>
      <c r="Y777">
        <f>COUNTIF($X$2:$X$1000, X777)</f>
        <v>1</v>
      </c>
      <c r="Z777">
        <f>COUNTIF($A$2:$A$1000, A777)</f>
        <v>1</v>
      </c>
      <c r="AA777" t="str">
        <f>IF(Y777&gt;1, "Exact Duplicate",
  IF(Z777&gt;1, "Conflicting Duplicate - Review",
    "Unique"))</f>
        <v>Unique</v>
      </c>
      <c r="AB777" s="2">
        <f>IF(ISBLANK(R777), 0, IF(ISTEXT(R777), VALUE(SUBSTITUTE(R777, "%", ""))/100, IF(OR(R777&lt;0, R777&gt;1), "Invalid", R777)))</f>
        <v>0.25</v>
      </c>
      <c r="AC777" s="4">
        <f>IF(AB777="Invalid", "Error", P777 * Q777 * (1 - AB777))</f>
        <v>23736.720000000001</v>
      </c>
      <c r="AD777" s="4">
        <f>IF(AC777="Error", "Error", AC777 - T777)</f>
        <v>9845.8200000000015</v>
      </c>
      <c r="AE777" s="2">
        <f>IF(AC777="Error", "Error", IF(AC777=0, 0, AD777 / AC777))</f>
        <v>0.41479277676106896</v>
      </c>
      <c r="AF777" s="7">
        <f>C777-B777</f>
        <v>8</v>
      </c>
      <c r="AG777" s="2" t="str">
        <f>TEXT(B777, "mmmm")</f>
        <v>April</v>
      </c>
      <c r="AH777" s="4">
        <f>YEAR(B777)</f>
        <v>2024</v>
      </c>
      <c r="AI777" s="2" t="str">
        <f t="shared" si="26"/>
        <v>Clean</v>
      </c>
      <c r="AJ777">
        <f>COUNTIFS($A$2:$A$1000,A777,$B$2:$B$1000,B777,$C$2:$C$1000,C777,$D$2:$D$1000,D777,$E$2:$E$1000,E777,$F$2:$F$1000,F777)</f>
        <v>1</v>
      </c>
      <c r="AK777">
        <f>COUNTIF($A$2:$A$1000, A777)</f>
        <v>1</v>
      </c>
    </row>
    <row r="778" spans="1:37">
      <c r="A778" t="s">
        <v>2403</v>
      </c>
      <c r="B778" s="5">
        <v>45816</v>
      </c>
      <c r="C778" s="5">
        <v>45821</v>
      </c>
      <c r="D778" s="6">
        <f>IF(AND(C778&lt;&gt;"",B778&lt;&gt;""), C778-B778, "Missing Date")</f>
        <v>5</v>
      </c>
      <c r="E778" s="6" t="str">
        <f>IF(OR(B778="",C778=""), "Missing Date",
    IF(C778&lt;B778, "Invalid: Ship before Order",
      "OK"))</f>
        <v>OK</v>
      </c>
      <c r="F778" t="s">
        <v>2404</v>
      </c>
      <c r="G778" t="s">
        <v>89</v>
      </c>
      <c r="H778" t="s">
        <v>37</v>
      </c>
      <c r="I778" t="s">
        <v>25</v>
      </c>
      <c r="J778" t="s">
        <v>26</v>
      </c>
      <c r="K778" t="s">
        <v>27</v>
      </c>
      <c r="L778" t="s">
        <v>74</v>
      </c>
      <c r="M778" t="s">
        <v>80</v>
      </c>
      <c r="N778" t="s">
        <v>2405</v>
      </c>
      <c r="O778" t="s">
        <v>31</v>
      </c>
      <c r="P778">
        <v>7</v>
      </c>
      <c r="Q778">
        <v>3857.13</v>
      </c>
      <c r="R778">
        <v>0</v>
      </c>
      <c r="S778">
        <v>26999.91</v>
      </c>
      <c r="T778">
        <v>17815.98</v>
      </c>
      <c r="U778">
        <v>9183.93</v>
      </c>
      <c r="V778" t="s">
        <v>32</v>
      </c>
      <c r="W778" t="s">
        <v>33</v>
      </c>
      <c r="X778" t="str">
        <f>_xlfn.TEXTJOIN("|", TRUE, A778:W778)</f>
        <v>ORD-2025-10777|45816|45821|5|OK|CUST-9690|Aditi Sen|Small Business|North|Rajasthan|Jaipur|Technology|Copiers|Eco Copiers 528|Second Class|7|3857.13|0|26999.91|17815.98|9183.93|Paid|Completed</v>
      </c>
      <c r="Y778">
        <f>COUNTIF($X$2:$X$1000, X778)</f>
        <v>1</v>
      </c>
      <c r="Z778">
        <f>COUNTIF($A$2:$A$1000, A778)</f>
        <v>1</v>
      </c>
      <c r="AA778" t="str">
        <f>IF(Y778&gt;1, "Exact Duplicate",
  IF(Z778&gt;1, "Conflicting Duplicate - Review",
    "Unique"))</f>
        <v>Unique</v>
      </c>
      <c r="AB778" s="2">
        <f>IF(ISBLANK(R778), 0, IF(ISTEXT(R778), VALUE(SUBSTITUTE(R778, "%", ""))/100, IF(OR(R778&lt;0, R778&gt;1), "Invalid", R778)))</f>
        <v>0</v>
      </c>
      <c r="AC778" s="4">
        <f>IF(AB778="Invalid", "Error", P778 * Q778 * (1 - AB778))</f>
        <v>26999.91</v>
      </c>
      <c r="AD778" s="4">
        <f>IF(AC778="Error", "Error", AC778 - T778)</f>
        <v>9183.93</v>
      </c>
      <c r="AE778" s="2">
        <f>IF(AC778="Error", "Error", IF(AC778=0, 0, AD778 / AC778))</f>
        <v>0.34014668937785347</v>
      </c>
      <c r="AF778" s="7">
        <f>C778-B778</f>
        <v>5</v>
      </c>
      <c r="AG778" s="2" t="str">
        <f>TEXT(B778, "mmmm")</f>
        <v>June</v>
      </c>
      <c r="AH778" s="4">
        <f>YEAR(B778)</f>
        <v>2025</v>
      </c>
      <c r="AI778" s="2" t="str">
        <f t="shared" si="26"/>
        <v>Clean</v>
      </c>
      <c r="AJ778">
        <f>COUNTIFS($A$2:$A$1000,A778,$B$2:$B$1000,B778,$C$2:$C$1000,C778,$D$2:$D$1000,D778,$E$2:$E$1000,E778,$F$2:$F$1000,F778)</f>
        <v>1</v>
      </c>
      <c r="AK778">
        <f>COUNTIF($A$2:$A$1000, A778)</f>
        <v>1</v>
      </c>
    </row>
    <row r="779" spans="1:37">
      <c r="A779" t="s">
        <v>2406</v>
      </c>
      <c r="B779" s="5">
        <v>45326</v>
      </c>
      <c r="C779" s="5">
        <v>45328</v>
      </c>
      <c r="D779" s="6">
        <f>IF(AND(C779&lt;&gt;"",B779&lt;&gt;""), C779-B779, "Missing Date")</f>
        <v>2</v>
      </c>
      <c r="E779" s="6" t="str">
        <f>IF(OR(B779="",C779=""), "Missing Date",
    IF(C779&lt;B779, "Invalid: Ship before Order",
      "OK"))</f>
        <v>OK</v>
      </c>
      <c r="F779" t="s">
        <v>2407</v>
      </c>
      <c r="G779" t="s">
        <v>264</v>
      </c>
      <c r="H779" t="s">
        <v>37</v>
      </c>
      <c r="I779" t="s">
        <v>63</v>
      </c>
      <c r="J779" t="s">
        <v>72</v>
      </c>
      <c r="K779" t="s">
        <v>73</v>
      </c>
      <c r="L779" t="s">
        <v>74</v>
      </c>
      <c r="M779" t="s">
        <v>75</v>
      </c>
      <c r="N779" t="s">
        <v>2408</v>
      </c>
      <c r="O779" t="s">
        <v>31</v>
      </c>
      <c r="P779">
        <v>4</v>
      </c>
      <c r="Q779">
        <v>1489.74</v>
      </c>
      <c r="R779">
        <v>0.15</v>
      </c>
      <c r="S779">
        <v>5065.12</v>
      </c>
      <c r="T779">
        <v>3530.12</v>
      </c>
      <c r="U779">
        <v>1535</v>
      </c>
      <c r="V779" t="s">
        <v>155</v>
      </c>
      <c r="W779" t="s">
        <v>68</v>
      </c>
      <c r="X779" t="str">
        <f>_xlfn.TEXTJOIN("|", TRUE, A779:W779)</f>
        <v>ORD-2024-10778|45326|45328|2|OK|CUST-6879|Kabir Singh|Small Business|West|Madhya Pradesh|Indore|Technology|Accessories|Elite Accessories 226|Second Class|4|1489.74|0.15|5065.12|3530.12|1535|Failed|Cancelled</v>
      </c>
      <c r="Y779">
        <f>COUNTIF($X$2:$X$1000, X779)</f>
        <v>1</v>
      </c>
      <c r="Z779">
        <f>COUNTIF($A$2:$A$1000, A779)</f>
        <v>1</v>
      </c>
      <c r="AA779" t="str">
        <f>IF(Y779&gt;1, "Exact Duplicate",
  IF(Z779&gt;1, "Conflicting Duplicate - Review",
    "Unique"))</f>
        <v>Unique</v>
      </c>
      <c r="AB779" s="2">
        <f>IF(ISBLANK(R779), 0, IF(ISTEXT(R779), VALUE(SUBSTITUTE(R779, "%", ""))/100, IF(OR(R779&lt;0, R779&gt;1), "Invalid", R779)))</f>
        <v>0.15</v>
      </c>
      <c r="AC779" s="4">
        <f>IF(AB779="Invalid", "Error", P779 * Q779 * (1 - AB779))</f>
        <v>5065.116</v>
      </c>
      <c r="AD779" s="4">
        <f>IF(AC779="Error", "Error", AC779 - T779)</f>
        <v>1534.9960000000001</v>
      </c>
      <c r="AE779" s="2">
        <f>IF(AC779="Error", "Error", IF(AC779=0, 0, AD779 / AC779))</f>
        <v>0.30305248685321323</v>
      </c>
      <c r="AF779" s="7">
        <f>C779-B779</f>
        <v>2</v>
      </c>
      <c r="AG779" s="2" t="str">
        <f>TEXT(B779, "mmmm")</f>
        <v>February</v>
      </c>
      <c r="AH779" s="4">
        <f>YEAR(B779)</f>
        <v>2024</v>
      </c>
      <c r="AI779" s="2" t="str">
        <f t="shared" si="26"/>
        <v>Excluded from Sales</v>
      </c>
      <c r="AJ779">
        <f>COUNTIFS($A$2:$A$1000,A779,$B$2:$B$1000,B779,$C$2:$C$1000,C779,$D$2:$D$1000,D779,$E$2:$E$1000,E779,$F$2:$F$1000,F779)</f>
        <v>1</v>
      </c>
      <c r="AK779">
        <f>COUNTIF($A$2:$A$1000, A779)</f>
        <v>1</v>
      </c>
    </row>
    <row r="780" spans="1:37">
      <c r="A780" t="s">
        <v>2409</v>
      </c>
      <c r="B780" s="5">
        <v>45497</v>
      </c>
      <c r="C780" s="5">
        <v>45497</v>
      </c>
      <c r="D780" s="6">
        <f>IF(AND(C780&lt;&gt;"",B780&lt;&gt;""), C780-B780, "Missing Date")</f>
        <v>0</v>
      </c>
      <c r="E780" s="6" t="str">
        <f>IF(OR(B780="",C780=""), "Missing Date",
    IF(C780&lt;B780, "Invalid: Ship before Order",
      "OK"))</f>
        <v>OK</v>
      </c>
      <c r="F780" t="s">
        <v>2410</v>
      </c>
      <c r="G780" t="s">
        <v>23</v>
      </c>
      <c r="H780" t="s">
        <v>37</v>
      </c>
      <c r="I780" t="s">
        <v>25</v>
      </c>
      <c r="J780" t="s">
        <v>236</v>
      </c>
      <c r="K780" t="s">
        <v>237</v>
      </c>
      <c r="L780" t="s">
        <v>74</v>
      </c>
      <c r="M780" t="s">
        <v>80</v>
      </c>
      <c r="N780" t="s">
        <v>2411</v>
      </c>
      <c r="O780" t="s">
        <v>31</v>
      </c>
      <c r="P780">
        <v>4</v>
      </c>
      <c r="Q780">
        <v>1676.88</v>
      </c>
      <c r="R780">
        <v>0</v>
      </c>
      <c r="S780">
        <v>6707.52</v>
      </c>
      <c r="T780">
        <v>5672.57</v>
      </c>
      <c r="U780">
        <v>1034.95</v>
      </c>
      <c r="V780" t="s">
        <v>32</v>
      </c>
      <c r="W780" t="s">
        <v>33</v>
      </c>
      <c r="X780" t="str">
        <f>_xlfn.TEXTJOIN("|", TRUE, A780:W780)</f>
        <v>ORD-2024-10779|45497|45497|0|OK|CUST-4714|Karan Malhotra|Small Business|North|Haryana|Gurugram|Technology|Copiers|Pro Copiers 298|Second Class|4|1676.88|0|6707.52|5672.57|1034.95|Paid|Completed</v>
      </c>
      <c r="Y780">
        <f>COUNTIF($X$2:$X$1000, X780)</f>
        <v>1</v>
      </c>
      <c r="Z780">
        <f>COUNTIF($A$2:$A$1000, A780)</f>
        <v>1</v>
      </c>
      <c r="AA780" t="str">
        <f>IF(Y780&gt;1, "Exact Duplicate",
  IF(Z780&gt;1, "Conflicting Duplicate - Review",
    "Unique"))</f>
        <v>Unique</v>
      </c>
      <c r="AB780" s="2">
        <f>IF(ISBLANK(R780), 0, IF(ISTEXT(R780), VALUE(SUBSTITUTE(R780, "%", ""))/100, IF(OR(R780&lt;0, R780&gt;1), "Invalid", R780)))</f>
        <v>0</v>
      </c>
      <c r="AC780" s="4">
        <f>IF(AB780="Invalid", "Error", P780 * Q780 * (1 - AB780))</f>
        <v>6707.52</v>
      </c>
      <c r="AD780" s="4">
        <f>IF(AC780="Error", "Error", AC780 - T780)</f>
        <v>1034.9500000000007</v>
      </c>
      <c r="AE780" s="2">
        <f>IF(AC780="Error", "Error", IF(AC780=0, 0, AD780 / AC780))</f>
        <v>0.15429696817899918</v>
      </c>
      <c r="AF780" s="7">
        <f>C780-B780</f>
        <v>0</v>
      </c>
      <c r="AG780" s="2" t="str">
        <f>TEXT(B780, "mmmm")</f>
        <v>July</v>
      </c>
      <c r="AH780" s="4">
        <f>YEAR(B780)</f>
        <v>2024</v>
      </c>
      <c r="AI780" s="2" t="str">
        <f t="shared" si="26"/>
        <v>Clean</v>
      </c>
      <c r="AJ780">
        <f>COUNTIFS($A$2:$A$1000,A780,$B$2:$B$1000,B780,$C$2:$C$1000,C780,$D$2:$D$1000,D780,$E$2:$E$1000,E780,$F$2:$F$1000,F780)</f>
        <v>1</v>
      </c>
      <c r="AK780">
        <f>COUNTIF($A$2:$A$1000, A780)</f>
        <v>1</v>
      </c>
    </row>
    <row r="781" spans="1:37">
      <c r="A781" t="s">
        <v>2412</v>
      </c>
      <c r="B781" s="5">
        <v>45306</v>
      </c>
      <c r="C781" s="5">
        <v>45311</v>
      </c>
      <c r="D781" s="6">
        <f>IF(AND(C781&lt;&gt;"",B781&lt;&gt;""), C781-B781, "Missing Date")</f>
        <v>5</v>
      </c>
      <c r="E781" s="6" t="str">
        <f>IF(OR(B781="",C781=""), "Missing Date",
    IF(C781&lt;B781, "Invalid: Ship before Order",
      "OK"))</f>
        <v>OK</v>
      </c>
      <c r="F781" t="s">
        <v>2413</v>
      </c>
      <c r="G781" t="s">
        <v>114</v>
      </c>
      <c r="H781" t="s">
        <v>37</v>
      </c>
      <c r="I781" t="s">
        <v>54</v>
      </c>
      <c r="J781" t="s">
        <v>84</v>
      </c>
      <c r="K781" t="s">
        <v>85</v>
      </c>
      <c r="L781" t="s">
        <v>41</v>
      </c>
      <c r="M781" t="s">
        <v>66</v>
      </c>
      <c r="N781" t="s">
        <v>2414</v>
      </c>
      <c r="O781" t="s">
        <v>59</v>
      </c>
      <c r="P781">
        <v>4</v>
      </c>
      <c r="Q781">
        <v>3153.54</v>
      </c>
      <c r="R781">
        <v>0.05</v>
      </c>
      <c r="S781">
        <v>11983.45</v>
      </c>
      <c r="T781">
        <v>8572.9</v>
      </c>
      <c r="U781">
        <v>3410.55</v>
      </c>
      <c r="V781" t="s">
        <v>32</v>
      </c>
      <c r="W781" t="s">
        <v>33</v>
      </c>
      <c r="X781" t="str">
        <f>_xlfn.TEXTJOIN("|", TRUE, A781:W781)</f>
        <v>ORD-2024-10780|45306|45311|5|OK|CUST-7547|Priya Menon|Small Business|South|Andhra Pradesh|Vijayawada|Furniture|Chairs|Prime Chairs 331|Standard Class|4|3153.54|0.05|11983.45|8572.9|3410.55|Paid|Completed</v>
      </c>
      <c r="Y781">
        <f>COUNTIF($X$2:$X$1000, X781)</f>
        <v>1</v>
      </c>
      <c r="Z781">
        <f>COUNTIF($A$2:$A$1000, A781)</f>
        <v>1</v>
      </c>
      <c r="AA781" t="str">
        <f>IF(Y781&gt;1, "Exact Duplicate",
  IF(Z781&gt;1, "Conflicting Duplicate - Review",
    "Unique"))</f>
        <v>Unique</v>
      </c>
      <c r="AB781" s="2">
        <f>IF(ISBLANK(R781), 0, IF(ISTEXT(R781), VALUE(SUBSTITUTE(R781, "%", ""))/100, IF(OR(R781&lt;0, R781&gt;1), "Invalid", R781)))</f>
        <v>0.05</v>
      </c>
      <c r="AC781" s="4">
        <f>IF(AB781="Invalid", "Error", P781 * Q781 * (1 - AB781))</f>
        <v>11983.451999999999</v>
      </c>
      <c r="AD781" s="4">
        <f>IF(AC781="Error", "Error", AC781 - T781)</f>
        <v>3410.5519999999997</v>
      </c>
      <c r="AE781" s="2">
        <f>IF(AC781="Error", "Error", IF(AC781=0, 0, AD781 / AC781))</f>
        <v>0.2846051371507976</v>
      </c>
      <c r="AF781" s="7">
        <f>C781-B781</f>
        <v>5</v>
      </c>
      <c r="AG781" s="2" t="str">
        <f>TEXT(B781, "mmmm")</f>
        <v>January</v>
      </c>
      <c r="AH781" s="4">
        <f>YEAR(B781)</f>
        <v>2024</v>
      </c>
      <c r="AI781" s="2" t="str">
        <f t="shared" si="26"/>
        <v>Clean</v>
      </c>
      <c r="AJ781">
        <f>COUNTIFS($A$2:$A$1000,A781,$B$2:$B$1000,B781,$C$2:$C$1000,C781,$D$2:$D$1000,D781,$E$2:$E$1000,E781,$F$2:$F$1000,F781)</f>
        <v>1</v>
      </c>
      <c r="AK781">
        <f>COUNTIF($A$2:$A$1000, A781)</f>
        <v>1</v>
      </c>
    </row>
    <row r="782" spans="1:37">
      <c r="A782" t="s">
        <v>2415</v>
      </c>
      <c r="B782" s="5">
        <v>45508</v>
      </c>
      <c r="C782" s="5">
        <v>45573</v>
      </c>
      <c r="D782" s="6">
        <f>IF(AND(C782&lt;&gt;"",B782&lt;&gt;""), C782-B782, "Missing Date")</f>
        <v>65</v>
      </c>
      <c r="E782" s="6" t="str">
        <f>IF(OR(B782="",C782=""), "Missing Date",
    IF(C782&lt;B782, "Invalid: Ship before Order",
      "OK"))</f>
        <v>OK</v>
      </c>
      <c r="F782" t="s">
        <v>2416</v>
      </c>
      <c r="G782" t="s">
        <v>162</v>
      </c>
      <c r="H782" t="s">
        <v>37</v>
      </c>
      <c r="I782" t="s">
        <v>63</v>
      </c>
      <c r="J782" t="s">
        <v>26</v>
      </c>
      <c r="K782" t="s">
        <v>109</v>
      </c>
      <c r="L782" t="s">
        <v>41</v>
      </c>
      <c r="M782" t="s">
        <v>66</v>
      </c>
      <c r="N782" t="s">
        <v>2417</v>
      </c>
      <c r="O782" t="s">
        <v>44</v>
      </c>
      <c r="P782">
        <v>4</v>
      </c>
      <c r="Q782">
        <v>426.43</v>
      </c>
      <c r="R782">
        <v>0.2</v>
      </c>
      <c r="S782">
        <v>1364.58</v>
      </c>
      <c r="T782">
        <v>978.16</v>
      </c>
      <c r="U782">
        <v>386.42</v>
      </c>
      <c r="V782" t="s">
        <v>32</v>
      </c>
      <c r="W782" t="s">
        <v>33</v>
      </c>
      <c r="X782" t="str">
        <f>_xlfn.TEXTJOIN("|", TRUE, A782:W782)</f>
        <v>ORD-2024-10781|45508|45573|65|OK|CUST-3288|Diya Patel|Small Business|West|Rajasthan|Udaipur|Furniture|Chairs|Classic Chairs 798|Same Day|4|426.43|0.2|1364.58|978.16|386.42|Paid|Completed</v>
      </c>
      <c r="Y782">
        <f>COUNTIF($X$2:$X$1000, X782)</f>
        <v>1</v>
      </c>
      <c r="Z782">
        <f>COUNTIF($A$2:$A$1000, A782)</f>
        <v>1</v>
      </c>
      <c r="AA782" t="str">
        <f>IF(Y782&gt;1, "Exact Duplicate",
  IF(Z782&gt;1, "Conflicting Duplicate - Review",
    "Unique"))</f>
        <v>Unique</v>
      </c>
      <c r="AB782" s="2">
        <f>IF(ISBLANK(R782), 0, IF(ISTEXT(R782), VALUE(SUBSTITUTE(R782, "%", ""))/100, IF(OR(R782&lt;0, R782&gt;1), "Invalid", R782)))</f>
        <v>0.2</v>
      </c>
      <c r="AC782" s="4">
        <f>IF(AB782="Invalid", "Error", P782 * Q782 * (1 - AB782))</f>
        <v>1364.576</v>
      </c>
      <c r="AD782" s="4">
        <f>IF(AC782="Error", "Error", AC782 - T782)</f>
        <v>386.41600000000005</v>
      </c>
      <c r="AE782" s="2">
        <f>IF(AC782="Error", "Error", IF(AC782=0, 0, AD782 / AC782))</f>
        <v>0.28317660577351506</v>
      </c>
      <c r="AF782" s="7">
        <f>C782-B782</f>
        <v>65</v>
      </c>
      <c r="AG782" s="2" t="str">
        <f>TEXT(B782, "mmmm")</f>
        <v>August</v>
      </c>
      <c r="AH782" s="4">
        <f>YEAR(B782)</f>
        <v>2024</v>
      </c>
      <c r="AI782" s="2" t="str">
        <f t="shared" si="26"/>
        <v>Clean</v>
      </c>
      <c r="AJ782">
        <f>COUNTIFS($A$2:$A$1000,A782,$B$2:$B$1000,B782,$C$2:$C$1000,C782,$D$2:$D$1000,D782,$E$2:$E$1000,E782,$F$2:$F$1000,F782)</f>
        <v>1</v>
      </c>
      <c r="AK782">
        <f>COUNTIF($A$2:$A$1000, A782)</f>
        <v>1</v>
      </c>
    </row>
    <row r="783" spans="1:37">
      <c r="A783" t="s">
        <v>2418</v>
      </c>
      <c r="B783" s="5">
        <v>45324</v>
      </c>
      <c r="C783" s="5">
        <v>45332</v>
      </c>
      <c r="D783" s="6">
        <f>IF(AND(C783&lt;&gt;"",B783&lt;&gt;""), C783-B783, "Missing Date")</f>
        <v>8</v>
      </c>
      <c r="E783" s="6" t="str">
        <f>IF(OR(B783="",C783=""), "Missing Date",
    IF(C783&lt;B783, "Invalid: Ship before Order",
      "OK"))</f>
        <v>OK</v>
      </c>
      <c r="F783" t="s">
        <v>2419</v>
      </c>
      <c r="G783" t="s">
        <v>23</v>
      </c>
      <c r="H783" t="s">
        <v>95</v>
      </c>
      <c r="I783" t="s">
        <v>63</v>
      </c>
      <c r="J783" t="s">
        <v>26</v>
      </c>
      <c r="K783" t="s">
        <v>109</v>
      </c>
      <c r="L783" t="s">
        <v>28</v>
      </c>
      <c r="M783" t="s">
        <v>91</v>
      </c>
      <c r="N783" t="s">
        <v>2420</v>
      </c>
      <c r="O783" t="s">
        <v>50</v>
      </c>
      <c r="P783">
        <v>3</v>
      </c>
      <c r="Q783">
        <v>383.4</v>
      </c>
      <c r="R783">
        <v>0.25</v>
      </c>
      <c r="S783">
        <v>862.65</v>
      </c>
      <c r="T783">
        <v>603.73</v>
      </c>
      <c r="U783">
        <v>258.92</v>
      </c>
      <c r="V783" t="s">
        <v>111</v>
      </c>
      <c r="W783" t="s">
        <v>103</v>
      </c>
      <c r="X783" t="str">
        <f>_xlfn.TEXTJOIN("|", TRUE, A783:W783)</f>
        <v>ORD-2024-10782|45324|45332|8|OK|CUST-8597|Karan Malhotra|Home Office|West|Rajasthan|Udaipur|Office Supplies|Labels|Classic Labels 204|First Class|3|383.4|0.25|862.65|603.73|258.92|Pending|Returned</v>
      </c>
      <c r="Y783">
        <f>COUNTIF($X$2:$X$1000, X783)</f>
        <v>1</v>
      </c>
      <c r="Z783">
        <f>COUNTIF($A$2:$A$1000, A783)</f>
        <v>1</v>
      </c>
      <c r="AA783" t="str">
        <f>IF(Y783&gt;1, "Exact Duplicate",
  IF(Z783&gt;1, "Conflicting Duplicate - Review",
    "Unique"))</f>
        <v>Unique</v>
      </c>
      <c r="AB783" s="2">
        <f>IF(ISBLANK(R783), 0, IF(ISTEXT(R783), VALUE(SUBSTITUTE(R783, "%", ""))/100, IF(OR(R783&lt;0, R783&gt;1), "Invalid", R783)))</f>
        <v>0.25</v>
      </c>
      <c r="AC783" s="4">
        <f>IF(AB783="Invalid", "Error", P783 * Q783 * (1 - AB783))</f>
        <v>862.64999999999986</v>
      </c>
      <c r="AD783" s="4">
        <f>IF(AC783="Error", "Error", AC783 - T783)</f>
        <v>258.91999999999985</v>
      </c>
      <c r="AE783" s="2">
        <f>IF(AC783="Error", "Error", IF(AC783=0, 0, AD783 / AC783))</f>
        <v>0.30014490233582553</v>
      </c>
      <c r="AF783" s="7">
        <f>C783-B783</f>
        <v>8</v>
      </c>
      <c r="AG783" s="2" t="str">
        <f>TEXT(B783, "mmmm")</f>
        <v>February</v>
      </c>
      <c r="AH783" s="4">
        <f>YEAR(B783)</f>
        <v>2024</v>
      </c>
      <c r="AI783" s="2" t="str">
        <f t="shared" si="26"/>
        <v>Clean</v>
      </c>
      <c r="AJ783">
        <f>COUNTIFS($A$2:$A$1000,A783,$B$2:$B$1000,B783,$C$2:$C$1000,C783,$D$2:$D$1000,D783,$E$2:$E$1000,E783,$F$2:$F$1000,F783)</f>
        <v>1</v>
      </c>
      <c r="AK783">
        <f>COUNTIF($A$2:$A$1000, A783)</f>
        <v>1</v>
      </c>
    </row>
    <row r="784" spans="1:37">
      <c r="A784" t="s">
        <v>2421</v>
      </c>
      <c r="B784" s="5">
        <v>45730</v>
      </c>
      <c r="C784" s="5">
        <v>45738</v>
      </c>
      <c r="D784" s="6">
        <f>IF(AND(C784&lt;&gt;"",B784&lt;&gt;""), C784-B784, "Missing Date")</f>
        <v>8</v>
      </c>
      <c r="E784" s="6" t="str">
        <f>IF(OR(B784="",C784=""), "Missing Date",
    IF(C784&lt;B784, "Invalid: Ship before Order",
      "OK"))</f>
        <v>OK</v>
      </c>
      <c r="F784" t="s">
        <v>2422</v>
      </c>
      <c r="G784" t="s">
        <v>36</v>
      </c>
      <c r="H784" t="s">
        <v>90</v>
      </c>
      <c r="I784" t="s">
        <v>38</v>
      </c>
      <c r="J784" t="s">
        <v>99</v>
      </c>
      <c r="K784" t="s">
        <v>100</v>
      </c>
      <c r="L784" t="s">
        <v>74</v>
      </c>
      <c r="M784" t="s">
        <v>80</v>
      </c>
      <c r="N784" t="s">
        <v>2423</v>
      </c>
      <c r="O784" t="s">
        <v>59</v>
      </c>
      <c r="P784">
        <v>2</v>
      </c>
      <c r="Q784">
        <v>669.63</v>
      </c>
      <c r="R784">
        <v>0.15</v>
      </c>
      <c r="S784">
        <v>1138.3699999999999</v>
      </c>
      <c r="T784">
        <v>797.34</v>
      </c>
      <c r="U784">
        <v>341.03</v>
      </c>
      <c r="V784" t="s">
        <v>32</v>
      </c>
      <c r="W784" t="s">
        <v>33</v>
      </c>
      <c r="X784" t="str">
        <f>_xlfn.TEXTJOIN("|", TRUE, A784:W784)</f>
        <v>ORD-2025-10783|45730|45738|8|OK|CUST-9085|Mira Das|Corporate|East|West Bengal|Kolkata|Technology|Copiers|Basic Copiers 254|Standard Class|2|669.63|0.15|1138.37|797.34|341.03|Paid|Completed</v>
      </c>
      <c r="Y784">
        <f>COUNTIF($X$2:$X$1000, X784)</f>
        <v>1</v>
      </c>
      <c r="Z784">
        <f>COUNTIF($A$2:$A$1000, A784)</f>
        <v>1</v>
      </c>
      <c r="AA784" t="str">
        <f>IF(Y784&gt;1, "Exact Duplicate",
  IF(Z784&gt;1, "Conflicting Duplicate - Review",
    "Unique"))</f>
        <v>Unique</v>
      </c>
      <c r="AB784" s="2">
        <f>IF(ISBLANK(R784), 0, IF(ISTEXT(R784), VALUE(SUBSTITUTE(R784, "%", ""))/100, IF(OR(R784&lt;0, R784&gt;1), "Invalid", R784)))</f>
        <v>0.15</v>
      </c>
      <c r="AC784" s="4">
        <f>IF(AB784="Invalid", "Error", P784 * Q784 * (1 - AB784))</f>
        <v>1138.3709999999999</v>
      </c>
      <c r="AD784" s="4">
        <f>IF(AC784="Error", "Error", AC784 - T784)</f>
        <v>341.03099999999984</v>
      </c>
      <c r="AE784" s="2">
        <f>IF(AC784="Error", "Error", IF(AC784=0, 0, AD784 / AC784))</f>
        <v>0.29957808131092578</v>
      </c>
      <c r="AF784" s="7">
        <f>C784-B784</f>
        <v>8</v>
      </c>
      <c r="AG784" s="2" t="str">
        <f>TEXT(B784, "mmmm")</f>
        <v>March</v>
      </c>
      <c r="AH784" s="4">
        <f>YEAR(B784)</f>
        <v>2025</v>
      </c>
      <c r="AI784" s="2" t="str">
        <f t="shared" si="26"/>
        <v>Clean</v>
      </c>
      <c r="AJ784">
        <f>COUNTIFS($A$2:$A$1000,A784,$B$2:$B$1000,B784,$C$2:$C$1000,C784,$D$2:$D$1000,D784,$E$2:$E$1000,E784,$F$2:$F$1000,F784)</f>
        <v>1</v>
      </c>
      <c r="AK784">
        <f>COUNTIF($A$2:$A$1000, A784)</f>
        <v>1</v>
      </c>
    </row>
    <row r="785" spans="1:37">
      <c r="A785" t="s">
        <v>2424</v>
      </c>
      <c r="B785" s="5">
        <v>45450</v>
      </c>
      <c r="C785" s="5">
        <v>45450</v>
      </c>
      <c r="D785" s="6">
        <f>IF(AND(C785&lt;&gt;"",B785&lt;&gt;""), C785-B785, "Missing Date")</f>
        <v>0</v>
      </c>
      <c r="E785" s="6" t="str">
        <f>IF(OR(B785="",C785=""), "Missing Date",
    IF(C785&lt;B785, "Invalid: Ship before Order",
      "OK"))</f>
        <v>OK</v>
      </c>
      <c r="F785" t="s">
        <v>2425</v>
      </c>
      <c r="G785" t="s">
        <v>128</v>
      </c>
      <c r="H785" t="s">
        <v>37</v>
      </c>
      <c r="I785" t="s">
        <v>38</v>
      </c>
      <c r="J785" t="s">
        <v>145</v>
      </c>
      <c r="K785" t="s">
        <v>146</v>
      </c>
      <c r="L785" t="s">
        <v>28</v>
      </c>
      <c r="M785" t="s">
        <v>48</v>
      </c>
      <c r="N785" t="s">
        <v>2426</v>
      </c>
      <c r="O785" t="s">
        <v>31</v>
      </c>
      <c r="P785">
        <v>1</v>
      </c>
      <c r="Q785">
        <v>2581.9299999999998</v>
      </c>
      <c r="R785">
        <v>0.05</v>
      </c>
      <c r="S785">
        <v>2452.83</v>
      </c>
      <c r="T785">
        <v>1906.7</v>
      </c>
      <c r="U785">
        <v>546.13</v>
      </c>
      <c r="V785" t="s">
        <v>32</v>
      </c>
      <c r="W785" t="s">
        <v>33</v>
      </c>
      <c r="X785" t="str">
        <f>_xlfn.TEXTJOIN("|", TRUE, A785:W785)</f>
        <v>ORD-2024-10784|45450|45450|0|OK|CUST-7746|Aarav Sharma|Small Business|East|Bihar|Patna|Office Supplies|Art|Basic Art 709|Second Class|1|2581.93|0.05|2452.83|1906.7|546.13|Paid|Completed</v>
      </c>
      <c r="Y785">
        <f>COUNTIF($X$2:$X$1000, X785)</f>
        <v>1</v>
      </c>
      <c r="Z785">
        <f>COUNTIF($A$2:$A$1000, A785)</f>
        <v>1</v>
      </c>
      <c r="AA785" t="str">
        <f>IF(Y785&gt;1, "Exact Duplicate",
  IF(Z785&gt;1, "Conflicting Duplicate - Review",
    "Unique"))</f>
        <v>Unique</v>
      </c>
      <c r="AB785" s="2">
        <f>IF(ISBLANK(R785), 0, IF(ISTEXT(R785), VALUE(SUBSTITUTE(R785, "%", ""))/100, IF(OR(R785&lt;0, R785&gt;1), "Invalid", R785)))</f>
        <v>0.05</v>
      </c>
      <c r="AC785" s="4">
        <f>IF(AB785="Invalid", "Error", P785 * Q785 * (1 - AB785))</f>
        <v>2452.8334999999997</v>
      </c>
      <c r="AD785" s="4">
        <f>IF(AC785="Error", "Error", AC785 - T785)</f>
        <v>546.13349999999969</v>
      </c>
      <c r="AE785" s="2">
        <f>IF(AC785="Error", "Error", IF(AC785=0, 0, AD785 / AC785))</f>
        <v>0.22265412634000625</v>
      </c>
      <c r="AF785" s="7">
        <f>C785-B785</f>
        <v>0</v>
      </c>
      <c r="AG785" s="2" t="str">
        <f>TEXT(B785, "mmmm")</f>
        <v>June</v>
      </c>
      <c r="AH785" s="4">
        <f>YEAR(B785)</f>
        <v>2024</v>
      </c>
      <c r="AI785" s="2" t="str">
        <f t="shared" si="26"/>
        <v>Clean</v>
      </c>
      <c r="AJ785">
        <f>COUNTIFS($A$2:$A$1000,A785,$B$2:$B$1000,B785,$C$2:$C$1000,C785,$D$2:$D$1000,D785,$E$2:$E$1000,E785,$F$2:$F$1000,F785)</f>
        <v>1</v>
      </c>
      <c r="AK785">
        <f>COUNTIF($A$2:$A$1000, A785)</f>
        <v>1</v>
      </c>
    </row>
    <row r="786" spans="1:37">
      <c r="A786" t="s">
        <v>2427</v>
      </c>
      <c r="B786" s="5">
        <v>45757</v>
      </c>
      <c r="C786" s="5">
        <v>45935</v>
      </c>
      <c r="D786" s="6">
        <f>IF(AND(C786&lt;&gt;"",B786&lt;&gt;""), C786-B786, "Missing Date")</f>
        <v>178</v>
      </c>
      <c r="E786" s="6" t="str">
        <f>IF(OR(B786="",C786=""), "Missing Date",
    IF(C786&lt;B786, "Invalid: Ship before Order",
      "OK"))</f>
        <v>OK</v>
      </c>
      <c r="F786" t="s">
        <v>2428</v>
      </c>
      <c r="G786" t="s">
        <v>114</v>
      </c>
      <c r="H786" t="s">
        <v>90</v>
      </c>
      <c r="I786" t="s">
        <v>25</v>
      </c>
      <c r="J786" t="s">
        <v>122</v>
      </c>
      <c r="K786" t="s">
        <v>123</v>
      </c>
      <c r="L786" t="s">
        <v>74</v>
      </c>
      <c r="M786" t="s">
        <v>80</v>
      </c>
      <c r="N786" t="s">
        <v>2429</v>
      </c>
      <c r="O786" t="s">
        <v>50</v>
      </c>
      <c r="P786">
        <v>4</v>
      </c>
      <c r="Q786">
        <v>418.18</v>
      </c>
      <c r="R786">
        <v>0.05</v>
      </c>
      <c r="S786">
        <v>1589.08</v>
      </c>
      <c r="T786">
        <v>1084.6600000000001</v>
      </c>
      <c r="U786">
        <v>504.42</v>
      </c>
      <c r="V786" t="s">
        <v>32</v>
      </c>
      <c r="W786" t="s">
        <v>33</v>
      </c>
      <c r="X786" t="str">
        <f>_xlfn.TEXTJOIN("|", TRUE, A786:W786)</f>
        <v>ORD-2025-10785|45757|45935|178|OK|CUST-3119|Priya Menon|Corporate|North|Punjab|Ludhiana|Technology|Copiers|Max Copiers 551|First Class|4|418.18|0.05|1589.08|1084.66|504.42|Paid|Completed</v>
      </c>
      <c r="Y786">
        <f>COUNTIF($X$2:$X$1000, X786)</f>
        <v>1</v>
      </c>
      <c r="Z786">
        <f>COUNTIF($A$2:$A$1000, A786)</f>
        <v>1</v>
      </c>
      <c r="AA786" t="str">
        <f>IF(Y786&gt;1, "Exact Duplicate",
  IF(Z786&gt;1, "Conflicting Duplicate - Review",
    "Unique"))</f>
        <v>Unique</v>
      </c>
      <c r="AB786" s="2">
        <f>IF(ISBLANK(R786), 0, IF(ISTEXT(R786), VALUE(SUBSTITUTE(R786, "%", ""))/100, IF(OR(R786&lt;0, R786&gt;1), "Invalid", R786)))</f>
        <v>0.05</v>
      </c>
      <c r="AC786" s="4">
        <f>IF(AB786="Invalid", "Error", P786 * Q786 * (1 - AB786))</f>
        <v>1589.0840000000001</v>
      </c>
      <c r="AD786" s="4">
        <f>IF(AC786="Error", "Error", AC786 - T786)</f>
        <v>504.42399999999998</v>
      </c>
      <c r="AE786" s="2">
        <f>IF(AC786="Error", "Error", IF(AC786=0, 0, AD786 / AC786))</f>
        <v>0.31743067075120002</v>
      </c>
      <c r="AF786" s="7">
        <f>C786-B786</f>
        <v>178</v>
      </c>
      <c r="AG786" s="2" t="str">
        <f>TEXT(B786, "mmmm")</f>
        <v>April</v>
      </c>
      <c r="AH786" s="4">
        <f>YEAR(B786)</f>
        <v>2025</v>
      </c>
      <c r="AI786" s="2" t="str">
        <f t="shared" si="26"/>
        <v>Clean</v>
      </c>
      <c r="AJ786">
        <f>COUNTIFS($A$2:$A$1000,A786,$B$2:$B$1000,B786,$C$2:$C$1000,C786,$D$2:$D$1000,D786,$E$2:$E$1000,E786,$F$2:$F$1000,F786)</f>
        <v>1</v>
      </c>
      <c r="AK786">
        <f>COUNTIF($A$2:$A$1000, A786)</f>
        <v>1</v>
      </c>
    </row>
    <row r="787" spans="1:37">
      <c r="A787" t="s">
        <v>2430</v>
      </c>
      <c r="B787" s="5">
        <v>45435</v>
      </c>
      <c r="C787" s="5">
        <v>45441</v>
      </c>
      <c r="D787" s="6">
        <f>IF(AND(C787&lt;&gt;"",B787&lt;&gt;""), C787-B787, "Missing Date")</f>
        <v>6</v>
      </c>
      <c r="E787" s="6" t="str">
        <f>IF(OR(B787="",C787=""), "Missing Date",
    IF(C787&lt;B787, "Invalid: Ship before Order",
      "OK"))</f>
        <v>OK</v>
      </c>
      <c r="F787" t="s">
        <v>2431</v>
      </c>
      <c r="G787" t="s">
        <v>162</v>
      </c>
      <c r="H787" t="s">
        <v>37</v>
      </c>
      <c r="I787" t="s">
        <v>25</v>
      </c>
      <c r="J787" t="s">
        <v>236</v>
      </c>
      <c r="K787" t="s">
        <v>237</v>
      </c>
      <c r="L787" t="s">
        <v>28</v>
      </c>
      <c r="M787" t="s">
        <v>124</v>
      </c>
      <c r="N787" t="s">
        <v>2432</v>
      </c>
      <c r="O787" t="s">
        <v>44</v>
      </c>
      <c r="P787">
        <v>2</v>
      </c>
      <c r="Q787">
        <v>3012.94</v>
      </c>
      <c r="R787">
        <v>0.25</v>
      </c>
      <c r="S787">
        <v>4519.41</v>
      </c>
      <c r="T787">
        <v>3504.16</v>
      </c>
      <c r="U787">
        <v>1275.55</v>
      </c>
      <c r="V787" t="s">
        <v>155</v>
      </c>
      <c r="W787" t="s">
        <v>68</v>
      </c>
      <c r="X787" t="str">
        <f>_xlfn.TEXTJOIN("|", TRUE, A787:W787)</f>
        <v>ORD-2024-10786|45435|45441|6|OK|CUST-7518|Diya Patel|Small Business|North|Haryana|Gurugram|Office Supplies|Storage|Eco Storage 183|Same Day|2|3012.94|0.25|4519.41|3504.16|1275.55|Failed|Cancelled</v>
      </c>
      <c r="Y787">
        <f>COUNTIF($X$2:$X$1000, X787)</f>
        <v>1</v>
      </c>
      <c r="Z787">
        <f>COUNTIF($A$2:$A$1000, A787)</f>
        <v>1</v>
      </c>
      <c r="AA787" t="str">
        <f>IF(Y787&gt;1, "Exact Duplicate",
  IF(Z787&gt;1, "Conflicting Duplicate - Review",
    "Unique"))</f>
        <v>Unique</v>
      </c>
      <c r="AB787" s="2">
        <f>IF(ISBLANK(R787), 0, IF(ISTEXT(R787), VALUE(SUBSTITUTE(R787, "%", ""))/100, IF(OR(R787&lt;0, R787&gt;1), "Invalid", R787)))</f>
        <v>0.25</v>
      </c>
      <c r="AC787" s="4">
        <f>IF(AB787="Invalid", "Error", P787 * Q787 * (1 - AB787))</f>
        <v>4519.41</v>
      </c>
      <c r="AD787" s="4">
        <f>IF(AC787="Error", "Error", AC787 - T787)</f>
        <v>1015.25</v>
      </c>
      <c r="AE787" s="2">
        <f>IF(AC787="Error", "Error", IF(AC787=0, 0, AD787 / AC787))</f>
        <v>0.22464215461752751</v>
      </c>
      <c r="AF787" s="7">
        <f>C787-B787</f>
        <v>6</v>
      </c>
      <c r="AG787" s="2" t="str">
        <f>TEXT(B787, "mmmm")</f>
        <v>May</v>
      </c>
      <c r="AH787" s="4">
        <f>YEAR(B787)</f>
        <v>2024</v>
      </c>
      <c r="AI787" s="2" t="str">
        <f t="shared" si="26"/>
        <v>Excluded from Sales</v>
      </c>
      <c r="AJ787">
        <f>COUNTIFS($A$2:$A$1000,A787,$B$2:$B$1000,B787,$C$2:$C$1000,C787,$D$2:$D$1000,D787,$E$2:$E$1000,E787,$F$2:$F$1000,F787)</f>
        <v>1</v>
      </c>
      <c r="AK787">
        <f>COUNTIF($A$2:$A$1000, A787)</f>
        <v>1</v>
      </c>
    </row>
    <row r="788" spans="1:37">
      <c r="A788" t="s">
        <v>2433</v>
      </c>
      <c r="B788" s="5">
        <v>45815</v>
      </c>
      <c r="C788" s="5">
        <v>45846</v>
      </c>
      <c r="D788" s="6">
        <f>IF(AND(C788&lt;&gt;"",B788&lt;&gt;""), C788-B788, "Missing Date")</f>
        <v>31</v>
      </c>
      <c r="E788" s="6" t="str">
        <f>IF(OR(B788="",C788=""), "Missing Date",
    IF(C788&lt;B788, "Invalid: Ship before Order",
      "OK"))</f>
        <v>OK</v>
      </c>
      <c r="F788" t="s">
        <v>2434</v>
      </c>
      <c r="G788" t="s">
        <v>62</v>
      </c>
      <c r="H788" t="s">
        <v>90</v>
      </c>
      <c r="I788" t="s">
        <v>25</v>
      </c>
      <c r="J788" t="s">
        <v>26</v>
      </c>
      <c r="K788" t="s">
        <v>27</v>
      </c>
      <c r="L788" t="s">
        <v>41</v>
      </c>
      <c r="M788" t="s">
        <v>57</v>
      </c>
      <c r="N788" t="s">
        <v>2435</v>
      </c>
      <c r="O788" t="s">
        <v>2762</v>
      </c>
      <c r="P788">
        <v>4</v>
      </c>
      <c r="Q788">
        <v>715.45</v>
      </c>
      <c r="R788">
        <v>0.05</v>
      </c>
      <c r="S788">
        <v>2718.71</v>
      </c>
      <c r="T788">
        <v>2065.0500000000002</v>
      </c>
      <c r="U788">
        <v>653.66</v>
      </c>
      <c r="V788" t="s">
        <v>102</v>
      </c>
      <c r="W788" t="s">
        <v>103</v>
      </c>
      <c r="X788" t="str">
        <f>_xlfn.TEXTJOIN("|", TRUE, A788:W788)</f>
        <v>ORD-2025-10787|45815|45846|31|OK|CUST-1343|Ananya Rao|Corporate|North|Rajasthan|Jaipur|Furniture|Furnishings|Pro Furnishings 233|Unknown|4|715.45|0.05|2718.71|2065.05|653.66|Refunded|Returned</v>
      </c>
      <c r="Y788">
        <f>COUNTIF($X$2:$X$1000, X788)</f>
        <v>1</v>
      </c>
      <c r="Z788">
        <f>COUNTIF($A$2:$A$1000, A788)</f>
        <v>1</v>
      </c>
      <c r="AA788" t="str">
        <f>IF(Y788&gt;1, "Exact Duplicate",
  IF(Z788&gt;1, "Conflicting Duplicate - Review",
    "Unique"))</f>
        <v>Unique</v>
      </c>
      <c r="AB788" s="2">
        <f>IF(ISBLANK(R788), 0, IF(ISTEXT(R788), VALUE(SUBSTITUTE(R788, "%", ""))/100, IF(OR(R788&lt;0, R788&gt;1), "Invalid", R788)))</f>
        <v>0.05</v>
      </c>
      <c r="AC788" s="4">
        <f>IF(AB788="Invalid", "Error", P788 * Q788 * (1 - AB788))</f>
        <v>2718.71</v>
      </c>
      <c r="AD788" s="4">
        <f>IF(AC788="Error", "Error", AC788 - T788)</f>
        <v>653.65999999999985</v>
      </c>
      <c r="AE788" s="2">
        <f>IF(AC788="Error", "Error", IF(AC788=0, 0, AD788 / AC788))</f>
        <v>0.24043020403058799</v>
      </c>
      <c r="AF788" s="7">
        <f>C788-B788</f>
        <v>31</v>
      </c>
      <c r="AG788" s="2" t="str">
        <f>TEXT(B788, "mmmm")</f>
        <v>June</v>
      </c>
      <c r="AH788" s="4">
        <f>YEAR(B788)</f>
        <v>2025</v>
      </c>
      <c r="AI788" s="2" t="str">
        <f t="shared" si="26"/>
        <v>Warning: Missing Shipping Mode</v>
      </c>
      <c r="AJ788">
        <f>COUNTIFS($A$2:$A$1000,A788,$B$2:$B$1000,B788,$C$2:$C$1000,C788,$D$2:$D$1000,D788,$E$2:$E$1000,E788,$F$2:$F$1000,F788)</f>
        <v>1</v>
      </c>
      <c r="AK788">
        <f>COUNTIF($A$2:$A$1000, A788)</f>
        <v>1</v>
      </c>
    </row>
    <row r="789" spans="1:37">
      <c r="A789" t="s">
        <v>2436</v>
      </c>
      <c r="B789" s="5">
        <v>45547</v>
      </c>
      <c r="C789" s="5">
        <v>45553</v>
      </c>
      <c r="D789" s="6">
        <f>IF(AND(C789&lt;&gt;"",B789&lt;&gt;""), C789-B789, "Missing Date")</f>
        <v>6</v>
      </c>
      <c r="E789" s="6" t="str">
        <f>IF(OR(B789="",C789=""), "Missing Date",
    IF(C789&lt;B789, "Invalid: Ship before Order",
      "OK"))</f>
        <v>OK</v>
      </c>
      <c r="F789" t="s">
        <v>2437</v>
      </c>
      <c r="G789" t="s">
        <v>62</v>
      </c>
      <c r="H789" t="s">
        <v>95</v>
      </c>
      <c r="I789" t="s">
        <v>38</v>
      </c>
      <c r="J789" t="s">
        <v>145</v>
      </c>
      <c r="K789" t="s">
        <v>146</v>
      </c>
      <c r="L789" t="s">
        <v>28</v>
      </c>
      <c r="M789" t="s">
        <v>29</v>
      </c>
      <c r="N789" t="s">
        <v>2438</v>
      </c>
      <c r="O789" t="s">
        <v>31</v>
      </c>
      <c r="P789">
        <v>2</v>
      </c>
      <c r="Q789">
        <v>3718.77</v>
      </c>
      <c r="R789">
        <v>0.05</v>
      </c>
      <c r="S789">
        <v>7065.66</v>
      </c>
      <c r="T789">
        <v>4915.2700000000004</v>
      </c>
      <c r="U789">
        <v>2150.39</v>
      </c>
      <c r="V789" t="s">
        <v>32</v>
      </c>
      <c r="W789" t="s">
        <v>33</v>
      </c>
      <c r="X789" t="str">
        <f>_xlfn.TEXTJOIN("|", TRUE, A789:W789)</f>
        <v>ORD-2024-10788|45547|45553|6|OK|CUST-7548|Ananya Rao|Home Office|East|Bihar|Patna|Office Supplies|Paper|Prime Paper 878|Second Class|2|3718.77|0.05|7065.66|4915.27|2150.39|Paid|Completed</v>
      </c>
      <c r="Y789">
        <f>COUNTIF($X$2:$X$1000, X789)</f>
        <v>1</v>
      </c>
      <c r="Z789">
        <f>COUNTIF($A$2:$A$1000, A789)</f>
        <v>1</v>
      </c>
      <c r="AA789" t="str">
        <f>IF(Y789&gt;1, "Exact Duplicate",
  IF(Z789&gt;1, "Conflicting Duplicate - Review",
    "Unique"))</f>
        <v>Unique</v>
      </c>
      <c r="AB789" s="2">
        <f>IF(ISBLANK(R789), 0, IF(ISTEXT(R789), VALUE(SUBSTITUTE(R789, "%", ""))/100, IF(OR(R789&lt;0, R789&gt;1), "Invalid", R789)))</f>
        <v>0.05</v>
      </c>
      <c r="AC789" s="4">
        <f>IF(AB789="Invalid", "Error", P789 * Q789 * (1 - AB789))</f>
        <v>7065.6629999999996</v>
      </c>
      <c r="AD789" s="4">
        <f>IF(AC789="Error", "Error", AC789 - T789)</f>
        <v>2150.3929999999991</v>
      </c>
      <c r="AE789" s="2">
        <f>IF(AC789="Error", "Error", IF(AC789=0, 0, AD789 / AC789))</f>
        <v>0.30434412170521002</v>
      </c>
      <c r="AF789" s="7">
        <f>C789-B789</f>
        <v>6</v>
      </c>
      <c r="AG789" s="2" t="str">
        <f>TEXT(B789, "mmmm")</f>
        <v>September</v>
      </c>
      <c r="AH789" s="4">
        <f>YEAR(B789)</f>
        <v>2024</v>
      </c>
      <c r="AI789" s="2" t="str">
        <f t="shared" si="26"/>
        <v>Clean</v>
      </c>
      <c r="AJ789">
        <f>COUNTIFS($A$2:$A$1000,A789,$B$2:$B$1000,B789,$C$2:$C$1000,C789,$D$2:$D$1000,D789,$E$2:$E$1000,E789,$F$2:$F$1000,F789)</f>
        <v>1</v>
      </c>
      <c r="AK789">
        <f>COUNTIF($A$2:$A$1000, A789)</f>
        <v>1</v>
      </c>
    </row>
    <row r="790" spans="1:37">
      <c r="A790" t="s">
        <v>2439</v>
      </c>
      <c r="B790" s="5">
        <v>45505</v>
      </c>
      <c r="C790" s="5">
        <v>45506</v>
      </c>
      <c r="D790" s="6">
        <f>IF(AND(C790&lt;&gt;"",B790&lt;&gt;""), C790-B790, "Missing Date")</f>
        <v>1</v>
      </c>
      <c r="E790" s="6" t="str">
        <f>IF(OR(B790="",C790=""), "Missing Date",
    IF(C790&lt;B790, "Invalid: Ship before Order",
      "OK"))</f>
        <v>OK</v>
      </c>
      <c r="F790" t="s">
        <v>2440</v>
      </c>
      <c r="G790" t="s">
        <v>47</v>
      </c>
      <c r="H790" t="s">
        <v>90</v>
      </c>
      <c r="I790" t="s">
        <v>25</v>
      </c>
      <c r="J790" t="s">
        <v>136</v>
      </c>
      <c r="K790" t="s">
        <v>137</v>
      </c>
      <c r="L790" t="s">
        <v>41</v>
      </c>
      <c r="M790" t="s">
        <v>66</v>
      </c>
      <c r="N790" t="s">
        <v>2441</v>
      </c>
      <c r="O790" t="s">
        <v>59</v>
      </c>
      <c r="P790">
        <v>8</v>
      </c>
      <c r="Q790">
        <v>2487.64</v>
      </c>
      <c r="R790">
        <v>0.1</v>
      </c>
      <c r="S790">
        <v>17911.009999999998</v>
      </c>
      <c r="T790">
        <v>11546.05</v>
      </c>
      <c r="U790">
        <v>6364.96</v>
      </c>
      <c r="V790" t="s">
        <v>155</v>
      </c>
      <c r="W790" t="s">
        <v>103</v>
      </c>
      <c r="X790" t="str">
        <f>_xlfn.TEXTJOIN("|", TRUE, A790:W790)</f>
        <v>ORD-2024-10789|45505|45506|1|OK|CUST-3631|Isha Nair|Corporate|North|Uttar Pradesh|Noida|Furniture|Chairs|Smart Chairs 353|Standard Class|8|2487.64|0.1|17911.01|11546.05|6364.96|Failed|Returned</v>
      </c>
      <c r="Y790">
        <f>COUNTIF($X$2:$X$1000, X790)</f>
        <v>1</v>
      </c>
      <c r="Z790">
        <f>COUNTIF($A$2:$A$1000, A790)</f>
        <v>1</v>
      </c>
      <c r="AA790" t="str">
        <f>IF(Y790&gt;1, "Exact Duplicate",
  IF(Z790&gt;1, "Conflicting Duplicate - Review",
    "Unique"))</f>
        <v>Unique</v>
      </c>
      <c r="AB790" s="2">
        <f>IF(ISBLANK(R790), 0, IF(ISTEXT(R790), VALUE(SUBSTITUTE(R790, "%", ""))/100, IF(OR(R790&lt;0, R790&gt;1), "Invalid", R790)))</f>
        <v>0.1</v>
      </c>
      <c r="AC790" s="4">
        <f>IF(AB790="Invalid", "Error", P790 * Q790 * (1 - AB790))</f>
        <v>17911.007999999998</v>
      </c>
      <c r="AD790" s="4">
        <f>IF(AC790="Error", "Error", AC790 - T790)</f>
        <v>6364.9579999999987</v>
      </c>
      <c r="AE790" s="2">
        <f>IF(AC790="Error", "Error", IF(AC790=0, 0, AD790 / AC790))</f>
        <v>0.35536570582738836</v>
      </c>
      <c r="AF790" s="7">
        <f>C790-B790</f>
        <v>1</v>
      </c>
      <c r="AG790" s="2" t="str">
        <f>TEXT(B790, "mmmm")</f>
        <v>August</v>
      </c>
      <c r="AH790" s="4">
        <f>YEAR(B790)</f>
        <v>2024</v>
      </c>
      <c r="AI790" s="2" t="str">
        <f t="shared" si="26"/>
        <v>Excluded from Sales</v>
      </c>
      <c r="AJ790">
        <f>COUNTIFS($A$2:$A$1000,A790,$B$2:$B$1000,B790,$C$2:$C$1000,C790,$D$2:$D$1000,D790,$E$2:$E$1000,E790,$F$2:$F$1000,F790)</f>
        <v>1</v>
      </c>
      <c r="AK790">
        <f>COUNTIF($A$2:$A$1000, A790)</f>
        <v>1</v>
      </c>
    </row>
    <row r="791" spans="1:37">
      <c r="A791" t="s">
        <v>2442</v>
      </c>
      <c r="B791" s="5">
        <v>45723</v>
      </c>
      <c r="C791" s="5">
        <v>45724</v>
      </c>
      <c r="D791" s="6">
        <f>IF(AND(C791&lt;&gt;"",B791&lt;&gt;""), C791-B791, "Missing Date")</f>
        <v>1</v>
      </c>
      <c r="E791" s="6" t="str">
        <f>IF(OR(B791="",C791=""), "Missing Date",
    IF(C791&lt;B791, "Invalid: Ship before Order",
      "OK"))</f>
        <v>OK</v>
      </c>
      <c r="F791" t="s">
        <v>2443</v>
      </c>
      <c r="G791" t="s">
        <v>114</v>
      </c>
      <c r="H791" t="s">
        <v>95</v>
      </c>
      <c r="I791" t="s">
        <v>2762</v>
      </c>
      <c r="J791" t="s">
        <v>26</v>
      </c>
      <c r="K791" t="s">
        <v>109</v>
      </c>
      <c r="L791" t="s">
        <v>74</v>
      </c>
      <c r="M791" t="s">
        <v>80</v>
      </c>
      <c r="N791" t="s">
        <v>2444</v>
      </c>
      <c r="O791" t="s">
        <v>44</v>
      </c>
      <c r="P791">
        <v>4</v>
      </c>
      <c r="Q791">
        <v>3537.48</v>
      </c>
      <c r="R791">
        <v>0</v>
      </c>
      <c r="S791">
        <v>14149.92</v>
      </c>
      <c r="T791">
        <v>9466.51</v>
      </c>
      <c r="U791">
        <v>4683.41</v>
      </c>
      <c r="V791" t="s">
        <v>32</v>
      </c>
      <c r="W791" t="s">
        <v>33</v>
      </c>
      <c r="X791" t="str">
        <f>_xlfn.TEXTJOIN("|", TRUE, A791:W791)</f>
        <v>ORD-2025-10790|45723|45724|1|OK|CUST-1453|Priya Menon|Home Office|Unknown|Rajasthan|Udaipur|Technology|Copiers|Smart Copiers 408|Same Day|4|3537.48|0|14149.92|9466.51|4683.41|Paid|Completed</v>
      </c>
      <c r="Y791">
        <f>COUNTIF($X$2:$X$1000, X791)</f>
        <v>1</v>
      </c>
      <c r="Z791">
        <f>COUNTIF($A$2:$A$1000, A791)</f>
        <v>1</v>
      </c>
      <c r="AA791" t="str">
        <f>IF(Y791&gt;1, "Exact Duplicate",
  IF(Z791&gt;1, "Conflicting Duplicate - Review",
    "Unique"))</f>
        <v>Unique</v>
      </c>
      <c r="AB791" s="2">
        <f>IF(ISBLANK(R791), 0, IF(ISTEXT(R791), VALUE(SUBSTITUTE(R791, "%", ""))/100, IF(OR(R791&lt;0, R791&gt;1), "Invalid", R791)))</f>
        <v>0</v>
      </c>
      <c r="AC791" s="4">
        <f>IF(AB791="Invalid", "Error", P791 * Q791 * (1 - AB791))</f>
        <v>14149.92</v>
      </c>
      <c r="AD791" s="4">
        <f>IF(AC791="Error", "Error", AC791 - T791)</f>
        <v>4683.41</v>
      </c>
      <c r="AE791" s="2">
        <f>IF(AC791="Error", "Error", IF(AC791=0, 0, AD791 / AC791))</f>
        <v>0.33098491016203624</v>
      </c>
      <c r="AF791" s="7">
        <f>C791-B791</f>
        <v>1</v>
      </c>
      <c r="AG791" s="2" t="str">
        <f>TEXT(B791, "mmmm")</f>
        <v>March</v>
      </c>
      <c r="AH791" s="4">
        <f>YEAR(B791)</f>
        <v>2025</v>
      </c>
      <c r="AI791" s="2" t="str">
        <f t="shared" si="26"/>
        <v>Warning: Missing Region</v>
      </c>
      <c r="AJ791">
        <f>COUNTIFS($A$2:$A$1000,A791,$B$2:$B$1000,B791,$C$2:$C$1000,C791,$D$2:$D$1000,D791,$E$2:$E$1000,E791,$F$2:$F$1000,F791)</f>
        <v>1</v>
      </c>
      <c r="AK791">
        <f>COUNTIF($A$2:$A$1000, A791)</f>
        <v>1</v>
      </c>
    </row>
    <row r="792" spans="1:37">
      <c r="A792" t="s">
        <v>2445</v>
      </c>
      <c r="B792" s="5">
        <v>45443</v>
      </c>
      <c r="C792" s="5">
        <v>45445</v>
      </c>
      <c r="D792" s="6">
        <f>IF(AND(C792&lt;&gt;"",B792&lt;&gt;""), C792-B792, "Missing Date")</f>
        <v>2</v>
      </c>
      <c r="E792" s="6" t="str">
        <f>IF(OR(B792="",C792=""), "Missing Date",
    IF(C792&lt;B792, "Invalid: Ship before Order",
      "OK"))</f>
        <v>OK</v>
      </c>
      <c r="F792" t="s">
        <v>2446</v>
      </c>
      <c r="G792" t="s">
        <v>118</v>
      </c>
      <c r="H792" t="s">
        <v>90</v>
      </c>
      <c r="I792" t="s">
        <v>54</v>
      </c>
      <c r="J792" t="s">
        <v>84</v>
      </c>
      <c r="K792" t="s">
        <v>85</v>
      </c>
      <c r="L792" t="s">
        <v>28</v>
      </c>
      <c r="M792" t="s">
        <v>48</v>
      </c>
      <c r="N792" t="s">
        <v>2447</v>
      </c>
      <c r="O792" t="s">
        <v>59</v>
      </c>
      <c r="P792">
        <v>8</v>
      </c>
      <c r="Q792">
        <v>667.59</v>
      </c>
      <c r="R792">
        <v>0.2</v>
      </c>
      <c r="S792">
        <v>4272.58</v>
      </c>
      <c r="T792">
        <v>3328.92</v>
      </c>
      <c r="U792">
        <v>943.66</v>
      </c>
      <c r="V792" t="s">
        <v>32</v>
      </c>
      <c r="W792" t="s">
        <v>33</v>
      </c>
      <c r="X792" t="str">
        <f>_xlfn.TEXTJOIN("|", TRUE, A792:W792)</f>
        <v>ORD-2024-10791|45443|45445|2|OK|CUST-1951|Rahul Verma|Corporate|South|Andhra Pradesh|Vijayawada|Office Supplies|Art|Classic Art 781|Standard Class|8|667.59|0.2|4272.58|3328.92|943.66|Paid|Completed</v>
      </c>
      <c r="Y792">
        <f>COUNTIF($X$2:$X$1000, X792)</f>
        <v>1</v>
      </c>
      <c r="Z792">
        <f>COUNTIF($A$2:$A$1000, A792)</f>
        <v>1</v>
      </c>
      <c r="AA792" t="str">
        <f>IF(Y792&gt;1, "Exact Duplicate",
  IF(Z792&gt;1, "Conflicting Duplicate - Review",
    "Unique"))</f>
        <v>Unique</v>
      </c>
      <c r="AB792" s="2">
        <f>IF(ISBLANK(R792), 0, IF(ISTEXT(R792), VALUE(SUBSTITUTE(R792, "%", ""))/100, IF(OR(R792&lt;0, R792&gt;1), "Invalid", R792)))</f>
        <v>0.2</v>
      </c>
      <c r="AC792" s="4">
        <f>IF(AB792="Invalid", "Error", P792 * Q792 * (1 - AB792))</f>
        <v>4272.576</v>
      </c>
      <c r="AD792" s="4">
        <f>IF(AC792="Error", "Error", AC792 - T792)</f>
        <v>943.65599999999995</v>
      </c>
      <c r="AE792" s="2">
        <f>IF(AC792="Error", "Error", IF(AC792=0, 0, AD792 / AC792))</f>
        <v>0.22086347908147214</v>
      </c>
      <c r="AF792" s="7">
        <f>C792-B792</f>
        <v>2</v>
      </c>
      <c r="AG792" s="2" t="str">
        <f>TEXT(B792, "mmmm")</f>
        <v>May</v>
      </c>
      <c r="AH792" s="4">
        <f>YEAR(B792)</f>
        <v>2024</v>
      </c>
      <c r="AI792" s="2" t="str">
        <f t="shared" si="26"/>
        <v>Clean</v>
      </c>
      <c r="AJ792">
        <f>COUNTIFS($A$2:$A$1000,A792,$B$2:$B$1000,B792,$C$2:$C$1000,C792,$D$2:$D$1000,D792,$E$2:$E$1000,E792,$F$2:$F$1000,F792)</f>
        <v>1</v>
      </c>
      <c r="AK792">
        <f>COUNTIF($A$2:$A$1000, A792)</f>
        <v>1</v>
      </c>
    </row>
    <row r="793" spans="1:37">
      <c r="A793" t="s">
        <v>2448</v>
      </c>
      <c r="B793" s="5">
        <v>45567</v>
      </c>
      <c r="C793" s="5">
        <v>45571</v>
      </c>
      <c r="D793" s="6">
        <f>IF(AND(C793&lt;&gt;"",B793&lt;&gt;""), C793-B793, "Missing Date")</f>
        <v>4</v>
      </c>
      <c r="E793" s="6" t="str">
        <f>IF(OR(B793="",C793=""), "Missing Date",
    IF(C793&lt;B793, "Invalid: Ship before Order",
      "OK"))</f>
        <v>OK</v>
      </c>
      <c r="F793" t="s">
        <v>2449</v>
      </c>
      <c r="G793" t="s">
        <v>118</v>
      </c>
      <c r="H793" t="s">
        <v>95</v>
      </c>
      <c r="I793" t="s">
        <v>54</v>
      </c>
      <c r="J793" t="s">
        <v>175</v>
      </c>
      <c r="K793" t="s">
        <v>176</v>
      </c>
      <c r="L793" t="s">
        <v>41</v>
      </c>
      <c r="M793" t="s">
        <v>158</v>
      </c>
      <c r="N793" t="s">
        <v>2450</v>
      </c>
      <c r="O793" t="s">
        <v>44</v>
      </c>
      <c r="P793">
        <v>8</v>
      </c>
      <c r="Q793">
        <v>1558.77</v>
      </c>
      <c r="R793">
        <v>0.25</v>
      </c>
      <c r="S793">
        <v>9352.6200000000008</v>
      </c>
      <c r="T793">
        <v>5269.41</v>
      </c>
      <c r="U793">
        <v>4083.21</v>
      </c>
      <c r="V793" t="s">
        <v>32</v>
      </c>
      <c r="W793" t="s">
        <v>33</v>
      </c>
      <c r="X793" t="str">
        <f>_xlfn.TEXTJOIN("|", TRUE, A793:W793)</f>
        <v>ORD-2024-10792|45567|45571|4|OK|CUST-6300|Rahul Verma|Home Office|South|Karnataka|Bengaluru|Furniture|Bookcases|Eco Bookcases 144|Same Day|8|1558.77|0.25|9352.62|5269.41|4083.21|Paid|Completed</v>
      </c>
      <c r="Y793">
        <f>COUNTIF($X$2:$X$1000, X793)</f>
        <v>1</v>
      </c>
      <c r="Z793">
        <f>COUNTIF($A$2:$A$1000, A793)</f>
        <v>1</v>
      </c>
      <c r="AA793" t="str">
        <f>IF(Y793&gt;1, "Exact Duplicate",
  IF(Z793&gt;1, "Conflicting Duplicate - Review",
    "Unique"))</f>
        <v>Unique</v>
      </c>
      <c r="AB793" s="2">
        <f>IF(ISBLANK(R793), 0, IF(ISTEXT(R793), VALUE(SUBSTITUTE(R793, "%", ""))/100, IF(OR(R793&lt;0, R793&gt;1), "Invalid", R793)))</f>
        <v>0.25</v>
      </c>
      <c r="AC793" s="4">
        <f>IF(AB793="Invalid", "Error", P793 * Q793 * (1 - AB793))</f>
        <v>9352.619999999999</v>
      </c>
      <c r="AD793" s="4">
        <f>IF(AC793="Error", "Error", AC793 - T793)</f>
        <v>4083.2099999999991</v>
      </c>
      <c r="AE793" s="2">
        <f>IF(AC793="Error", "Error", IF(AC793=0, 0, AD793 / AC793))</f>
        <v>0.43658461479243243</v>
      </c>
      <c r="AF793" s="7">
        <f>C793-B793</f>
        <v>4</v>
      </c>
      <c r="AG793" s="2" t="str">
        <f>TEXT(B793, "mmmm")</f>
        <v>October</v>
      </c>
      <c r="AH793" s="4">
        <f>YEAR(B793)</f>
        <v>2024</v>
      </c>
      <c r="AI793" s="2" t="str">
        <f t="shared" si="26"/>
        <v>Clean</v>
      </c>
      <c r="AJ793">
        <f>COUNTIFS($A$2:$A$1000,A793,$B$2:$B$1000,B793,$C$2:$C$1000,C793,$D$2:$D$1000,D793,$E$2:$E$1000,E793,$F$2:$F$1000,F793)</f>
        <v>1</v>
      </c>
      <c r="AK793">
        <f>COUNTIF($A$2:$A$1000, A793)</f>
        <v>1</v>
      </c>
    </row>
    <row r="794" spans="1:37">
      <c r="A794" t="s">
        <v>2451</v>
      </c>
      <c r="B794" s="5">
        <v>45812</v>
      </c>
      <c r="C794" s="5">
        <v>45816</v>
      </c>
      <c r="D794" s="6">
        <f>IF(AND(C794&lt;&gt;"",B794&lt;&gt;""), C794-B794, "Missing Date")</f>
        <v>4</v>
      </c>
      <c r="E794" s="6" t="str">
        <f>IF(OR(B794="",C794=""), "Missing Date",
    IF(C794&lt;B794, "Invalid: Ship before Order",
      "OK"))</f>
        <v>OK</v>
      </c>
      <c r="F794" t="s">
        <v>2452</v>
      </c>
      <c r="G794" t="s">
        <v>53</v>
      </c>
      <c r="H794" t="s">
        <v>37</v>
      </c>
      <c r="I794" t="s">
        <v>38</v>
      </c>
      <c r="J794" t="s">
        <v>166</v>
      </c>
      <c r="K794" t="s">
        <v>167</v>
      </c>
      <c r="L794" t="s">
        <v>41</v>
      </c>
      <c r="M794" t="s">
        <v>57</v>
      </c>
      <c r="N794" t="s">
        <v>2453</v>
      </c>
      <c r="O794" t="s">
        <v>31</v>
      </c>
      <c r="P794">
        <v>1</v>
      </c>
      <c r="Q794">
        <v>3501.12</v>
      </c>
      <c r="R794">
        <v>0.2</v>
      </c>
      <c r="S794">
        <v>2800.9</v>
      </c>
      <c r="T794">
        <v>1735.98</v>
      </c>
      <c r="U794">
        <v>1064.92</v>
      </c>
      <c r="V794" t="s">
        <v>32</v>
      </c>
      <c r="W794" t="s">
        <v>103</v>
      </c>
      <c r="X794" t="str">
        <f>_xlfn.TEXTJOIN("|", TRUE, A794:W794)</f>
        <v>ORD-2025-10793|45812|45816|4|OK|CUST-1417|Arjun Bose|Small Business|East|Assam|Guwahati|Furniture|Furnishings|Elite Furnishings 852|Second Class|1|3501.12|0.2|2800.9|1735.98|1064.92|Paid|Returned</v>
      </c>
      <c r="Y794">
        <f>COUNTIF($X$2:$X$1000, X794)</f>
        <v>1</v>
      </c>
      <c r="Z794">
        <f>COUNTIF($A$2:$A$1000, A794)</f>
        <v>1</v>
      </c>
      <c r="AA794" t="str">
        <f>IF(Y794&gt;1, "Exact Duplicate",
  IF(Z794&gt;1, "Conflicting Duplicate - Review",
    "Unique"))</f>
        <v>Unique</v>
      </c>
      <c r="AB794" s="2">
        <f>IF(ISBLANK(R794), 0, IF(ISTEXT(R794), VALUE(SUBSTITUTE(R794, "%", ""))/100, IF(OR(R794&lt;0, R794&gt;1), "Invalid", R794)))</f>
        <v>0.2</v>
      </c>
      <c r="AC794" s="4">
        <f>IF(AB794="Invalid", "Error", P794 * Q794 * (1 - AB794))</f>
        <v>2800.8960000000002</v>
      </c>
      <c r="AD794" s="4">
        <f>IF(AC794="Error", "Error", AC794 - T794)</f>
        <v>1064.9160000000002</v>
      </c>
      <c r="AE794" s="2">
        <f>IF(AC794="Error", "Error", IF(AC794=0, 0, AD794 / AC794))</f>
        <v>0.38020547710446945</v>
      </c>
      <c r="AF794" s="7">
        <f>C794-B794</f>
        <v>4</v>
      </c>
      <c r="AG794" s="2" t="str">
        <f>TEXT(B794, "mmmm")</f>
        <v>June</v>
      </c>
      <c r="AH794" s="4">
        <f>YEAR(B794)</f>
        <v>2025</v>
      </c>
      <c r="AI794" s="2" t="str">
        <f t="shared" si="26"/>
        <v>Clean</v>
      </c>
      <c r="AJ794">
        <f>COUNTIFS($A$2:$A$1000,A794,$B$2:$B$1000,B794,$C$2:$C$1000,C794,$D$2:$D$1000,D794,$E$2:$E$1000,E794,$F$2:$F$1000,F794)</f>
        <v>1</v>
      </c>
      <c r="AK794">
        <f>COUNTIF($A$2:$A$1000, A794)</f>
        <v>1</v>
      </c>
    </row>
    <row r="795" spans="1:37">
      <c r="A795" t="s">
        <v>2454</v>
      </c>
      <c r="B795" s="5">
        <v>45440</v>
      </c>
      <c r="C795" s="5">
        <v>45446</v>
      </c>
      <c r="D795" s="6">
        <f>IF(AND(C795&lt;&gt;"",B795&lt;&gt;""), C795-B795, "Missing Date")</f>
        <v>6</v>
      </c>
      <c r="E795" s="6" t="str">
        <f>IF(OR(B795="",C795=""), "Missing Date",
    IF(C795&lt;B795, "Invalid: Ship before Order",
      "OK"))</f>
        <v>OK</v>
      </c>
      <c r="F795" t="s">
        <v>2455</v>
      </c>
      <c r="G795" t="s">
        <v>71</v>
      </c>
      <c r="H795" t="s">
        <v>90</v>
      </c>
      <c r="I795" t="s">
        <v>25</v>
      </c>
      <c r="J795" t="s">
        <v>26</v>
      </c>
      <c r="K795" t="s">
        <v>27</v>
      </c>
      <c r="L795" t="s">
        <v>74</v>
      </c>
      <c r="M795" t="s">
        <v>80</v>
      </c>
      <c r="N795" t="s">
        <v>2456</v>
      </c>
      <c r="O795" t="s">
        <v>31</v>
      </c>
      <c r="P795">
        <v>5</v>
      </c>
      <c r="Q795">
        <v>4302.32</v>
      </c>
      <c r="R795">
        <v>0</v>
      </c>
      <c r="S795">
        <v>21511.599999999999</v>
      </c>
      <c r="T795">
        <v>15408.47</v>
      </c>
      <c r="U795">
        <v>6103.13</v>
      </c>
      <c r="V795" t="s">
        <v>32</v>
      </c>
      <c r="W795" t="s">
        <v>33</v>
      </c>
      <c r="X795" t="str">
        <f>_xlfn.TEXTJOIN("|", TRUE, A795:W795)</f>
        <v>ORD-2024-10794|45440|45446|6|OK|CUST-5421|Vikram Iyer|Corporate|North|Rajasthan|Jaipur|Technology|Copiers|Basic Copiers 238|Second Class|5|4302.32|0|21511.6|15408.47|6103.13|Paid|Completed</v>
      </c>
      <c r="Y795">
        <f>COUNTIF($X$2:$X$1000, X795)</f>
        <v>1</v>
      </c>
      <c r="Z795">
        <f>COUNTIF($A$2:$A$1000, A795)</f>
        <v>1</v>
      </c>
      <c r="AA795" t="str">
        <f>IF(Y795&gt;1, "Exact Duplicate",
  IF(Z795&gt;1, "Conflicting Duplicate - Review",
    "Unique"))</f>
        <v>Unique</v>
      </c>
      <c r="AB795" s="2">
        <f>IF(ISBLANK(R795), 0, IF(ISTEXT(R795), VALUE(SUBSTITUTE(R795, "%", ""))/100, IF(OR(R795&lt;0, R795&gt;1), "Invalid", R795)))</f>
        <v>0</v>
      </c>
      <c r="AC795" s="4">
        <f>IF(AB795="Invalid", "Error", P795 * Q795 * (1 - AB795))</f>
        <v>21511.599999999999</v>
      </c>
      <c r="AD795" s="4">
        <f>IF(AC795="Error", "Error", AC795 - T795)</f>
        <v>6103.1299999999992</v>
      </c>
      <c r="AE795" s="2">
        <f>IF(AC795="Error", "Error", IF(AC795=0, 0, AD795 / AC795))</f>
        <v>0.28371343833094703</v>
      </c>
      <c r="AF795" s="7">
        <f>C795-B795</f>
        <v>6</v>
      </c>
      <c r="AG795" s="2" t="str">
        <f>TEXT(B795, "mmmm")</f>
        <v>May</v>
      </c>
      <c r="AH795" s="4">
        <f>YEAR(B795)</f>
        <v>2024</v>
      </c>
      <c r="AI795" s="2" t="str">
        <f t="shared" si="26"/>
        <v>Clean</v>
      </c>
      <c r="AJ795">
        <f>COUNTIFS($A$2:$A$1000,A795,$B$2:$B$1000,B795,$C$2:$C$1000,C795,$D$2:$D$1000,D795,$E$2:$E$1000,E795,$F$2:$F$1000,F795)</f>
        <v>1</v>
      </c>
      <c r="AK795">
        <f>COUNTIF($A$2:$A$1000, A795)</f>
        <v>1</v>
      </c>
    </row>
    <row r="796" spans="1:37">
      <c r="A796" t="s">
        <v>2457</v>
      </c>
      <c r="B796" s="5">
        <v>45830</v>
      </c>
      <c r="C796" s="5">
        <v>45832</v>
      </c>
      <c r="D796" s="6">
        <f>IF(AND(C796&lt;&gt;"",B796&lt;&gt;""), C796-B796, "Missing Date")</f>
        <v>2</v>
      </c>
      <c r="E796" s="6" t="str">
        <f>IF(OR(B796="",C796=""), "Missing Date",
    IF(C796&lt;B796, "Invalid: Ship before Order",
      "OK"))</f>
        <v>OK</v>
      </c>
      <c r="F796" t="s">
        <v>2458</v>
      </c>
      <c r="G796" t="s">
        <v>132</v>
      </c>
      <c r="H796" t="s">
        <v>90</v>
      </c>
      <c r="I796" t="s">
        <v>38</v>
      </c>
      <c r="J796" t="s">
        <v>166</v>
      </c>
      <c r="K796" t="s">
        <v>167</v>
      </c>
      <c r="L796" t="s">
        <v>28</v>
      </c>
      <c r="M796" t="s">
        <v>29</v>
      </c>
      <c r="N796" t="s">
        <v>2459</v>
      </c>
      <c r="O796" t="s">
        <v>59</v>
      </c>
      <c r="P796">
        <v>9</v>
      </c>
      <c r="Q796">
        <v>951.55</v>
      </c>
      <c r="R796">
        <v>0.15</v>
      </c>
      <c r="S796">
        <v>7279.36</v>
      </c>
      <c r="T796">
        <v>4870.3900000000003</v>
      </c>
      <c r="U796">
        <v>2408.9699999999998</v>
      </c>
      <c r="V796" t="s">
        <v>32</v>
      </c>
      <c r="W796" t="s">
        <v>33</v>
      </c>
      <c r="X796" t="str">
        <f>_xlfn.TEXTJOIN("|", TRUE, A796:W796)</f>
        <v>ORD-2025-10795|45830|45832|2|OK|CUST-2829|Sneha Kapoor|Corporate|East|Assam|Guwahati|Office Supplies|Paper|Elite Paper 847|Standard Class|9|951.55|0.15|7279.36|4870.39|2408.97|Paid|Completed</v>
      </c>
      <c r="Y796">
        <f>COUNTIF($X$2:$X$1000, X796)</f>
        <v>1</v>
      </c>
      <c r="Z796">
        <f>COUNTIF($A$2:$A$1000, A796)</f>
        <v>1</v>
      </c>
      <c r="AA796" t="str">
        <f>IF(Y796&gt;1, "Exact Duplicate",
  IF(Z796&gt;1, "Conflicting Duplicate - Review",
    "Unique"))</f>
        <v>Unique</v>
      </c>
      <c r="AB796" s="2">
        <f>IF(ISBLANK(R796), 0, IF(ISTEXT(R796), VALUE(SUBSTITUTE(R796, "%", ""))/100, IF(OR(R796&lt;0, R796&gt;1), "Invalid", R796)))</f>
        <v>0.15</v>
      </c>
      <c r="AC796" s="4">
        <f>IF(AB796="Invalid", "Error", P796 * Q796 * (1 - AB796))</f>
        <v>7279.3574999999992</v>
      </c>
      <c r="AD796" s="4">
        <f>IF(AC796="Error", "Error", AC796 - T796)</f>
        <v>2408.9674999999988</v>
      </c>
      <c r="AE796" s="2">
        <f>IF(AC796="Error", "Error", IF(AC796=0, 0, AD796 / AC796))</f>
        <v>0.33093133562955235</v>
      </c>
      <c r="AF796" s="7">
        <f>C796-B796</f>
        <v>2</v>
      </c>
      <c r="AG796" s="2" t="str">
        <f>TEXT(B796, "mmmm")</f>
        <v>June</v>
      </c>
      <c r="AH796" s="4">
        <f>YEAR(B796)</f>
        <v>2025</v>
      </c>
      <c r="AI796" s="2" t="str">
        <f t="shared" si="26"/>
        <v>Clean</v>
      </c>
      <c r="AJ796">
        <f>COUNTIFS($A$2:$A$1000,A796,$B$2:$B$1000,B796,$C$2:$C$1000,C796,$D$2:$D$1000,D796,$E$2:$E$1000,E796,$F$2:$F$1000,F796)</f>
        <v>1</v>
      </c>
      <c r="AK796">
        <f>COUNTIF($A$2:$A$1000, A796)</f>
        <v>1</v>
      </c>
    </row>
    <row r="797" spans="1:37">
      <c r="A797" t="s">
        <v>2460</v>
      </c>
      <c r="B797" s="5">
        <v>45503</v>
      </c>
      <c r="C797" s="5">
        <v>45503</v>
      </c>
      <c r="D797" s="6">
        <f>IF(AND(C797&lt;&gt;"",B797&lt;&gt;""), C797-B797, "Missing Date")</f>
        <v>0</v>
      </c>
      <c r="E797" s="6" t="str">
        <f>IF(OR(B797="",C797=""), "Missing Date",
    IF(C797&lt;B797, "Invalid: Ship before Order",
      "OK"))</f>
        <v>OK</v>
      </c>
      <c r="F797" t="s">
        <v>2461</v>
      </c>
      <c r="G797" t="s">
        <v>162</v>
      </c>
      <c r="H797" t="s">
        <v>95</v>
      </c>
      <c r="I797" t="s">
        <v>38</v>
      </c>
      <c r="J797" t="s">
        <v>39</v>
      </c>
      <c r="K797" t="s">
        <v>40</v>
      </c>
      <c r="L797" t="s">
        <v>74</v>
      </c>
      <c r="M797" t="s">
        <v>80</v>
      </c>
      <c r="N797" t="s">
        <v>2462</v>
      </c>
      <c r="O797" t="s">
        <v>44</v>
      </c>
      <c r="P797">
        <v>9</v>
      </c>
      <c r="Q797">
        <v>2894.66</v>
      </c>
      <c r="R797">
        <v>0</v>
      </c>
      <c r="S797">
        <v>26051.94</v>
      </c>
      <c r="T797">
        <v>16883.59</v>
      </c>
      <c r="U797">
        <v>9168.35</v>
      </c>
      <c r="V797" t="s">
        <v>102</v>
      </c>
      <c r="W797" t="s">
        <v>68</v>
      </c>
      <c r="X797" t="str">
        <f>_xlfn.TEXTJOIN("|", TRUE, A797:W797)</f>
        <v>ORD-2024-10796|45503|45503|0|OK|CUST-6529|Diya Patel|Home Office|East|Odisha|Bhubaneswar|Technology|Copiers|Pro Copiers 653|Same Day|9|2894.66|0|26051.94|16883.59|9168.35|Refunded|Cancelled</v>
      </c>
      <c r="Y797">
        <f>COUNTIF($X$2:$X$1000, X797)</f>
        <v>1</v>
      </c>
      <c r="Z797">
        <f>COUNTIF($A$2:$A$1000, A797)</f>
        <v>1</v>
      </c>
      <c r="AA797" t="str">
        <f>IF(Y797&gt;1, "Exact Duplicate",
  IF(Z797&gt;1, "Conflicting Duplicate - Review",
    "Unique"))</f>
        <v>Unique</v>
      </c>
      <c r="AB797" s="2">
        <f>IF(ISBLANK(R797), 0, IF(ISTEXT(R797), VALUE(SUBSTITUTE(R797, "%", ""))/100, IF(OR(R797&lt;0, R797&gt;1), "Invalid", R797)))</f>
        <v>0</v>
      </c>
      <c r="AC797" s="4">
        <f>IF(AB797="Invalid", "Error", P797 * Q797 * (1 - AB797))</f>
        <v>26051.94</v>
      </c>
      <c r="AD797" s="4">
        <f>IF(AC797="Error", "Error", AC797 - T797)</f>
        <v>9168.3499999999985</v>
      </c>
      <c r="AE797" s="2">
        <f>IF(AC797="Error", "Error", IF(AC797=0, 0, AD797 / AC797))</f>
        <v>0.3519258066769691</v>
      </c>
      <c r="AF797" s="7">
        <f>C797-B797</f>
        <v>0</v>
      </c>
      <c r="AG797" s="2" t="str">
        <f>TEXT(B797, "mmmm")</f>
        <v>July</v>
      </c>
      <c r="AH797" s="4">
        <f>YEAR(B797)</f>
        <v>2024</v>
      </c>
      <c r="AI797" s="2" t="str">
        <f t="shared" si="26"/>
        <v>Excluded from Sales</v>
      </c>
      <c r="AJ797">
        <f>COUNTIFS($A$2:$A$1000,A797,$B$2:$B$1000,B797,$C$2:$C$1000,C797,$D$2:$D$1000,D797,$E$2:$E$1000,E797,$F$2:$F$1000,F797)</f>
        <v>1</v>
      </c>
      <c r="AK797">
        <f>COUNTIF($A$2:$A$1000, A797)</f>
        <v>1</v>
      </c>
    </row>
    <row r="798" spans="1:37">
      <c r="A798" t="s">
        <v>2463</v>
      </c>
      <c r="B798" s="5">
        <v>45374</v>
      </c>
      <c r="C798" s="5">
        <v>45381</v>
      </c>
      <c r="D798" s="6">
        <f>IF(AND(C798&lt;&gt;"",B798&lt;&gt;""), C798-B798, "Missing Date")</f>
        <v>7</v>
      </c>
      <c r="E798" s="6" t="str">
        <f>IF(OR(B798="",C798=""), "Missing Date",
    IF(C798&lt;B798, "Invalid: Ship before Order",
      "OK"))</f>
        <v>OK</v>
      </c>
      <c r="F798" t="s">
        <v>2464</v>
      </c>
      <c r="G798" t="s">
        <v>141</v>
      </c>
      <c r="H798" t="s">
        <v>37</v>
      </c>
      <c r="I798" t="s">
        <v>54</v>
      </c>
      <c r="J798" t="s">
        <v>84</v>
      </c>
      <c r="K798" t="s">
        <v>85</v>
      </c>
      <c r="L798" t="s">
        <v>74</v>
      </c>
      <c r="M798" t="s">
        <v>274</v>
      </c>
      <c r="N798" t="s">
        <v>2465</v>
      </c>
      <c r="O798" t="s">
        <v>50</v>
      </c>
      <c r="P798">
        <v>6</v>
      </c>
      <c r="Q798">
        <v>1894.44</v>
      </c>
      <c r="R798">
        <v>0.15</v>
      </c>
      <c r="S798">
        <v>9661.64</v>
      </c>
      <c r="T798">
        <v>6303.77</v>
      </c>
      <c r="U798">
        <v>3357.87</v>
      </c>
      <c r="V798" t="s">
        <v>32</v>
      </c>
      <c r="W798" t="s">
        <v>33</v>
      </c>
      <c r="X798" t="str">
        <f>_xlfn.TEXTJOIN("|", TRUE, A798:W798)</f>
        <v>ORD-2024-10797|45374|45381|7|OK|CUST-3126|Rohan Mehta|Small Business|South|Andhra Pradesh|Vijayawada|Technology|Machines|Elite Machines 459|First Class|6|1894.44|0.15|9661.64|6303.77|3357.87|Paid|Completed</v>
      </c>
      <c r="Y798">
        <f>COUNTIF($X$2:$X$1000, X798)</f>
        <v>1</v>
      </c>
      <c r="Z798">
        <f>COUNTIF($A$2:$A$1000, A798)</f>
        <v>1</v>
      </c>
      <c r="AA798" t="str">
        <f>IF(Y798&gt;1, "Exact Duplicate",
  IF(Z798&gt;1, "Conflicting Duplicate - Review",
    "Unique"))</f>
        <v>Unique</v>
      </c>
      <c r="AB798" s="2">
        <f>IF(ISBLANK(R798), 0, IF(ISTEXT(R798), VALUE(SUBSTITUTE(R798, "%", ""))/100, IF(OR(R798&lt;0, R798&gt;1), "Invalid", R798)))</f>
        <v>0.15</v>
      </c>
      <c r="AC798" s="4">
        <f>IF(AB798="Invalid", "Error", P798 * Q798 * (1 - AB798))</f>
        <v>9661.6439999999984</v>
      </c>
      <c r="AD798" s="4">
        <f>IF(AC798="Error", "Error", AC798 - T798)</f>
        <v>3357.873999999998</v>
      </c>
      <c r="AE798" s="2">
        <f>IF(AC798="Error", "Error", IF(AC798=0, 0, AD798 / AC798))</f>
        <v>0.34754685641491223</v>
      </c>
      <c r="AF798" s="7">
        <f>C798-B798</f>
        <v>7</v>
      </c>
      <c r="AG798" s="2" t="str">
        <f>TEXT(B798, "mmmm")</f>
        <v>March</v>
      </c>
      <c r="AH798" s="4">
        <f>YEAR(B798)</f>
        <v>2024</v>
      </c>
      <c r="AI798" s="2" t="str">
        <f t="shared" si="26"/>
        <v>Clean</v>
      </c>
      <c r="AJ798">
        <f>COUNTIFS($A$2:$A$1000,A798,$B$2:$B$1000,B798,$C$2:$C$1000,C798,$D$2:$D$1000,D798,$E$2:$E$1000,E798,$F$2:$F$1000,F798)</f>
        <v>1</v>
      </c>
      <c r="AK798">
        <f>COUNTIF($A$2:$A$1000, A798)</f>
        <v>1</v>
      </c>
    </row>
    <row r="799" spans="1:37">
      <c r="A799" t="s">
        <v>2466</v>
      </c>
      <c r="B799" s="5">
        <v>45400</v>
      </c>
      <c r="C799" s="5">
        <v>45404</v>
      </c>
      <c r="D799" s="6">
        <f>IF(AND(C799&lt;&gt;"",B799&lt;&gt;""), C799-B799, "Missing Date")</f>
        <v>4</v>
      </c>
      <c r="E799" s="6" t="str">
        <f>IF(OR(B799="",C799=""), "Missing Date",
    IF(C799&lt;B799, "Invalid: Ship before Order",
      "OK"))</f>
        <v>OK</v>
      </c>
      <c r="F799" t="s">
        <v>2467</v>
      </c>
      <c r="G799" t="s">
        <v>128</v>
      </c>
      <c r="H799" t="s">
        <v>24</v>
      </c>
      <c r="I799" t="s">
        <v>38</v>
      </c>
      <c r="J799" t="s">
        <v>39</v>
      </c>
      <c r="K799" t="s">
        <v>40</v>
      </c>
      <c r="L799" t="s">
        <v>28</v>
      </c>
      <c r="M799" t="s">
        <v>153</v>
      </c>
      <c r="N799" t="s">
        <v>2468</v>
      </c>
      <c r="O799" t="s">
        <v>50</v>
      </c>
      <c r="P799">
        <v>8</v>
      </c>
      <c r="Q799">
        <v>1714.37</v>
      </c>
      <c r="R799">
        <v>0</v>
      </c>
      <c r="S799">
        <v>13714.96</v>
      </c>
      <c r="T799">
        <v>10550.47</v>
      </c>
      <c r="U799">
        <v>3164.49</v>
      </c>
      <c r="V799" t="s">
        <v>155</v>
      </c>
      <c r="W799" t="s">
        <v>68</v>
      </c>
      <c r="X799" t="str">
        <f>_xlfn.TEXTJOIN("|", TRUE, A799:W799)</f>
        <v>ORD-2024-10798|45400|45404|4|OK|CUST-3991|Aarav Sharma|Consumer|East|Odisha|Bhubaneswar|Office Supplies|Binders|Elite Binders 764|First Class|8|1714.37|0|13714.96|10550.47|3164.49|Failed|Cancelled</v>
      </c>
      <c r="Y799">
        <f>COUNTIF($X$2:$X$1000, X799)</f>
        <v>1</v>
      </c>
      <c r="Z799">
        <f>COUNTIF($A$2:$A$1000, A799)</f>
        <v>1</v>
      </c>
      <c r="AA799" t="str">
        <f>IF(Y799&gt;1, "Exact Duplicate",
  IF(Z799&gt;1, "Conflicting Duplicate - Review",
    "Unique"))</f>
        <v>Unique</v>
      </c>
      <c r="AB799" s="2">
        <f>IF(ISBLANK(R799), 0, IF(ISTEXT(R799), VALUE(SUBSTITUTE(R799, "%", ""))/100, IF(OR(R799&lt;0, R799&gt;1), "Invalid", R799)))</f>
        <v>0</v>
      </c>
      <c r="AC799" s="4">
        <f>IF(AB799="Invalid", "Error", P799 * Q799 * (1 - AB799))</f>
        <v>13714.96</v>
      </c>
      <c r="AD799" s="4">
        <f>IF(AC799="Error", "Error", AC799 - T799)</f>
        <v>3164.49</v>
      </c>
      <c r="AE799" s="2">
        <f>IF(AC799="Error", "Error", IF(AC799=0, 0, AD799 / AC799))</f>
        <v>0.23073271814135804</v>
      </c>
      <c r="AF799" s="7">
        <f>C799-B799</f>
        <v>4</v>
      </c>
      <c r="AG799" s="2" t="str">
        <f>TEXT(B799, "mmmm")</f>
        <v>April</v>
      </c>
      <c r="AH799" s="4">
        <f>YEAR(B799)</f>
        <v>2024</v>
      </c>
      <c r="AI799" s="2" t="str">
        <f t="shared" si="26"/>
        <v>Excluded from Sales</v>
      </c>
      <c r="AJ799">
        <f>COUNTIFS($A$2:$A$1000,A799,$B$2:$B$1000,B799,$C$2:$C$1000,C799,$D$2:$D$1000,D799,$E$2:$E$1000,E799,$F$2:$F$1000,F799)</f>
        <v>1</v>
      </c>
      <c r="AK799">
        <f>COUNTIF($A$2:$A$1000, A799)</f>
        <v>1</v>
      </c>
    </row>
    <row r="800" spans="1:37">
      <c r="A800" t="s">
        <v>2469</v>
      </c>
      <c r="B800" s="5">
        <v>45849</v>
      </c>
      <c r="C800" s="5">
        <v>45847</v>
      </c>
      <c r="D800" s="6">
        <f>IF(AND(C800&lt;&gt;"",B800&lt;&gt;""), C800-B800, "Missing Date")</f>
        <v>-2</v>
      </c>
      <c r="E800" s="6" t="str">
        <f>IF(OR(B800="",C800=""), "Missing Date",
    IF(C800&lt;B800, "Invalid: Ship before Order",
      "OK"))</f>
        <v>Invalid: Ship before Order</v>
      </c>
      <c r="F800" t="s">
        <v>2470</v>
      </c>
      <c r="G800" t="s">
        <v>89</v>
      </c>
      <c r="H800" t="s">
        <v>90</v>
      </c>
      <c r="I800" t="s">
        <v>25</v>
      </c>
      <c r="J800" t="s">
        <v>350</v>
      </c>
      <c r="K800" t="s">
        <v>351</v>
      </c>
      <c r="L800" t="s">
        <v>41</v>
      </c>
      <c r="M800" t="s">
        <v>57</v>
      </c>
      <c r="N800" t="s">
        <v>2471</v>
      </c>
      <c r="O800" t="s">
        <v>59</v>
      </c>
      <c r="P800">
        <v>9</v>
      </c>
      <c r="Q800">
        <v>1706.05</v>
      </c>
      <c r="R800">
        <v>0</v>
      </c>
      <c r="S800">
        <v>15354.45</v>
      </c>
      <c r="T800">
        <v>9656.5</v>
      </c>
      <c r="U800">
        <v>5697.95</v>
      </c>
      <c r="V800" t="s">
        <v>32</v>
      </c>
      <c r="W800" t="s">
        <v>33</v>
      </c>
      <c r="X800" t="str">
        <f>_xlfn.TEXTJOIN("|", TRUE, A800:W800)</f>
        <v>ORD-2025-10799|45849|45847|-2|Invalid: Ship before Order|CUST-7553|Aditi Sen|Corporate|North|Delhi|New Delhi|Furniture|Furnishings|Classic Furnishings 348|Standard Class|9|1706.05|0|15354.45|9656.5|5697.95|Paid|Completed</v>
      </c>
      <c r="Y800">
        <f>COUNTIF($X$2:$X$1000, X800)</f>
        <v>1</v>
      </c>
      <c r="Z800">
        <f>COUNTIF($A$2:$A$1000, A800)</f>
        <v>1</v>
      </c>
      <c r="AA800" t="str">
        <f>IF(Y800&gt;1, "Exact Duplicate",
  IF(Z800&gt;1, "Conflicting Duplicate - Review",
    "Unique"))</f>
        <v>Unique</v>
      </c>
      <c r="AB800" s="2">
        <f>IF(ISBLANK(R800), 0, IF(ISTEXT(R800), VALUE(SUBSTITUTE(R800, "%", ""))/100, IF(OR(R800&lt;0, R800&gt;1), "Invalid", R800)))</f>
        <v>0</v>
      </c>
      <c r="AC800" s="4">
        <f>IF(AB800="Invalid", "Error", P800 * Q800 * (1 - AB800))</f>
        <v>15354.449999999999</v>
      </c>
      <c r="AD800" s="4">
        <f>IF(AC800="Error", "Error", AC800 - T800)</f>
        <v>5697.9499999999989</v>
      </c>
      <c r="AE800" s="2">
        <f>IF(AC800="Error", "Error", IF(AC800=0, 0, AD800 / AC800))</f>
        <v>0.37109437329243311</v>
      </c>
      <c r="AF800" s="7">
        <f>C800-B800</f>
        <v>-2</v>
      </c>
      <c r="AG800" s="2" t="str">
        <f>TEXT(B800, "mmmm")</f>
        <v>July</v>
      </c>
      <c r="AH800" s="4">
        <f>YEAR(B800)</f>
        <v>2025</v>
      </c>
      <c r="AI800" s="2" t="str">
        <f t="shared" si="26"/>
        <v>Invalid Shipping Record</v>
      </c>
      <c r="AJ800">
        <f>COUNTIFS($A$2:$A$1000,A800,$B$2:$B$1000,B800,$C$2:$C$1000,C800,$D$2:$D$1000,D800,$E$2:$E$1000,E800,$F$2:$F$1000,F800)</f>
        <v>1</v>
      </c>
      <c r="AK800">
        <f>COUNTIF($A$2:$A$1000, A800)</f>
        <v>1</v>
      </c>
    </row>
    <row r="801" spans="1:37">
      <c r="A801" t="s">
        <v>2472</v>
      </c>
      <c r="B801" s="5">
        <v>45575</v>
      </c>
      <c r="C801" s="5">
        <v>45582</v>
      </c>
      <c r="D801" s="6">
        <f>IF(AND(C801&lt;&gt;"",B801&lt;&gt;""), C801-B801, "Missing Date")</f>
        <v>7</v>
      </c>
      <c r="E801" s="6" t="str">
        <f>IF(OR(B801="",C801=""), "Missing Date",
    IF(C801&lt;B801, "Invalid: Ship before Order",
      "OK"))</f>
        <v>OK</v>
      </c>
      <c r="F801" t="s">
        <v>2473</v>
      </c>
      <c r="G801" t="s">
        <v>47</v>
      </c>
      <c r="H801" t="s">
        <v>95</v>
      </c>
      <c r="I801" t="s">
        <v>25</v>
      </c>
      <c r="J801" t="s">
        <v>236</v>
      </c>
      <c r="K801" t="s">
        <v>237</v>
      </c>
      <c r="L801" t="s">
        <v>74</v>
      </c>
      <c r="M801" t="s">
        <v>75</v>
      </c>
      <c r="N801" t="s">
        <v>2474</v>
      </c>
      <c r="O801" t="s">
        <v>2762</v>
      </c>
      <c r="P801">
        <v>5</v>
      </c>
      <c r="Q801">
        <v>967.41</v>
      </c>
      <c r="R801">
        <v>0.05</v>
      </c>
      <c r="S801">
        <v>4595.2</v>
      </c>
      <c r="T801">
        <v>3887.41</v>
      </c>
      <c r="U801">
        <v>707.79</v>
      </c>
      <c r="V801" t="s">
        <v>32</v>
      </c>
      <c r="W801" t="s">
        <v>103</v>
      </c>
      <c r="X801" t="str">
        <f>_xlfn.TEXTJOIN("|", TRUE, A801:W801)</f>
        <v>ORD-2024-10800|45575|45582|7|OK|CUST-8527|Isha Nair|Home Office|North|Haryana|Gurugram|Technology|Accessories|Smart Accessories 487|Unknown|5|967.41|0.05|4595.2|3887.41|707.79|Paid|Returned</v>
      </c>
      <c r="Y801">
        <f>COUNTIF($X$2:$X$1000, X801)</f>
        <v>1</v>
      </c>
      <c r="Z801">
        <f>COUNTIF($A$2:$A$1000, A801)</f>
        <v>1</v>
      </c>
      <c r="AA801" t="str">
        <f>IF(Y801&gt;1, "Exact Duplicate",
  IF(Z801&gt;1, "Conflicting Duplicate - Review",
    "Unique"))</f>
        <v>Unique</v>
      </c>
      <c r="AB801" s="2">
        <f>IF(ISBLANK(R801), 0, IF(ISTEXT(R801), VALUE(SUBSTITUTE(R801, "%", ""))/100, IF(OR(R801&lt;0, R801&gt;1), "Invalid", R801)))</f>
        <v>0.05</v>
      </c>
      <c r="AC801" s="4">
        <f>IF(AB801="Invalid", "Error", P801 * Q801 * (1 - AB801))</f>
        <v>4595.1975000000002</v>
      </c>
      <c r="AD801" s="4">
        <f>IF(AC801="Error", "Error", AC801 - T801)</f>
        <v>707.78750000000036</v>
      </c>
      <c r="AE801" s="2">
        <f>IF(AC801="Error", "Error", IF(AC801=0, 0, AD801 / AC801))</f>
        <v>0.15402765604742785</v>
      </c>
      <c r="AF801" s="7">
        <f>C801-B801</f>
        <v>7</v>
      </c>
      <c r="AG801" s="2" t="str">
        <f>TEXT(B801, "mmmm")</f>
        <v>October</v>
      </c>
      <c r="AH801" s="4">
        <f>YEAR(B801)</f>
        <v>2024</v>
      </c>
      <c r="AI801" s="2" t="str">
        <f t="shared" si="26"/>
        <v>Warning: Missing Shipping Mode</v>
      </c>
      <c r="AJ801">
        <f>COUNTIFS($A$2:$A$1000,A801,$B$2:$B$1000,B801,$C$2:$C$1000,C801,$D$2:$D$1000,D801,$E$2:$E$1000,E801,$F$2:$F$1000,F801)</f>
        <v>1</v>
      </c>
      <c r="AK801">
        <f>COUNTIF($A$2:$A$1000, A801)</f>
        <v>1</v>
      </c>
    </row>
    <row r="802" spans="1:37">
      <c r="A802" t="s">
        <v>2475</v>
      </c>
      <c r="B802" s="5">
        <v>45352</v>
      </c>
      <c r="C802" s="5">
        <v>45358</v>
      </c>
      <c r="D802" s="6">
        <f>IF(AND(C802&lt;&gt;"",B802&lt;&gt;""), C802-B802, "Missing Date")</f>
        <v>6</v>
      </c>
      <c r="E802" s="6" t="str">
        <f>IF(OR(B802="",C802=""), "Missing Date",
    IF(C802&lt;B802, "Invalid: Ship before Order",
      "OK"))</f>
        <v>OK</v>
      </c>
      <c r="F802" t="s">
        <v>2476</v>
      </c>
      <c r="G802" t="s">
        <v>71</v>
      </c>
      <c r="H802" t="s">
        <v>37</v>
      </c>
      <c r="I802" t="s">
        <v>63</v>
      </c>
      <c r="J802" t="s">
        <v>64</v>
      </c>
      <c r="K802" t="s">
        <v>65</v>
      </c>
      <c r="L802" t="s">
        <v>28</v>
      </c>
      <c r="M802" t="s">
        <v>124</v>
      </c>
      <c r="N802" t="s">
        <v>2477</v>
      </c>
      <c r="O802" t="s">
        <v>31</v>
      </c>
      <c r="P802">
        <v>6</v>
      </c>
      <c r="Q802">
        <v>4163.72</v>
      </c>
      <c r="R802">
        <v>0.15</v>
      </c>
      <c r="S802">
        <v>21234.97</v>
      </c>
      <c r="T802">
        <v>16736.09</v>
      </c>
      <c r="U802">
        <v>4498.88</v>
      </c>
      <c r="V802" t="s">
        <v>32</v>
      </c>
      <c r="W802" t="s">
        <v>33</v>
      </c>
      <c r="X802" t="str">
        <f>_xlfn.TEXTJOIN("|", TRUE, A802:W802)</f>
        <v>ORD-2024-10801|45352|45358|6|OK|CUST-5015|Vikram Iyer|Small Business|West|Maharashtra|Mumbai|Office Supplies|Storage|Elite Storage 825|Second Class|6|4163.72|0.15|21234.97|16736.09|4498.88|Paid|Completed</v>
      </c>
      <c r="Y802">
        <f>COUNTIF($X$2:$X$1000, X802)</f>
        <v>1</v>
      </c>
      <c r="Z802">
        <f>COUNTIF($A$2:$A$1000, A802)</f>
        <v>1</v>
      </c>
      <c r="AA802" t="str">
        <f>IF(Y802&gt;1, "Exact Duplicate",
  IF(Z802&gt;1, "Conflicting Duplicate - Review",
    "Unique"))</f>
        <v>Unique</v>
      </c>
      <c r="AB802" s="2">
        <f>IF(ISBLANK(R802), 0, IF(ISTEXT(R802), VALUE(SUBSTITUTE(R802, "%", ""))/100, IF(OR(R802&lt;0, R802&gt;1), "Invalid", R802)))</f>
        <v>0.15</v>
      </c>
      <c r="AC802" s="4">
        <f>IF(AB802="Invalid", "Error", P802 * Q802 * (1 - AB802))</f>
        <v>21234.971999999998</v>
      </c>
      <c r="AD802" s="4">
        <f>IF(AC802="Error", "Error", AC802 - T802)</f>
        <v>4498.8819999999978</v>
      </c>
      <c r="AE802" s="2">
        <f>IF(AC802="Error", "Error", IF(AC802=0, 0, AD802 / AC802))</f>
        <v>0.21186192286950029</v>
      </c>
      <c r="AF802" s="7">
        <f>C802-B802</f>
        <v>6</v>
      </c>
      <c r="AG802" s="2" t="str">
        <f>TEXT(B802, "mmmm")</f>
        <v>March</v>
      </c>
      <c r="AH802" s="4">
        <f>YEAR(B802)</f>
        <v>2024</v>
      </c>
      <c r="AI802" s="2" t="str">
        <f t="shared" si="26"/>
        <v>Clean</v>
      </c>
      <c r="AJ802">
        <f>COUNTIFS($A$2:$A$1000,A802,$B$2:$B$1000,B802,$C$2:$C$1000,C802,$D$2:$D$1000,D802,$E$2:$E$1000,E802,$F$2:$F$1000,F802)</f>
        <v>1</v>
      </c>
      <c r="AK802">
        <f>COUNTIF($A$2:$A$1000, A802)</f>
        <v>1</v>
      </c>
    </row>
    <row r="803" spans="1:37">
      <c r="A803" t="s">
        <v>2478</v>
      </c>
      <c r="B803" s="5">
        <v>45938</v>
      </c>
      <c r="C803" s="5">
        <v>45945</v>
      </c>
      <c r="D803" s="6">
        <f>IF(AND(C803&lt;&gt;"",B803&lt;&gt;""), C803-B803, "Missing Date")</f>
        <v>7</v>
      </c>
      <c r="E803" s="6" t="str">
        <f>IF(OR(B803="",C803=""), "Missing Date",
    IF(C803&lt;B803, "Invalid: Ship before Order",
      "OK"))</f>
        <v>OK</v>
      </c>
      <c r="F803" t="s">
        <v>2479</v>
      </c>
      <c r="G803" t="s">
        <v>128</v>
      </c>
      <c r="H803" t="s">
        <v>95</v>
      </c>
      <c r="I803" t="s">
        <v>38</v>
      </c>
      <c r="J803" t="s">
        <v>39</v>
      </c>
      <c r="K803" t="s">
        <v>40</v>
      </c>
      <c r="L803" t="s">
        <v>74</v>
      </c>
      <c r="M803" t="s">
        <v>75</v>
      </c>
      <c r="N803" t="s">
        <v>2480</v>
      </c>
      <c r="O803" t="s">
        <v>31</v>
      </c>
      <c r="P803">
        <v>3</v>
      </c>
      <c r="Q803">
        <v>3372.21</v>
      </c>
      <c r="R803">
        <v>0.2</v>
      </c>
      <c r="S803">
        <v>8093.3</v>
      </c>
      <c r="T803">
        <v>6052.43</v>
      </c>
      <c r="U803">
        <v>2040.87</v>
      </c>
      <c r="V803" t="s">
        <v>111</v>
      </c>
      <c r="W803" t="s">
        <v>68</v>
      </c>
      <c r="X803" t="str">
        <f>_xlfn.TEXTJOIN("|", TRUE, A803:W803)</f>
        <v>ORD-2025-10802|45938|45945|7|OK|CUST-3344|Aarav Sharma|Home Office|East|Odisha|Bhubaneswar|Technology|Accessories|Pro Accessories 500|Second Class|3|3372.21|0.2|8093.3|6052.43|2040.87|Pending|Cancelled</v>
      </c>
      <c r="Y803">
        <f>COUNTIF($X$2:$X$1000, X803)</f>
        <v>1</v>
      </c>
      <c r="Z803">
        <f>COUNTIF($A$2:$A$1000, A803)</f>
        <v>1</v>
      </c>
      <c r="AA803" t="str">
        <f>IF(Y803&gt;1, "Exact Duplicate",
  IF(Z803&gt;1, "Conflicting Duplicate - Review",
    "Unique"))</f>
        <v>Unique</v>
      </c>
      <c r="AB803" s="2">
        <f>IF(ISBLANK(R803), 0, IF(ISTEXT(R803), VALUE(SUBSTITUTE(R803, "%", ""))/100, IF(OR(R803&lt;0, R803&gt;1), "Invalid", R803)))</f>
        <v>0.2</v>
      </c>
      <c r="AC803" s="4">
        <f>IF(AB803="Invalid", "Error", P803 * Q803 * (1 - AB803))</f>
        <v>8093.304000000001</v>
      </c>
      <c r="AD803" s="4">
        <f>IF(AC803="Error", "Error", AC803 - T803)</f>
        <v>2040.8740000000007</v>
      </c>
      <c r="AE803" s="2">
        <f>IF(AC803="Error", "Error", IF(AC803=0, 0, AD803 / AC803))</f>
        <v>0.25216821214179036</v>
      </c>
      <c r="AF803" s="7">
        <f>C803-B803</f>
        <v>7</v>
      </c>
      <c r="AG803" s="2" t="str">
        <f>TEXT(B803, "mmmm")</f>
        <v>October</v>
      </c>
      <c r="AH803" s="4">
        <f>YEAR(B803)</f>
        <v>2025</v>
      </c>
      <c r="AI803" s="2" t="str">
        <f t="shared" si="26"/>
        <v>Excluded from Sales</v>
      </c>
      <c r="AJ803">
        <f>COUNTIFS($A$2:$A$1000,A803,$B$2:$B$1000,B803,$C$2:$C$1000,C803,$D$2:$D$1000,D803,$E$2:$E$1000,E803,$F$2:$F$1000,F803)</f>
        <v>1</v>
      </c>
      <c r="AK803">
        <f>COUNTIF($A$2:$A$1000, A803)</f>
        <v>1</v>
      </c>
    </row>
    <row r="804" spans="1:37">
      <c r="A804" t="s">
        <v>2481</v>
      </c>
      <c r="B804" s="5">
        <v>45704</v>
      </c>
      <c r="C804" s="5">
        <v>45704</v>
      </c>
      <c r="D804" s="6">
        <f>IF(AND(C804&lt;&gt;"",B804&lt;&gt;""), C804-B804, "Missing Date")</f>
        <v>0</v>
      </c>
      <c r="E804" s="6" t="str">
        <f>IF(OR(B804="",C804=""), "Missing Date",
    IF(C804&lt;B804, "Invalid: Ship before Order",
      "OK"))</f>
        <v>OK</v>
      </c>
      <c r="F804" t="s">
        <v>2482</v>
      </c>
      <c r="G804" t="s">
        <v>141</v>
      </c>
      <c r="H804" t="s">
        <v>37</v>
      </c>
      <c r="I804" t="s">
        <v>38</v>
      </c>
      <c r="J804" t="s">
        <v>166</v>
      </c>
      <c r="K804" t="s">
        <v>167</v>
      </c>
      <c r="L804" t="s">
        <v>41</v>
      </c>
      <c r="M804" t="s">
        <v>57</v>
      </c>
      <c r="N804" t="s">
        <v>2483</v>
      </c>
      <c r="O804" t="s">
        <v>31</v>
      </c>
      <c r="P804">
        <v>6</v>
      </c>
      <c r="Q804">
        <v>1441.91</v>
      </c>
      <c r="R804">
        <v>0</v>
      </c>
      <c r="S804">
        <v>8651.4599999999991</v>
      </c>
      <c r="T804">
        <v>5254.62</v>
      </c>
      <c r="U804">
        <v>3396.84</v>
      </c>
      <c r="V804" t="s">
        <v>155</v>
      </c>
      <c r="W804" t="s">
        <v>103</v>
      </c>
      <c r="X804" t="str">
        <f>_xlfn.TEXTJOIN("|", TRUE, A804:W804)</f>
        <v>ORD-2025-10803|45704|45704|0|OK|CUST-5866|Rohan Mehta|Small Business|East|Assam|Guwahati|Furniture|Furnishings|Pro Furnishings 909|Second Class|6|1441.91|0|8651.46|5254.62|3396.84|Failed|Returned</v>
      </c>
      <c r="Y804">
        <f>COUNTIF($X$2:$X$1000, X804)</f>
        <v>1</v>
      </c>
      <c r="Z804">
        <f>COUNTIF($A$2:$A$1000, A804)</f>
        <v>1</v>
      </c>
      <c r="AA804" t="str">
        <f>IF(Y804&gt;1, "Exact Duplicate",
  IF(Z804&gt;1, "Conflicting Duplicate - Review",
    "Unique"))</f>
        <v>Unique</v>
      </c>
      <c r="AB804" s="2">
        <f>IF(ISBLANK(R804), 0, IF(ISTEXT(R804), VALUE(SUBSTITUTE(R804, "%", ""))/100, IF(OR(R804&lt;0, R804&gt;1), "Invalid", R804)))</f>
        <v>0</v>
      </c>
      <c r="AC804" s="4">
        <f>IF(AB804="Invalid", "Error", P804 * Q804 * (1 - AB804))</f>
        <v>8651.4600000000009</v>
      </c>
      <c r="AD804" s="4">
        <f>IF(AC804="Error", "Error", AC804 - T804)</f>
        <v>3396.8400000000011</v>
      </c>
      <c r="AE804" s="2">
        <f>IF(AC804="Error", "Error", IF(AC804=0, 0, AD804 / AC804))</f>
        <v>0.39263199506210522</v>
      </c>
      <c r="AF804" s="7">
        <f>C804-B804</f>
        <v>0</v>
      </c>
      <c r="AG804" s="2" t="str">
        <f>TEXT(B804, "mmmm")</f>
        <v>February</v>
      </c>
      <c r="AH804" s="4">
        <f>YEAR(B804)</f>
        <v>2025</v>
      </c>
      <c r="AI804" s="2" t="str">
        <f t="shared" si="26"/>
        <v>Excluded from Sales</v>
      </c>
      <c r="AJ804">
        <f>COUNTIFS($A$2:$A$1000,A804,$B$2:$B$1000,B804,$C$2:$C$1000,C804,$D$2:$D$1000,D804,$E$2:$E$1000,E804,$F$2:$F$1000,F804)</f>
        <v>1</v>
      </c>
      <c r="AK804">
        <f>COUNTIF($A$2:$A$1000, A804)</f>
        <v>1</v>
      </c>
    </row>
    <row r="805" spans="1:37">
      <c r="A805" t="s">
        <v>2484</v>
      </c>
      <c r="B805" s="5">
        <v>45635</v>
      </c>
      <c r="C805" s="5">
        <v>45639</v>
      </c>
      <c r="D805" s="6">
        <f>IF(AND(C805&lt;&gt;"",B805&lt;&gt;""), C805-B805, "Missing Date")</f>
        <v>4</v>
      </c>
      <c r="E805" s="6" t="str">
        <f>IF(OR(B805="",C805=""), "Missing Date",
    IF(C805&lt;B805, "Invalid: Ship before Order",
      "OK"))</f>
        <v>OK</v>
      </c>
      <c r="F805" t="s">
        <v>2485</v>
      </c>
      <c r="G805" t="s">
        <v>141</v>
      </c>
      <c r="H805" t="s">
        <v>24</v>
      </c>
      <c r="I805" t="s">
        <v>2762</v>
      </c>
      <c r="J805" t="s">
        <v>228</v>
      </c>
      <c r="K805" t="s">
        <v>229</v>
      </c>
      <c r="L805" t="s">
        <v>28</v>
      </c>
      <c r="M805" t="s">
        <v>91</v>
      </c>
      <c r="N805" t="s">
        <v>2486</v>
      </c>
      <c r="O805" t="s">
        <v>50</v>
      </c>
      <c r="P805">
        <v>1</v>
      </c>
      <c r="Q805">
        <v>4306.6499999999996</v>
      </c>
      <c r="R805">
        <v>0</v>
      </c>
      <c r="S805">
        <v>4306.6499999999996</v>
      </c>
      <c r="T805">
        <v>2568.8200000000002</v>
      </c>
      <c r="U805">
        <v>1737.83</v>
      </c>
      <c r="V805" t="s">
        <v>32</v>
      </c>
      <c r="W805" t="s">
        <v>33</v>
      </c>
      <c r="X805" t="str">
        <f>_xlfn.TEXTJOIN("|", TRUE, A805:W805)</f>
        <v>ORD-2024-10804|45635|45639|4|OK|CUST-7180|Rohan Mehta|Consumer|Unknown|Jharkhand|Ranchi|Office Supplies|Labels|Basic Labels 359|First Class|1|4306.65|0|4306.65|2568.82|1737.83|Paid|Completed</v>
      </c>
      <c r="Y805">
        <f>COUNTIF($X$2:$X$1000, X805)</f>
        <v>1</v>
      </c>
      <c r="Z805">
        <f>COUNTIF($A$2:$A$1000, A805)</f>
        <v>1</v>
      </c>
      <c r="AA805" t="str">
        <f>IF(Y805&gt;1, "Exact Duplicate",
  IF(Z805&gt;1, "Conflicting Duplicate - Review",
    "Unique"))</f>
        <v>Unique</v>
      </c>
      <c r="AB805" s="2">
        <f>IF(ISBLANK(R805), 0, IF(ISTEXT(R805), VALUE(SUBSTITUTE(R805, "%", ""))/100, IF(OR(R805&lt;0, R805&gt;1), "Invalid", R805)))</f>
        <v>0</v>
      </c>
      <c r="AC805" s="4">
        <f>IF(AB805="Invalid", "Error", P805 * Q805 * (1 - AB805))</f>
        <v>4306.6499999999996</v>
      </c>
      <c r="AD805" s="4">
        <f>IF(AC805="Error", "Error", AC805 - T805)</f>
        <v>1737.8299999999995</v>
      </c>
      <c r="AE805" s="2">
        <f>IF(AC805="Error", "Error", IF(AC805=0, 0, AD805 / AC805))</f>
        <v>0.40352245945224235</v>
      </c>
      <c r="AF805" s="7">
        <f>C805-B805</f>
        <v>4</v>
      </c>
      <c r="AG805" s="2" t="str">
        <f>TEXT(B805, "mmmm")</f>
        <v>December</v>
      </c>
      <c r="AH805" s="4">
        <f>YEAR(B805)</f>
        <v>2024</v>
      </c>
      <c r="AI805" s="2" t="str">
        <f t="shared" si="26"/>
        <v>Warning: Missing Region</v>
      </c>
      <c r="AJ805">
        <f>COUNTIFS($A$2:$A$1000,A805,$B$2:$B$1000,B805,$C$2:$C$1000,C805,$D$2:$D$1000,D805,$E$2:$E$1000,E805,$F$2:$F$1000,F805)</f>
        <v>1</v>
      </c>
      <c r="AK805">
        <f>COUNTIF($A$2:$A$1000, A805)</f>
        <v>1</v>
      </c>
    </row>
    <row r="806" spans="1:37">
      <c r="A806" t="s">
        <v>2487</v>
      </c>
      <c r="B806" s="5">
        <v>45910</v>
      </c>
      <c r="C806" s="5">
        <v>45918</v>
      </c>
      <c r="D806" s="6">
        <f>IF(AND(C806&lt;&gt;"",B806&lt;&gt;""), C806-B806, "Missing Date")</f>
        <v>8</v>
      </c>
      <c r="E806" s="6" t="str">
        <f>IF(OR(B806="",C806=""), "Missing Date",
    IF(C806&lt;B806, "Invalid: Ship before Order",
      "OK"))</f>
        <v>OK</v>
      </c>
      <c r="F806" t="s">
        <v>2488</v>
      </c>
      <c r="G806" t="s">
        <v>118</v>
      </c>
      <c r="H806" t="s">
        <v>95</v>
      </c>
      <c r="I806" t="s">
        <v>54</v>
      </c>
      <c r="J806" t="s">
        <v>55</v>
      </c>
      <c r="K806" t="s">
        <v>56</v>
      </c>
      <c r="L806" t="s">
        <v>41</v>
      </c>
      <c r="M806" t="s">
        <v>57</v>
      </c>
      <c r="N806" t="s">
        <v>2489</v>
      </c>
      <c r="O806" t="s">
        <v>59</v>
      </c>
      <c r="P806">
        <v>1</v>
      </c>
      <c r="Q806">
        <v>2050.62</v>
      </c>
      <c r="R806">
        <v>0.05</v>
      </c>
      <c r="S806">
        <v>1948.09</v>
      </c>
      <c r="T806">
        <v>1507.08</v>
      </c>
      <c r="U806">
        <v>441.01</v>
      </c>
      <c r="V806" t="s">
        <v>32</v>
      </c>
      <c r="W806" t="s">
        <v>33</v>
      </c>
      <c r="X806" t="str">
        <f>_xlfn.TEXTJOIN("|", TRUE, A806:W806)</f>
        <v>ORD-2025-10805|45910|45918|8|OK|CUST-8745|Rahul Verma|Home Office|South|Telangana|Hyderabad|Furniture|Furnishings|Eco Furnishings 541|Standard Class|1|2050.62|0.05|1948.09|1507.08|441.01|Paid|Completed</v>
      </c>
      <c r="Y806">
        <f>COUNTIF($X$2:$X$1000, X806)</f>
        <v>1</v>
      </c>
      <c r="Z806">
        <f>COUNTIF($A$2:$A$1000, A806)</f>
        <v>1</v>
      </c>
      <c r="AA806" t="str">
        <f>IF(Y806&gt;1, "Exact Duplicate",
  IF(Z806&gt;1, "Conflicting Duplicate - Review",
    "Unique"))</f>
        <v>Unique</v>
      </c>
      <c r="AB806" s="2">
        <f>IF(ISBLANK(R806), 0, IF(ISTEXT(R806), VALUE(SUBSTITUTE(R806, "%", ""))/100, IF(OR(R806&lt;0, R806&gt;1), "Invalid", R806)))</f>
        <v>0.05</v>
      </c>
      <c r="AC806" s="4">
        <f>IF(AB806="Invalid", "Error", P806 * Q806 * (1 - AB806))</f>
        <v>1948.0889999999997</v>
      </c>
      <c r="AD806" s="4">
        <f>IF(AC806="Error", "Error", AC806 - T806)</f>
        <v>441.00899999999979</v>
      </c>
      <c r="AE806" s="2">
        <f>IF(AC806="Error", "Error", IF(AC806=0, 0, AD806 / AC806))</f>
        <v>0.22638031424642296</v>
      </c>
      <c r="AF806" s="7">
        <f>C806-B806</f>
        <v>8</v>
      </c>
      <c r="AG806" s="2" t="str">
        <f>TEXT(B806, "mmmm")</f>
        <v>September</v>
      </c>
      <c r="AH806" s="4">
        <f>YEAR(B806)</f>
        <v>2025</v>
      </c>
      <c r="AI806" s="2" t="str">
        <f t="shared" si="26"/>
        <v>Clean</v>
      </c>
      <c r="AJ806">
        <f>COUNTIFS($A$2:$A$1000,A806,$B$2:$B$1000,B806,$C$2:$C$1000,C806,$D$2:$D$1000,D806,$E$2:$E$1000,E806,$F$2:$F$1000,F806)</f>
        <v>1</v>
      </c>
      <c r="AK806">
        <f>COUNTIF($A$2:$A$1000, A806)</f>
        <v>1</v>
      </c>
    </row>
    <row r="807" spans="1:37">
      <c r="A807" t="s">
        <v>2490</v>
      </c>
      <c r="B807" s="5">
        <v>45753</v>
      </c>
      <c r="C807" s="5">
        <v>45754</v>
      </c>
      <c r="D807" s="6">
        <f>IF(AND(C807&lt;&gt;"",B807&lt;&gt;""), C807-B807, "Missing Date")</f>
        <v>1</v>
      </c>
      <c r="E807" s="6" t="str">
        <f>IF(OR(B807="",C807=""), "Missing Date",
    IF(C807&lt;B807, "Invalid: Ship before Order",
      "OK"))</f>
        <v>OK</v>
      </c>
      <c r="F807" t="s">
        <v>2355</v>
      </c>
      <c r="G807" t="s">
        <v>114</v>
      </c>
      <c r="H807" t="s">
        <v>95</v>
      </c>
      <c r="I807" t="s">
        <v>38</v>
      </c>
      <c r="J807" t="s">
        <v>166</v>
      </c>
      <c r="K807" t="s">
        <v>167</v>
      </c>
      <c r="L807" t="s">
        <v>28</v>
      </c>
      <c r="M807" t="s">
        <v>153</v>
      </c>
      <c r="N807" t="s">
        <v>2491</v>
      </c>
      <c r="O807" t="s">
        <v>31</v>
      </c>
      <c r="P807">
        <v>2</v>
      </c>
      <c r="Q807">
        <v>2030.06</v>
      </c>
      <c r="R807">
        <v>0.25</v>
      </c>
      <c r="S807">
        <v>3045.09</v>
      </c>
      <c r="T807">
        <v>2601.09</v>
      </c>
      <c r="U807">
        <v>444</v>
      </c>
      <c r="V807" t="s">
        <v>32</v>
      </c>
      <c r="W807" t="s">
        <v>33</v>
      </c>
      <c r="X807" t="str">
        <f>_xlfn.TEXTJOIN("|", TRUE, A807:W807)</f>
        <v>ORD-2025-10806|45753|45754|1|OK|CUST-2098|Priya Menon|Home Office|East|Assam|Guwahati|Office Supplies|Binders|Classic Binders 103|Second Class|2|2030.06|0.25|3045.09|2601.09|444|Paid|Completed</v>
      </c>
      <c r="Y807">
        <f>COUNTIF($X$2:$X$1000, X807)</f>
        <v>1</v>
      </c>
      <c r="Z807">
        <f>COUNTIF($A$2:$A$1000, A807)</f>
        <v>1</v>
      </c>
      <c r="AA807" t="str">
        <f>IF(Y807&gt;1, "Exact Duplicate",
  IF(Z807&gt;1, "Conflicting Duplicate - Review",
    "Unique"))</f>
        <v>Unique</v>
      </c>
      <c r="AB807" s="2">
        <f>IF(ISBLANK(R807), 0, IF(ISTEXT(R807), VALUE(SUBSTITUTE(R807, "%", ""))/100, IF(OR(R807&lt;0, R807&gt;1), "Invalid", R807)))</f>
        <v>0.25</v>
      </c>
      <c r="AC807" s="4">
        <f>IF(AB807="Invalid", "Error", P807 * Q807 * (1 - AB807))</f>
        <v>3045.09</v>
      </c>
      <c r="AD807" s="4">
        <f>IF(AC807="Error", "Error", AC807 - T807)</f>
        <v>444</v>
      </c>
      <c r="AE807" s="2">
        <f>IF(AC807="Error", "Error", IF(AC807=0, 0, AD807 / AC807))</f>
        <v>0.14580849827098705</v>
      </c>
      <c r="AF807" s="7">
        <f>C807-B807</f>
        <v>1</v>
      </c>
      <c r="AG807" s="2" t="str">
        <f>TEXT(B807, "mmmm")</f>
        <v>April</v>
      </c>
      <c r="AH807" s="4">
        <f>YEAR(B807)</f>
        <v>2025</v>
      </c>
      <c r="AI807" s="2" t="str">
        <f t="shared" si="26"/>
        <v>Clean</v>
      </c>
      <c r="AJ807">
        <f>COUNTIFS($A$2:$A$1000,A807,$B$2:$B$1000,B807,$C$2:$C$1000,C807,$D$2:$D$1000,D807,$E$2:$E$1000,E807,$F$2:$F$1000,F807)</f>
        <v>1</v>
      </c>
      <c r="AK807">
        <f>COUNTIF($A$2:$A$1000, A807)</f>
        <v>1</v>
      </c>
    </row>
    <row r="808" spans="1:37">
      <c r="A808" t="s">
        <v>2492</v>
      </c>
      <c r="B808" s="5">
        <v>45605</v>
      </c>
      <c r="C808" s="5">
        <v>45611</v>
      </c>
      <c r="D808" s="6">
        <f>IF(AND(C808&lt;&gt;"",B808&lt;&gt;""), C808-B808, "Missing Date")</f>
        <v>6</v>
      </c>
      <c r="E808" s="6" t="str">
        <f>IF(OR(B808="",C808=""), "Missing Date",
    IF(C808&lt;B808, "Invalid: Ship before Order",
      "OK"))</f>
        <v>OK</v>
      </c>
      <c r="F808" t="s">
        <v>2493</v>
      </c>
      <c r="G808" t="s">
        <v>47</v>
      </c>
      <c r="H808" t="s">
        <v>95</v>
      </c>
      <c r="I808" t="s">
        <v>25</v>
      </c>
      <c r="J808" t="s">
        <v>26</v>
      </c>
      <c r="K808" t="s">
        <v>27</v>
      </c>
      <c r="L808" t="s">
        <v>74</v>
      </c>
      <c r="M808" t="s">
        <v>80</v>
      </c>
      <c r="N808" t="s">
        <v>2494</v>
      </c>
      <c r="O808" t="s">
        <v>59</v>
      </c>
      <c r="P808">
        <v>1</v>
      </c>
      <c r="Q808">
        <v>3665.97</v>
      </c>
      <c r="R808">
        <v>0.2</v>
      </c>
      <c r="S808">
        <v>2932.78</v>
      </c>
      <c r="T808">
        <v>1900.35</v>
      </c>
      <c r="U808">
        <v>1032.43</v>
      </c>
      <c r="V808" t="s">
        <v>155</v>
      </c>
      <c r="W808" t="s">
        <v>68</v>
      </c>
      <c r="X808" t="str">
        <f>_xlfn.TEXTJOIN("|", TRUE, A808:W808)</f>
        <v>ORD-2024-10807|45605|45611|6|OK|CUST-3704|Isha Nair|Home Office|North|Rajasthan|Jaipur|Technology|Copiers|Max Copiers 560|Standard Class|1|3665.97|0.2|2932.78|1900.35|1032.43|Failed|Cancelled</v>
      </c>
      <c r="Y808">
        <f>COUNTIF($X$2:$X$1000, X808)</f>
        <v>1</v>
      </c>
      <c r="Z808">
        <f>COUNTIF($A$2:$A$1000, A808)</f>
        <v>1</v>
      </c>
      <c r="AA808" t="str">
        <f>IF(Y808&gt;1, "Exact Duplicate",
  IF(Z808&gt;1, "Conflicting Duplicate - Review",
    "Unique"))</f>
        <v>Unique</v>
      </c>
      <c r="AB808" s="2">
        <f>IF(ISBLANK(R808), 0, IF(ISTEXT(R808), VALUE(SUBSTITUTE(R808, "%", ""))/100, IF(OR(R808&lt;0, R808&gt;1), "Invalid", R808)))</f>
        <v>0.2</v>
      </c>
      <c r="AC808" s="4">
        <f>IF(AB808="Invalid", "Error", P808 * Q808 * (1 - AB808))</f>
        <v>2932.7759999999998</v>
      </c>
      <c r="AD808" s="4">
        <f>IF(AC808="Error", "Error", AC808 - T808)</f>
        <v>1032.4259999999999</v>
      </c>
      <c r="AE808" s="2">
        <f>IF(AC808="Error", "Error", IF(AC808=0, 0, AD808 / AC808))</f>
        <v>0.35203029484692999</v>
      </c>
      <c r="AF808" s="7">
        <f>C808-B808</f>
        <v>6</v>
      </c>
      <c r="AG808" s="2" t="str">
        <f>TEXT(B808, "mmmm")</f>
        <v>November</v>
      </c>
      <c r="AH808" s="4">
        <f>YEAR(B808)</f>
        <v>2024</v>
      </c>
      <c r="AI808" s="2" t="str">
        <f t="shared" si="26"/>
        <v>Excluded from Sales</v>
      </c>
      <c r="AJ808">
        <f>COUNTIFS($A$2:$A$1000,A808,$B$2:$B$1000,B808,$C$2:$C$1000,C808,$D$2:$D$1000,D808,$E$2:$E$1000,E808,$F$2:$F$1000,F808)</f>
        <v>1</v>
      </c>
      <c r="AK808">
        <f>COUNTIF($A$2:$A$1000, A808)</f>
        <v>1</v>
      </c>
    </row>
    <row r="809" spans="1:37">
      <c r="A809" t="s">
        <v>2495</v>
      </c>
      <c r="B809" s="5">
        <v>45695</v>
      </c>
      <c r="C809" s="5">
        <v>45696</v>
      </c>
      <c r="D809" s="6">
        <f>IF(AND(C809&lt;&gt;"",B809&lt;&gt;""), C809-B809, "Missing Date")</f>
        <v>1</v>
      </c>
      <c r="E809" s="6" t="str">
        <f>IF(OR(B809="",C809=""), "Missing Date",
    IF(C809&lt;B809, "Invalid: Ship before Order",
      "OK"))</f>
        <v>OK</v>
      </c>
      <c r="F809" t="s">
        <v>2496</v>
      </c>
      <c r="G809" t="s">
        <v>23</v>
      </c>
      <c r="H809" t="s">
        <v>37</v>
      </c>
      <c r="I809" t="s">
        <v>54</v>
      </c>
      <c r="J809" t="s">
        <v>55</v>
      </c>
      <c r="K809" t="s">
        <v>56</v>
      </c>
      <c r="L809" t="s">
        <v>28</v>
      </c>
      <c r="M809" t="s">
        <v>91</v>
      </c>
      <c r="N809" t="s">
        <v>2497</v>
      </c>
      <c r="O809" t="s">
        <v>59</v>
      </c>
      <c r="P809">
        <v>2</v>
      </c>
      <c r="Q809">
        <v>2432.98</v>
      </c>
      <c r="R809">
        <v>0.1</v>
      </c>
      <c r="S809">
        <v>4379.3599999999997</v>
      </c>
      <c r="T809">
        <v>3723.93</v>
      </c>
      <c r="U809">
        <v>655.43</v>
      </c>
      <c r="V809" t="s">
        <v>32</v>
      </c>
      <c r="W809" t="s">
        <v>33</v>
      </c>
      <c r="X809" t="str">
        <f>_xlfn.TEXTJOIN("|", TRUE, A809:W809)</f>
        <v>ORD-2025-10808|45695|45696|1|OK|CUST-5884|Karan Malhotra|Small Business|South|Telangana|Hyderabad|Office Supplies|Labels|Smart Labels 436|Standard Class|2|2432.98|0.1|4379.36|3723.93|655.43|Paid|Completed</v>
      </c>
      <c r="Y809">
        <f>COUNTIF($X$2:$X$1000, X809)</f>
        <v>1</v>
      </c>
      <c r="Z809">
        <f>COUNTIF($A$2:$A$1000, A809)</f>
        <v>1</v>
      </c>
      <c r="AA809" t="str">
        <f>IF(Y809&gt;1, "Exact Duplicate",
  IF(Z809&gt;1, "Conflicting Duplicate - Review",
    "Unique"))</f>
        <v>Unique</v>
      </c>
      <c r="AB809" s="2">
        <f>IF(ISBLANK(R809), 0, IF(ISTEXT(R809), VALUE(SUBSTITUTE(R809, "%", ""))/100, IF(OR(R809&lt;0, R809&gt;1), "Invalid", R809)))</f>
        <v>0.1</v>
      </c>
      <c r="AC809" s="4">
        <f>IF(AB809="Invalid", "Error", P809 * Q809 * (1 - AB809))</f>
        <v>4379.3640000000005</v>
      </c>
      <c r="AD809" s="4">
        <f>IF(AC809="Error", "Error", AC809 - T809)</f>
        <v>655.43400000000065</v>
      </c>
      <c r="AE809" s="2">
        <f>IF(AC809="Error", "Error", IF(AC809=0, 0, AD809 / AC809))</f>
        <v>0.14966419781502532</v>
      </c>
      <c r="AF809" s="7">
        <f>C809-B809</f>
        <v>1</v>
      </c>
      <c r="AG809" s="2" t="str">
        <f>TEXT(B809, "mmmm")</f>
        <v>February</v>
      </c>
      <c r="AH809" s="4">
        <f>YEAR(B809)</f>
        <v>2025</v>
      </c>
      <c r="AI809" s="2" t="str">
        <f t="shared" si="26"/>
        <v>Clean</v>
      </c>
      <c r="AJ809">
        <f>COUNTIFS($A$2:$A$1000,A809,$B$2:$B$1000,B809,$C$2:$C$1000,C809,$D$2:$D$1000,D809,$E$2:$E$1000,E809,$F$2:$F$1000,F809)</f>
        <v>1</v>
      </c>
      <c r="AK809">
        <f>COUNTIF($A$2:$A$1000, A809)</f>
        <v>1</v>
      </c>
    </row>
    <row r="810" spans="1:37">
      <c r="A810" t="s">
        <v>2498</v>
      </c>
      <c r="B810" s="5">
        <v>45900</v>
      </c>
      <c r="C810" s="5">
        <v>45897</v>
      </c>
      <c r="D810" s="6">
        <f>IF(AND(C810&lt;&gt;"",B810&lt;&gt;""), C810-B810, "Missing Date")</f>
        <v>-3</v>
      </c>
      <c r="E810" s="6" t="str">
        <f>IF(OR(B810="",C810=""), "Missing Date",
    IF(C810&lt;B810, "Invalid: Ship before Order",
      "OK"))</f>
        <v>Invalid: Ship before Order</v>
      </c>
      <c r="F810" t="s">
        <v>2499</v>
      </c>
      <c r="G810" t="s">
        <v>128</v>
      </c>
      <c r="H810" t="s">
        <v>37</v>
      </c>
      <c r="I810" t="s">
        <v>54</v>
      </c>
      <c r="J810" t="s">
        <v>247</v>
      </c>
      <c r="K810" t="s">
        <v>248</v>
      </c>
      <c r="L810" t="s">
        <v>41</v>
      </c>
      <c r="M810" t="s">
        <v>57</v>
      </c>
      <c r="N810" t="s">
        <v>2500</v>
      </c>
      <c r="O810" t="s">
        <v>50</v>
      </c>
      <c r="P810">
        <v>7</v>
      </c>
      <c r="Q810">
        <v>977.28</v>
      </c>
      <c r="R810">
        <v>0.2</v>
      </c>
      <c r="S810">
        <v>5472.77</v>
      </c>
      <c r="T810">
        <v>4477.33</v>
      </c>
      <c r="U810">
        <v>995.44</v>
      </c>
      <c r="V810" t="s">
        <v>32</v>
      </c>
      <c r="W810" t="s">
        <v>33</v>
      </c>
      <c r="X810" t="str">
        <f>_xlfn.TEXTJOIN("|", TRUE, A810:W810)</f>
        <v>ORD-2025-10809|45900|45897|-3|Invalid: Ship before Order|CUST-7503|Aarav Sharma|Small Business|South|Tamil Nadu|Chennai|Furniture|Furnishings|Pro Furnishings 386|First Class|7|977.28|0.2|5472.77|4477.33|995.44|Paid|Completed</v>
      </c>
      <c r="Y810">
        <f>COUNTIF($X$2:$X$1000, X810)</f>
        <v>1</v>
      </c>
      <c r="Z810">
        <f>COUNTIF($A$2:$A$1000, A810)</f>
        <v>1</v>
      </c>
      <c r="AA810" t="str">
        <f>IF(Y810&gt;1, "Exact Duplicate",
  IF(Z810&gt;1, "Conflicting Duplicate - Review",
    "Unique"))</f>
        <v>Unique</v>
      </c>
      <c r="AB810" s="2">
        <f>IF(ISBLANK(R810), 0, IF(ISTEXT(R810), VALUE(SUBSTITUTE(R810, "%", ""))/100, IF(OR(R810&lt;0, R810&gt;1), "Invalid", R810)))</f>
        <v>0.2</v>
      </c>
      <c r="AC810" s="4">
        <f>IF(AB810="Invalid", "Error", P810 * Q810 * (1 - AB810))</f>
        <v>5472.768</v>
      </c>
      <c r="AD810" s="4">
        <f>IF(AC810="Error", "Error", AC810 - T810)</f>
        <v>995.4380000000001</v>
      </c>
      <c r="AE810" s="2">
        <f>IF(AC810="Error", "Error", IF(AC810=0, 0, AD810 / AC810))</f>
        <v>0.18188931085695575</v>
      </c>
      <c r="AF810" s="7">
        <f>C810-B810</f>
        <v>-3</v>
      </c>
      <c r="AG810" s="2" t="str">
        <f>TEXT(B810, "mmmm")</f>
        <v>August</v>
      </c>
      <c r="AH810" s="4">
        <f>YEAR(B810)</f>
        <v>2025</v>
      </c>
      <c r="AI810" s="2" t="str">
        <f t="shared" si="26"/>
        <v>Invalid Shipping Record</v>
      </c>
      <c r="AJ810">
        <f>COUNTIFS($A$2:$A$1000,A810,$B$2:$B$1000,B810,$C$2:$C$1000,C810,$D$2:$D$1000,D810,$E$2:$E$1000,E810,$F$2:$F$1000,F810)</f>
        <v>1</v>
      </c>
      <c r="AK810">
        <f>COUNTIF($A$2:$A$1000, A810)</f>
        <v>1</v>
      </c>
    </row>
    <row r="811" spans="1:37">
      <c r="A811" t="s">
        <v>2501</v>
      </c>
      <c r="B811" s="5">
        <v>45833</v>
      </c>
      <c r="C811" s="5">
        <v>45833</v>
      </c>
      <c r="D811" s="6">
        <f>IF(AND(C811&lt;&gt;"",B811&lt;&gt;""), C811-B811, "Missing Date")</f>
        <v>0</v>
      </c>
      <c r="E811" s="6" t="str">
        <f>IF(OR(B811="",C811=""), "Missing Date",
    IF(C811&lt;B811, "Invalid: Ship before Order",
      "OK"))</f>
        <v>OK</v>
      </c>
      <c r="F811" t="s">
        <v>2502</v>
      </c>
      <c r="G811" t="s">
        <v>53</v>
      </c>
      <c r="H811" t="s">
        <v>37</v>
      </c>
      <c r="I811" t="s">
        <v>2762</v>
      </c>
      <c r="J811" t="s">
        <v>122</v>
      </c>
      <c r="K811" t="s">
        <v>123</v>
      </c>
      <c r="L811" t="s">
        <v>28</v>
      </c>
      <c r="M811" t="s">
        <v>153</v>
      </c>
      <c r="N811" t="s">
        <v>2503</v>
      </c>
      <c r="O811" t="s">
        <v>31</v>
      </c>
      <c r="P811">
        <v>6</v>
      </c>
      <c r="Q811">
        <v>1366.13</v>
      </c>
      <c r="R811">
        <v>0.1</v>
      </c>
      <c r="S811">
        <v>7377.1</v>
      </c>
      <c r="T811">
        <v>5085.21</v>
      </c>
      <c r="U811">
        <v>2291.89</v>
      </c>
      <c r="V811" t="s">
        <v>32</v>
      </c>
      <c r="W811" t="s">
        <v>33</v>
      </c>
      <c r="X811" t="str">
        <f>_xlfn.TEXTJOIN("|", TRUE, A811:W811)</f>
        <v>ORD-2025-10810|45833|45833|0|OK|CUST-6973|Arjun Bose|Small Business|Unknown|Punjab|Ludhiana|Office Supplies|Binders|Eco Binders 601|Second Class|6|1366.13|0.1|7377.1|5085.21|2291.89|Paid|Completed</v>
      </c>
      <c r="Y811">
        <f>COUNTIF($X$2:$X$1000, X811)</f>
        <v>1</v>
      </c>
      <c r="Z811">
        <f>COUNTIF($A$2:$A$1000, A811)</f>
        <v>1</v>
      </c>
      <c r="AA811" t="str">
        <f>IF(Y811&gt;1, "Exact Duplicate",
  IF(Z811&gt;1, "Conflicting Duplicate - Review",
    "Unique"))</f>
        <v>Unique</v>
      </c>
      <c r="AB811" s="2">
        <f>IF(ISBLANK(R811), 0, IF(ISTEXT(R811), VALUE(SUBSTITUTE(R811, "%", ""))/100, IF(OR(R811&lt;0, R811&gt;1), "Invalid", R811)))</f>
        <v>0.1</v>
      </c>
      <c r="AC811" s="4">
        <f>IF(AB811="Invalid", "Error", P811 * Q811 * (1 - AB811))</f>
        <v>7377.1020000000008</v>
      </c>
      <c r="AD811" s="4">
        <f>IF(AC811="Error", "Error", AC811 - T811)</f>
        <v>2291.8920000000007</v>
      </c>
      <c r="AE811" s="2">
        <f>IF(AC811="Error", "Error", IF(AC811=0, 0, AD811 / AC811))</f>
        <v>0.31067646888981615</v>
      </c>
      <c r="AF811" s="7">
        <f>C811-B811</f>
        <v>0</v>
      </c>
      <c r="AG811" s="2" t="str">
        <f>TEXT(B811, "mmmm")</f>
        <v>June</v>
      </c>
      <c r="AH811" s="4">
        <f>YEAR(B811)</f>
        <v>2025</v>
      </c>
      <c r="AI811" s="2" t="str">
        <f t="shared" si="26"/>
        <v>Warning: Missing Region</v>
      </c>
      <c r="AJ811">
        <f>COUNTIFS($A$2:$A$1000,A811,$B$2:$B$1000,B811,$C$2:$C$1000,C811,$D$2:$D$1000,D811,$E$2:$E$1000,E811,$F$2:$F$1000,F811)</f>
        <v>1</v>
      </c>
      <c r="AK811">
        <f>COUNTIF($A$2:$A$1000, A811)</f>
        <v>1</v>
      </c>
    </row>
    <row r="812" spans="1:37">
      <c r="A812" t="s">
        <v>2504</v>
      </c>
      <c r="B812" s="5">
        <v>45355</v>
      </c>
      <c r="C812" s="5">
        <v>45390</v>
      </c>
      <c r="D812" s="6">
        <f>IF(AND(C812&lt;&gt;"",B812&lt;&gt;""), C812-B812, "Missing Date")</f>
        <v>35</v>
      </c>
      <c r="E812" s="6" t="str">
        <f>IF(OR(B812="",C812=""), "Missing Date",
    IF(C812&lt;B812, "Invalid: Ship before Order",
      "OK"))</f>
        <v>OK</v>
      </c>
      <c r="F812" t="s">
        <v>1668</v>
      </c>
      <c r="G812" t="s">
        <v>264</v>
      </c>
      <c r="H812" t="s">
        <v>95</v>
      </c>
      <c r="I812" t="s">
        <v>63</v>
      </c>
      <c r="J812" t="s">
        <v>180</v>
      </c>
      <c r="K812" t="s">
        <v>181</v>
      </c>
      <c r="L812" t="s">
        <v>74</v>
      </c>
      <c r="M812" t="s">
        <v>80</v>
      </c>
      <c r="N812" t="s">
        <v>2505</v>
      </c>
      <c r="O812" t="s">
        <v>50</v>
      </c>
      <c r="P812">
        <v>1</v>
      </c>
      <c r="Q812">
        <v>3151.85</v>
      </c>
      <c r="R812">
        <v>0.25</v>
      </c>
      <c r="S812">
        <v>2363.89</v>
      </c>
      <c r="T812">
        <v>1471.51</v>
      </c>
      <c r="U812">
        <v>892.38</v>
      </c>
      <c r="V812" t="s">
        <v>32</v>
      </c>
      <c r="W812" t="s">
        <v>33</v>
      </c>
      <c r="X812" t="str">
        <f>_xlfn.TEXTJOIN("|", TRUE, A812:W812)</f>
        <v>ORD-2024-10811|45355|45390|35|OK|CUST-4653|Kabir Singh|Home Office|West|Gujarat|Ahmedabad|Technology|Copiers|Pro Copiers 867|First Class|1|3151.85|0.25|2363.89|1471.51|892.38|Paid|Completed</v>
      </c>
      <c r="Y812">
        <f>COUNTIF($X$2:$X$1000, X812)</f>
        <v>1</v>
      </c>
      <c r="Z812">
        <f>COUNTIF($A$2:$A$1000, A812)</f>
        <v>1</v>
      </c>
      <c r="AA812" t="str">
        <f>IF(Y812&gt;1, "Exact Duplicate",
  IF(Z812&gt;1, "Conflicting Duplicate - Review",
    "Unique"))</f>
        <v>Unique</v>
      </c>
      <c r="AB812" s="2">
        <f>IF(ISBLANK(R812), 0, IF(ISTEXT(R812), VALUE(SUBSTITUTE(R812, "%", ""))/100, IF(OR(R812&lt;0, R812&gt;1), "Invalid", R812)))</f>
        <v>0.25</v>
      </c>
      <c r="AC812" s="4">
        <f>IF(AB812="Invalid", "Error", P812 * Q812 * (1 - AB812))</f>
        <v>2363.8874999999998</v>
      </c>
      <c r="AD812" s="4">
        <f>IF(AC812="Error", "Error", AC812 - T812)</f>
        <v>892.37749999999983</v>
      </c>
      <c r="AE812" s="2">
        <f>IF(AC812="Error", "Error", IF(AC812=0, 0, AD812 / AC812))</f>
        <v>0.37750421710000998</v>
      </c>
      <c r="AF812" s="7">
        <f>C812-B812</f>
        <v>35</v>
      </c>
      <c r="AG812" s="2" t="str">
        <f>TEXT(B812, "mmmm")</f>
        <v>March</v>
      </c>
      <c r="AH812" s="4">
        <f>YEAR(B812)</f>
        <v>2024</v>
      </c>
      <c r="AI812" s="2" t="str">
        <f t="shared" si="26"/>
        <v>Clean</v>
      </c>
      <c r="AJ812">
        <f>COUNTIFS($A$2:$A$1000,A812,$B$2:$B$1000,B812,$C$2:$C$1000,C812,$D$2:$D$1000,D812,$E$2:$E$1000,E812,$F$2:$F$1000,F812)</f>
        <v>1</v>
      </c>
      <c r="AK812">
        <f>COUNTIF($A$2:$A$1000, A812)</f>
        <v>1</v>
      </c>
    </row>
    <row r="813" spans="1:37">
      <c r="A813" t="s">
        <v>2506</v>
      </c>
      <c r="B813" s="5">
        <v>45638</v>
      </c>
      <c r="C813" s="5">
        <v>45645</v>
      </c>
      <c r="D813" s="6">
        <f>IF(AND(C813&lt;&gt;"",B813&lt;&gt;""), C813-B813, "Missing Date")</f>
        <v>7</v>
      </c>
      <c r="E813" s="6" t="str">
        <f>IF(OR(B813="",C813=""), "Missing Date",
    IF(C813&lt;B813, "Invalid: Ship before Order",
      "OK"))</f>
        <v>OK</v>
      </c>
      <c r="F813" t="s">
        <v>2507</v>
      </c>
      <c r="G813" t="s">
        <v>141</v>
      </c>
      <c r="H813" t="s">
        <v>95</v>
      </c>
      <c r="I813" t="s">
        <v>25</v>
      </c>
      <c r="J813" t="s">
        <v>236</v>
      </c>
      <c r="K813" t="s">
        <v>237</v>
      </c>
      <c r="L813" t="s">
        <v>74</v>
      </c>
      <c r="M813" t="s">
        <v>75</v>
      </c>
      <c r="N813" t="s">
        <v>2508</v>
      </c>
      <c r="O813" t="s">
        <v>50</v>
      </c>
      <c r="P813">
        <v>2</v>
      </c>
      <c r="Q813">
        <v>1610.75</v>
      </c>
      <c r="R813">
        <v>0.2</v>
      </c>
      <c r="S813">
        <v>2577.1999999999998</v>
      </c>
      <c r="T813">
        <v>1475.87</v>
      </c>
      <c r="U813">
        <v>1101.33</v>
      </c>
      <c r="V813" t="s">
        <v>32</v>
      </c>
      <c r="W813" t="s">
        <v>33</v>
      </c>
      <c r="X813" t="str">
        <f>_xlfn.TEXTJOIN("|", TRUE, A813:W813)</f>
        <v>ORD-2024-10812|45638|45645|7|OK|CUST-3303|Rohan Mehta|Home Office|North|Haryana|Gurugram|Technology|Accessories|Eco Accessories 122|First Class|2|1610.75|0.2|2577.2|1475.87|1101.33|Paid|Completed</v>
      </c>
      <c r="Y813">
        <f>COUNTIF($X$2:$X$1000, X813)</f>
        <v>1</v>
      </c>
      <c r="Z813">
        <f>COUNTIF($A$2:$A$1000, A813)</f>
        <v>1</v>
      </c>
      <c r="AA813" t="str">
        <f>IF(Y813&gt;1, "Exact Duplicate",
  IF(Z813&gt;1, "Conflicting Duplicate - Review",
    "Unique"))</f>
        <v>Unique</v>
      </c>
      <c r="AB813" s="2">
        <f>IF(ISBLANK(R813), 0, IF(ISTEXT(R813), VALUE(SUBSTITUTE(R813, "%", ""))/100, IF(OR(R813&lt;0, R813&gt;1), "Invalid", R813)))</f>
        <v>0.2</v>
      </c>
      <c r="AC813" s="4">
        <f>IF(AB813="Invalid", "Error", P813 * Q813 * (1 - AB813))</f>
        <v>2577.2000000000003</v>
      </c>
      <c r="AD813" s="4">
        <f>IF(AC813="Error", "Error", AC813 - T813)</f>
        <v>1101.3300000000004</v>
      </c>
      <c r="AE813" s="2">
        <f>IF(AC813="Error", "Error", IF(AC813=0, 0, AD813 / AC813))</f>
        <v>0.42733586838429316</v>
      </c>
      <c r="AF813" s="7">
        <f>C813-B813</f>
        <v>7</v>
      </c>
      <c r="AG813" s="2" t="str">
        <f>TEXT(B813, "mmmm")</f>
        <v>December</v>
      </c>
      <c r="AH813" s="4">
        <f>YEAR(B813)</f>
        <v>2024</v>
      </c>
      <c r="AI813" s="2" t="str">
        <f t="shared" si="26"/>
        <v>Clean</v>
      </c>
      <c r="AJ813">
        <f>COUNTIFS($A$2:$A$1000,A813,$B$2:$B$1000,B813,$C$2:$C$1000,C813,$D$2:$D$1000,D813,$E$2:$E$1000,E813,$F$2:$F$1000,F813)</f>
        <v>1</v>
      </c>
      <c r="AK813">
        <f>COUNTIF($A$2:$A$1000, A813)</f>
        <v>1</v>
      </c>
    </row>
    <row r="814" spans="1:37">
      <c r="A814" t="s">
        <v>2509</v>
      </c>
      <c r="B814" s="5">
        <v>45458</v>
      </c>
      <c r="C814" s="5">
        <v>45463</v>
      </c>
      <c r="D814" s="6">
        <f>IF(AND(C814&lt;&gt;"",B814&lt;&gt;""), C814-B814, "Missing Date")</f>
        <v>5</v>
      </c>
      <c r="E814" s="6" t="str">
        <f>IF(OR(B814="",C814=""), "Missing Date",
    IF(C814&lt;B814, "Invalid: Ship before Order",
      "OK"))</f>
        <v>OK</v>
      </c>
      <c r="F814" t="s">
        <v>2510</v>
      </c>
      <c r="G814" t="s">
        <v>132</v>
      </c>
      <c r="H814" t="s">
        <v>37</v>
      </c>
      <c r="I814" t="s">
        <v>38</v>
      </c>
      <c r="J814" t="s">
        <v>228</v>
      </c>
      <c r="K814" t="s">
        <v>229</v>
      </c>
      <c r="L814" t="s">
        <v>41</v>
      </c>
      <c r="M814" t="s">
        <v>42</v>
      </c>
      <c r="N814" t="s">
        <v>2511</v>
      </c>
      <c r="O814" t="s">
        <v>50</v>
      </c>
      <c r="P814">
        <v>8</v>
      </c>
      <c r="Q814">
        <v>2228.4699999999998</v>
      </c>
      <c r="R814">
        <v>0</v>
      </c>
      <c r="S814">
        <v>17827.759999999998</v>
      </c>
      <c r="T814">
        <v>14122.13</v>
      </c>
      <c r="U814">
        <v>3705.63</v>
      </c>
      <c r="V814" t="s">
        <v>32</v>
      </c>
      <c r="W814" t="s">
        <v>33</v>
      </c>
      <c r="X814" t="str">
        <f>_xlfn.TEXTJOIN("|", TRUE, A814:W814)</f>
        <v>ORD-2024-10813|45458|45463|5|OK|CUST-5754|Sneha Kapoor|Small Business|East|Jharkhand|Ranchi|Furniture|Tables|Basic Tables 127|First Class|8|2228.47|0|17827.76|14122.13|3705.63|Paid|Completed</v>
      </c>
      <c r="Y814">
        <f>COUNTIF($X$2:$X$1000, X814)</f>
        <v>1</v>
      </c>
      <c r="Z814">
        <f>COUNTIF($A$2:$A$1000, A814)</f>
        <v>1</v>
      </c>
      <c r="AA814" t="str">
        <f>IF(Y814&gt;1, "Exact Duplicate",
  IF(Z814&gt;1, "Conflicting Duplicate - Review",
    "Unique"))</f>
        <v>Unique</v>
      </c>
      <c r="AB814" s="2">
        <f>IF(ISBLANK(R814), 0, IF(ISTEXT(R814), VALUE(SUBSTITUTE(R814, "%", ""))/100, IF(OR(R814&lt;0, R814&gt;1), "Invalid", R814)))</f>
        <v>0</v>
      </c>
      <c r="AC814" s="4">
        <f>IF(AB814="Invalid", "Error", P814 * Q814 * (1 - AB814))</f>
        <v>17827.759999999998</v>
      </c>
      <c r="AD814" s="4">
        <f>IF(AC814="Error", "Error", AC814 - T814)</f>
        <v>3705.6299999999992</v>
      </c>
      <c r="AE814" s="2">
        <f>IF(AC814="Error", "Error", IF(AC814=0, 0, AD814 / AC814))</f>
        <v>0.20785729671029896</v>
      </c>
      <c r="AF814" s="7">
        <f>C814-B814</f>
        <v>5</v>
      </c>
      <c r="AG814" s="2" t="str">
        <f>TEXT(B814, "mmmm")</f>
        <v>June</v>
      </c>
      <c r="AH814" s="4">
        <f>YEAR(B814)</f>
        <v>2024</v>
      </c>
      <c r="AI814" s="2" t="str">
        <f t="shared" si="26"/>
        <v>Clean</v>
      </c>
      <c r="AJ814">
        <f>COUNTIFS($A$2:$A$1000,A814,$B$2:$B$1000,B814,$C$2:$C$1000,C814,$D$2:$D$1000,D814,$E$2:$E$1000,E814,$F$2:$F$1000,F814)</f>
        <v>1</v>
      </c>
      <c r="AK814">
        <f>COUNTIF($A$2:$A$1000, A814)</f>
        <v>1</v>
      </c>
    </row>
    <row r="815" spans="1:37">
      <c r="A815" t="s">
        <v>2512</v>
      </c>
      <c r="B815" s="5">
        <v>45812</v>
      </c>
      <c r="C815" s="5">
        <v>45757</v>
      </c>
      <c r="D815" s="6">
        <f>IF(AND(C815&lt;&gt;"",B815&lt;&gt;""), C815-B815, "Missing Date")</f>
        <v>-55</v>
      </c>
      <c r="E815" s="6" t="str">
        <f>IF(OR(B815="",C815=""), "Missing Date",
    IF(C815&lt;B815, "Invalid: Ship before Order",
      "OK"))</f>
        <v>Invalid: Ship before Order</v>
      </c>
      <c r="F815" t="s">
        <v>2513</v>
      </c>
      <c r="G815" t="s">
        <v>141</v>
      </c>
      <c r="H815" t="s">
        <v>24</v>
      </c>
      <c r="I815" t="s">
        <v>38</v>
      </c>
      <c r="J815" t="s">
        <v>39</v>
      </c>
      <c r="K815" t="s">
        <v>40</v>
      </c>
      <c r="L815" t="s">
        <v>41</v>
      </c>
      <c r="M815" t="s">
        <v>158</v>
      </c>
      <c r="N815" t="s">
        <v>1122</v>
      </c>
      <c r="O815" t="s">
        <v>59</v>
      </c>
      <c r="P815">
        <v>2</v>
      </c>
      <c r="Q815">
        <v>1337.67</v>
      </c>
      <c r="R815">
        <v>0</v>
      </c>
      <c r="S815">
        <v>2675.34</v>
      </c>
      <c r="T815">
        <v>1595.87</v>
      </c>
      <c r="U815">
        <v>1079.47</v>
      </c>
      <c r="V815" t="s">
        <v>32</v>
      </c>
      <c r="W815" t="s">
        <v>33</v>
      </c>
      <c r="X815" t="str">
        <f>_xlfn.TEXTJOIN("|", TRUE, A815:W815)</f>
        <v>ORD-2025-10814|45812|45757|-55|Invalid: Ship before Order|CUST-7848|Rohan Mehta|Consumer|East|Odisha|Bhubaneswar|Furniture|Bookcases|Elite Bookcases 988|Standard Class|2|1337.67|0|2675.34|1595.87|1079.47|Paid|Completed</v>
      </c>
      <c r="Y815">
        <f>COUNTIF($X$2:$X$1000, X815)</f>
        <v>1</v>
      </c>
      <c r="Z815">
        <f>COUNTIF($A$2:$A$1000, A815)</f>
        <v>1</v>
      </c>
      <c r="AA815" t="str">
        <f>IF(Y815&gt;1, "Exact Duplicate",
  IF(Z815&gt;1, "Conflicting Duplicate - Review",
    "Unique"))</f>
        <v>Unique</v>
      </c>
      <c r="AB815" s="2">
        <f>IF(ISBLANK(R815), 0, IF(ISTEXT(R815), VALUE(SUBSTITUTE(R815, "%", ""))/100, IF(OR(R815&lt;0, R815&gt;1), "Invalid", R815)))</f>
        <v>0</v>
      </c>
      <c r="AC815" s="4">
        <f>IF(AB815="Invalid", "Error", P815 * Q815 * (1 - AB815))</f>
        <v>2675.34</v>
      </c>
      <c r="AD815" s="4">
        <f>IF(AC815="Error", "Error", AC815 - T815)</f>
        <v>1079.4700000000003</v>
      </c>
      <c r="AE815" s="2">
        <f>IF(AC815="Error", "Error", IF(AC815=0, 0, AD815 / AC815))</f>
        <v>0.40348890234512258</v>
      </c>
      <c r="AF815" s="7">
        <f>C815-B815</f>
        <v>-55</v>
      </c>
      <c r="AG815" s="2" t="str">
        <f>TEXT(B815, "mmmm")</f>
        <v>June</v>
      </c>
      <c r="AH815" s="4">
        <f>YEAR(B815)</f>
        <v>2025</v>
      </c>
      <c r="AI815" s="2" t="str">
        <f t="shared" si="26"/>
        <v>Invalid Shipping Record</v>
      </c>
      <c r="AJ815">
        <f>COUNTIFS($A$2:$A$1000,A815,$B$2:$B$1000,B815,$C$2:$C$1000,C815,$D$2:$D$1000,D815,$E$2:$E$1000,E815,$F$2:$F$1000,F815)</f>
        <v>1</v>
      </c>
      <c r="AK815">
        <f>COUNTIF($A$2:$A$1000, A815)</f>
        <v>1</v>
      </c>
    </row>
    <row r="816" spans="1:37">
      <c r="A816" t="s">
        <v>2514</v>
      </c>
      <c r="B816" s="5">
        <v>45875</v>
      </c>
      <c r="C816" s="5">
        <v>45880</v>
      </c>
      <c r="D816" s="6">
        <f>IF(AND(C816&lt;&gt;"",B816&lt;&gt;""), C816-B816, "Missing Date")</f>
        <v>5</v>
      </c>
      <c r="E816" s="6" t="str">
        <f>IF(OR(B816="",C816=""), "Missing Date",
    IF(C816&lt;B816, "Invalid: Ship before Order",
      "OK"))</f>
        <v>OK</v>
      </c>
      <c r="F816" t="s">
        <v>2515</v>
      </c>
      <c r="G816" t="s">
        <v>53</v>
      </c>
      <c r="H816" t="s">
        <v>24</v>
      </c>
      <c r="I816" t="s">
        <v>63</v>
      </c>
      <c r="J816" t="s">
        <v>72</v>
      </c>
      <c r="K816" t="s">
        <v>73</v>
      </c>
      <c r="L816" t="s">
        <v>28</v>
      </c>
      <c r="M816" t="s">
        <v>91</v>
      </c>
      <c r="N816" t="s">
        <v>2516</v>
      </c>
      <c r="O816" t="s">
        <v>50</v>
      </c>
      <c r="P816">
        <v>2</v>
      </c>
      <c r="Q816">
        <v>2375.94</v>
      </c>
      <c r="R816">
        <v>0.25</v>
      </c>
      <c r="S816">
        <v>3563.91</v>
      </c>
      <c r="T816">
        <v>2639.7</v>
      </c>
      <c r="U816">
        <v>924.21</v>
      </c>
      <c r="V816" t="s">
        <v>32</v>
      </c>
      <c r="W816" t="s">
        <v>33</v>
      </c>
      <c r="X816" t="str">
        <f>_xlfn.TEXTJOIN("|", TRUE, A816:W816)</f>
        <v>ORD-2025-10815|45875|45880|5|OK|CUST-9048|Arjun Bose|Consumer|West|Madhya Pradesh|Indore|Office Supplies|Labels|Smart Labels 126|First Class|2|2375.94|0.25|3563.91|2639.7|924.21|Paid|Completed</v>
      </c>
      <c r="Y816">
        <f>COUNTIF($X$2:$X$1000, X816)</f>
        <v>1</v>
      </c>
      <c r="Z816">
        <f>COUNTIF($A$2:$A$1000, A816)</f>
        <v>1</v>
      </c>
      <c r="AA816" t="str">
        <f>IF(Y816&gt;1, "Exact Duplicate",
  IF(Z816&gt;1, "Conflicting Duplicate - Review",
    "Unique"))</f>
        <v>Unique</v>
      </c>
      <c r="AB816" s="2">
        <f>IF(ISBLANK(R816), 0, IF(ISTEXT(R816), VALUE(SUBSTITUTE(R816, "%", ""))/100, IF(OR(R816&lt;0, R816&gt;1), "Invalid", R816)))</f>
        <v>0.25</v>
      </c>
      <c r="AC816" s="4">
        <f>IF(AB816="Invalid", "Error", P816 * Q816 * (1 - AB816))</f>
        <v>3563.91</v>
      </c>
      <c r="AD816" s="4">
        <f>IF(AC816="Error", "Error", AC816 - T816)</f>
        <v>924.21</v>
      </c>
      <c r="AE816" s="2">
        <f>IF(AC816="Error", "Error", IF(AC816=0, 0, AD816 / AC816))</f>
        <v>0.25932473042248544</v>
      </c>
      <c r="AF816" s="7">
        <f>C816-B816</f>
        <v>5</v>
      </c>
      <c r="AG816" s="2" t="str">
        <f>TEXT(B816, "mmmm")</f>
        <v>August</v>
      </c>
      <c r="AH816" s="4">
        <f>YEAR(B816)</f>
        <v>2025</v>
      </c>
      <c r="AI816" s="2" t="str">
        <f t="shared" si="26"/>
        <v>Clean</v>
      </c>
      <c r="AJ816">
        <f>COUNTIFS($A$2:$A$1000,A816,$B$2:$B$1000,B816,$C$2:$C$1000,C816,$D$2:$D$1000,D816,$E$2:$E$1000,E816,$F$2:$F$1000,F816)</f>
        <v>1</v>
      </c>
      <c r="AK816">
        <f>COUNTIF($A$2:$A$1000, A816)</f>
        <v>1</v>
      </c>
    </row>
    <row r="817" spans="1:37">
      <c r="A817" t="s">
        <v>2517</v>
      </c>
      <c r="B817" s="5">
        <v>45295</v>
      </c>
      <c r="C817" s="5">
        <v>45390</v>
      </c>
      <c r="D817" s="6">
        <f>IF(AND(C817&lt;&gt;"",B817&lt;&gt;""), C817-B817, "Missing Date")</f>
        <v>95</v>
      </c>
      <c r="E817" s="6" t="str">
        <f>IF(OR(B817="",C817=""), "Missing Date",
    IF(C817&lt;B817, "Invalid: Ship before Order",
      "OK"))</f>
        <v>OK</v>
      </c>
      <c r="F817" t="s">
        <v>2518</v>
      </c>
      <c r="G817" t="s">
        <v>162</v>
      </c>
      <c r="H817" t="s">
        <v>24</v>
      </c>
      <c r="I817" t="s">
        <v>38</v>
      </c>
      <c r="J817" t="s">
        <v>39</v>
      </c>
      <c r="K817" t="s">
        <v>40</v>
      </c>
      <c r="L817" t="s">
        <v>74</v>
      </c>
      <c r="M817" t="s">
        <v>274</v>
      </c>
      <c r="N817" t="s">
        <v>2519</v>
      </c>
      <c r="O817" t="s">
        <v>59</v>
      </c>
      <c r="P817">
        <v>7</v>
      </c>
      <c r="Q817">
        <v>715.81</v>
      </c>
      <c r="R817">
        <v>0.15</v>
      </c>
      <c r="S817">
        <v>4259.07</v>
      </c>
      <c r="T817">
        <v>3130.32</v>
      </c>
      <c r="U817">
        <v>1128.75</v>
      </c>
      <c r="V817" t="s">
        <v>111</v>
      </c>
      <c r="W817" t="s">
        <v>68</v>
      </c>
      <c r="X817" t="str">
        <f>_xlfn.TEXTJOIN("|", TRUE, A817:W817)</f>
        <v>ORD-2024-10816|45295|45390|95|OK|CUST-2951|Diya Patel|Consumer|East|Odisha|Bhubaneswar|Technology|Machines|Max Machines 569|Standard Class|7|715.81|0.15|4259.07|3130.32|1128.75|Pending|Cancelled</v>
      </c>
      <c r="Y817">
        <f>COUNTIF($X$2:$X$1000, X817)</f>
        <v>1</v>
      </c>
      <c r="Z817">
        <f>COUNTIF($A$2:$A$1000, A817)</f>
        <v>1</v>
      </c>
      <c r="AA817" t="str">
        <f>IF(Y817&gt;1, "Exact Duplicate",
  IF(Z817&gt;1, "Conflicting Duplicate - Review",
    "Unique"))</f>
        <v>Unique</v>
      </c>
      <c r="AB817" s="2">
        <f>IF(ISBLANK(R817), 0, IF(ISTEXT(R817), VALUE(SUBSTITUTE(R817, "%", ""))/100, IF(OR(R817&lt;0, R817&gt;1), "Invalid", R817)))</f>
        <v>0.15</v>
      </c>
      <c r="AC817" s="4">
        <f>IF(AB817="Invalid", "Error", P817 * Q817 * (1 - AB817))</f>
        <v>4259.0694999999996</v>
      </c>
      <c r="AD817" s="4">
        <f>IF(AC817="Error", "Error", AC817 - T817)</f>
        <v>1128.7494999999994</v>
      </c>
      <c r="AE817" s="2">
        <f>IF(AC817="Error", "Error", IF(AC817=0, 0, AD817 / AC817))</f>
        <v>0.26502255950507486</v>
      </c>
      <c r="AF817" s="7">
        <f>C817-B817</f>
        <v>95</v>
      </c>
      <c r="AG817" s="2" t="str">
        <f>TEXT(B817, "mmmm")</f>
        <v>January</v>
      </c>
      <c r="AH817" s="4">
        <f>YEAR(B817)</f>
        <v>2024</v>
      </c>
      <c r="AI817" s="2" t="str">
        <f t="shared" si="26"/>
        <v>Excluded from Sales</v>
      </c>
      <c r="AJ817">
        <f>COUNTIFS($A$2:$A$1000,A817,$B$2:$B$1000,B817,$C$2:$C$1000,C817,$D$2:$D$1000,D817,$E$2:$E$1000,E817,$F$2:$F$1000,F817)</f>
        <v>1</v>
      </c>
      <c r="AK817">
        <f>COUNTIF($A$2:$A$1000, A817)</f>
        <v>1</v>
      </c>
    </row>
    <row r="818" spans="1:37">
      <c r="A818" t="s">
        <v>2520</v>
      </c>
      <c r="B818" s="5">
        <v>45623</v>
      </c>
      <c r="C818" s="5">
        <v>45626</v>
      </c>
      <c r="D818" s="6">
        <f>IF(AND(C818&lt;&gt;"",B818&lt;&gt;""), C818-B818, "Missing Date")</f>
        <v>3</v>
      </c>
      <c r="E818" s="6" t="str">
        <f>IF(OR(B818="",C818=""), "Missing Date",
    IF(C818&lt;B818, "Invalid: Ship before Order",
      "OK"))</f>
        <v>OK</v>
      </c>
      <c r="F818" t="s">
        <v>2521</v>
      </c>
      <c r="G818" t="s">
        <v>118</v>
      </c>
      <c r="H818" t="s">
        <v>37</v>
      </c>
      <c r="I818" t="s">
        <v>38</v>
      </c>
      <c r="J818" t="s">
        <v>228</v>
      </c>
      <c r="K818" t="s">
        <v>229</v>
      </c>
      <c r="L818" t="s">
        <v>41</v>
      </c>
      <c r="M818" t="s">
        <v>57</v>
      </c>
      <c r="N818" t="s">
        <v>2522</v>
      </c>
      <c r="O818" t="s">
        <v>50</v>
      </c>
      <c r="P818">
        <v>1</v>
      </c>
      <c r="Q818">
        <v>874.3</v>
      </c>
      <c r="R818">
        <v>0.1</v>
      </c>
      <c r="S818">
        <v>786.87</v>
      </c>
      <c r="T818">
        <v>498.5</v>
      </c>
      <c r="U818">
        <v>288.37</v>
      </c>
      <c r="V818" t="s">
        <v>32</v>
      </c>
      <c r="W818" t="s">
        <v>33</v>
      </c>
      <c r="X818" t="str">
        <f>_xlfn.TEXTJOIN("|", TRUE, A818:W818)</f>
        <v>ORD-2024-10817|45623|45626|3|OK|CUST-3072|Rahul Verma|Small Business|East|Jharkhand|Ranchi|Furniture|Furnishings|Basic Furnishings 306|First Class|1|874.3|0.1|786.87|498.5|288.37|Paid|Completed</v>
      </c>
      <c r="Y818">
        <f>COUNTIF($X$2:$X$1000, X818)</f>
        <v>1</v>
      </c>
      <c r="Z818">
        <f>COUNTIF($A$2:$A$1000, A818)</f>
        <v>1</v>
      </c>
      <c r="AA818" t="str">
        <f>IF(Y818&gt;1, "Exact Duplicate",
  IF(Z818&gt;1, "Conflicting Duplicate - Review",
    "Unique"))</f>
        <v>Unique</v>
      </c>
      <c r="AB818" s="2">
        <f>IF(ISBLANK(R818), 0, IF(ISTEXT(R818), VALUE(SUBSTITUTE(R818, "%", ""))/100, IF(OR(R818&lt;0, R818&gt;1), "Invalid", R818)))</f>
        <v>0.1</v>
      </c>
      <c r="AC818" s="4">
        <f>IF(AB818="Invalid", "Error", P818 * Q818 * (1 - AB818))</f>
        <v>786.87</v>
      </c>
      <c r="AD818" s="4">
        <f>IF(AC818="Error", "Error", AC818 - T818)</f>
        <v>288.37</v>
      </c>
      <c r="AE818" s="2">
        <f>IF(AC818="Error", "Error", IF(AC818=0, 0, AD818 / AC818))</f>
        <v>0.36647730883119195</v>
      </c>
      <c r="AF818" s="7">
        <f>C818-B818</f>
        <v>3</v>
      </c>
      <c r="AG818" s="2" t="str">
        <f>TEXT(B818, "mmmm")</f>
        <v>November</v>
      </c>
      <c r="AH818" s="4">
        <f>YEAR(B818)</f>
        <v>2024</v>
      </c>
      <c r="AI818" s="2" t="str">
        <f t="shared" si="26"/>
        <v>Clean</v>
      </c>
      <c r="AJ818">
        <f>COUNTIFS($A$2:$A$1000,A818,$B$2:$B$1000,B818,$C$2:$C$1000,C818,$D$2:$D$1000,D818,$E$2:$E$1000,E818,$F$2:$F$1000,F818)</f>
        <v>1</v>
      </c>
      <c r="AK818">
        <f>COUNTIF($A$2:$A$1000, A818)</f>
        <v>1</v>
      </c>
    </row>
    <row r="819" spans="1:37">
      <c r="A819" t="s">
        <v>2523</v>
      </c>
      <c r="B819" s="5">
        <v>45752</v>
      </c>
      <c r="C819" s="5">
        <v>45781</v>
      </c>
      <c r="D819" s="6">
        <f>IF(AND(C819&lt;&gt;"",B819&lt;&gt;""), C819-B819, "Missing Date")</f>
        <v>29</v>
      </c>
      <c r="E819" s="6" t="str">
        <f>IF(OR(B819="",C819=""), "Missing Date",
    IF(C819&lt;B819, "Invalid: Ship before Order",
      "OK"))</f>
        <v>OK</v>
      </c>
      <c r="F819" t="s">
        <v>2524</v>
      </c>
      <c r="G819" t="s">
        <v>132</v>
      </c>
      <c r="H819" t="s">
        <v>24</v>
      </c>
      <c r="I819" t="s">
        <v>38</v>
      </c>
      <c r="J819" t="s">
        <v>145</v>
      </c>
      <c r="K819" t="s">
        <v>146</v>
      </c>
      <c r="L819" t="s">
        <v>28</v>
      </c>
      <c r="M819" t="s">
        <v>153</v>
      </c>
      <c r="N819" t="s">
        <v>2525</v>
      </c>
      <c r="O819" t="s">
        <v>59</v>
      </c>
      <c r="P819">
        <v>6</v>
      </c>
      <c r="Q819">
        <v>1829.69</v>
      </c>
      <c r="R819">
        <v>0.25</v>
      </c>
      <c r="S819">
        <v>8233.6</v>
      </c>
      <c r="T819">
        <v>4713.79</v>
      </c>
      <c r="U819">
        <v>3519.81</v>
      </c>
      <c r="V819" t="s">
        <v>32</v>
      </c>
      <c r="W819" t="s">
        <v>33</v>
      </c>
      <c r="X819" t="str">
        <f>_xlfn.TEXTJOIN("|", TRUE, A819:W819)</f>
        <v>ORD-2025-10818|45752|45781|29|OK|CUST-2221|Sneha Kapoor|Consumer|East|Bihar|Patna|Office Supplies|Binders|Classic Binders 873|Standard Class|6|1829.69|0.25|8233.6|4713.79|3519.81|Paid|Completed</v>
      </c>
      <c r="Y819">
        <f>COUNTIF($X$2:$X$1000, X819)</f>
        <v>1</v>
      </c>
      <c r="Z819">
        <f>COUNTIF($A$2:$A$1000, A819)</f>
        <v>1</v>
      </c>
      <c r="AA819" t="str">
        <f>IF(Y819&gt;1, "Exact Duplicate",
  IF(Z819&gt;1, "Conflicting Duplicate - Review",
    "Unique"))</f>
        <v>Unique</v>
      </c>
      <c r="AB819" s="2">
        <f>IF(ISBLANK(R819), 0, IF(ISTEXT(R819), VALUE(SUBSTITUTE(R819, "%", ""))/100, IF(OR(R819&lt;0, R819&gt;1), "Invalid", R819)))</f>
        <v>0.25</v>
      </c>
      <c r="AC819" s="4">
        <f>IF(AB819="Invalid", "Error", P819 * Q819 * (1 - AB819))</f>
        <v>8233.6049999999996</v>
      </c>
      <c r="AD819" s="4">
        <f>IF(AC819="Error", "Error", AC819 - T819)</f>
        <v>3519.8149999999996</v>
      </c>
      <c r="AE819" s="2">
        <f>IF(AC819="Error", "Error", IF(AC819=0, 0, AD819 / AC819))</f>
        <v>0.42749378917254349</v>
      </c>
      <c r="AF819" s="7">
        <f>C819-B819</f>
        <v>29</v>
      </c>
      <c r="AG819" s="2" t="str">
        <f>TEXT(B819, "mmmm")</f>
        <v>April</v>
      </c>
      <c r="AH819" s="4">
        <f>YEAR(B819)</f>
        <v>2025</v>
      </c>
      <c r="AI819" s="2" t="str">
        <f t="shared" si="26"/>
        <v>Clean</v>
      </c>
      <c r="AJ819">
        <f>COUNTIFS($A$2:$A$1000,A819,$B$2:$B$1000,B819,$C$2:$C$1000,C819,$D$2:$D$1000,D819,$E$2:$E$1000,E819,$F$2:$F$1000,F819)</f>
        <v>1</v>
      </c>
      <c r="AK819">
        <f>COUNTIF($A$2:$A$1000, A819)</f>
        <v>1</v>
      </c>
    </row>
    <row r="820" spans="1:37">
      <c r="A820" t="s">
        <v>2526</v>
      </c>
      <c r="B820" s="5">
        <v>45564</v>
      </c>
      <c r="C820" s="5">
        <v>45570</v>
      </c>
      <c r="D820" s="6">
        <f>IF(AND(C820&lt;&gt;"",B820&lt;&gt;""), C820-B820, "Missing Date")</f>
        <v>6</v>
      </c>
      <c r="E820" s="6" t="str">
        <f>IF(OR(B820="",C820=""), "Missing Date",
    IF(C820&lt;B820, "Invalid: Ship before Order",
      "OK"))</f>
        <v>OK</v>
      </c>
      <c r="F820" t="s">
        <v>2527</v>
      </c>
      <c r="G820" t="s">
        <v>114</v>
      </c>
      <c r="H820" t="s">
        <v>37</v>
      </c>
      <c r="I820" t="s">
        <v>63</v>
      </c>
      <c r="J820" t="s">
        <v>64</v>
      </c>
      <c r="K820" t="s">
        <v>65</v>
      </c>
      <c r="L820" t="s">
        <v>28</v>
      </c>
      <c r="M820" t="s">
        <v>91</v>
      </c>
      <c r="N820" t="s">
        <v>2528</v>
      </c>
      <c r="O820" t="s">
        <v>50</v>
      </c>
      <c r="P820">
        <v>8</v>
      </c>
      <c r="Q820">
        <v>1981.04</v>
      </c>
      <c r="R820">
        <v>-0.14000000000000001</v>
      </c>
      <c r="S820">
        <v>12678.66</v>
      </c>
      <c r="T820">
        <v>10088.65</v>
      </c>
      <c r="U820">
        <v>2590.0100000000002</v>
      </c>
      <c r="V820" t="s">
        <v>32</v>
      </c>
      <c r="W820" t="s">
        <v>33</v>
      </c>
      <c r="X820" t="str">
        <f>_xlfn.TEXTJOIN("|", TRUE, A820:W820)</f>
        <v>ORD-2024-10819|45564|45570|6|OK|CUST-3943|Priya Menon|Small Business|West|Maharashtra|Mumbai|Office Supplies|Labels|Pro Labels 611|First Class|8|1981.04|-0.14|12678.66|10088.65|2590.01|Paid|Completed</v>
      </c>
      <c r="Y820">
        <f>COUNTIF($X$2:$X$1000, X820)</f>
        <v>1</v>
      </c>
      <c r="Z820">
        <f>COUNTIF($A$2:$A$1000, A820)</f>
        <v>1</v>
      </c>
      <c r="AA820" t="str">
        <f>IF(Y820&gt;1, "Exact Duplicate",
  IF(Z820&gt;1, "Conflicting Duplicate - Review",
    "Unique"))</f>
        <v>Unique</v>
      </c>
      <c r="AB820" s="2" t="str">
        <f>IF(ISBLANK(R820), 0, IF(ISTEXT(R820), VALUE(SUBSTITUTE(R820, "%", ""))/100, IF(OR(R820&lt;0, R820&gt;1), "Invalid", R820)))</f>
        <v>Invalid</v>
      </c>
      <c r="AC820" s="4" t="str">
        <f>IF(AB820="Invalid", "Error", P820 * Q820 * (1 - AB820))</f>
        <v>Error</v>
      </c>
      <c r="AD820" s="4" t="str">
        <f>IF(AC820="Error", "Error", AC820 - T820)</f>
        <v>Error</v>
      </c>
      <c r="AE820" s="2" t="str">
        <f>IF(AC820="Error", "Error", IF(AC820=0, 0, AD820 / AC820))</f>
        <v>Error</v>
      </c>
      <c r="AF820" s="7">
        <f>C820-B820</f>
        <v>6</v>
      </c>
      <c r="AG820" s="2" t="str">
        <f>TEXT(B820, "mmmm")</f>
        <v>September</v>
      </c>
      <c r="AH820" s="4">
        <f>YEAR(B820)</f>
        <v>2024</v>
      </c>
      <c r="AI820" s="2" t="str">
        <f t="shared" si="26"/>
        <v>Invalid: Discount</v>
      </c>
      <c r="AJ820">
        <f>COUNTIFS($A$2:$A$1000,A820,$B$2:$B$1000,B820,$C$2:$C$1000,C820,$D$2:$D$1000,D820,$E$2:$E$1000,E820,$F$2:$F$1000,F820)</f>
        <v>1</v>
      </c>
      <c r="AK820">
        <f>COUNTIF($A$2:$A$1000, A820)</f>
        <v>1</v>
      </c>
    </row>
    <row r="821" spans="1:37">
      <c r="A821" t="s">
        <v>2529</v>
      </c>
      <c r="B821" s="5">
        <v>45504</v>
      </c>
      <c r="C821" s="5">
        <v>45504</v>
      </c>
      <c r="D821" s="6">
        <f>IF(AND(C821&lt;&gt;"",B821&lt;&gt;""), C821-B821, "Missing Date")</f>
        <v>0</v>
      </c>
      <c r="E821" s="6" t="str">
        <f>IF(OR(B821="",C821=""), "Missing Date",
    IF(C821&lt;B821, "Invalid: Ship before Order",
      "OK"))</f>
        <v>OK</v>
      </c>
      <c r="F821" t="s">
        <v>2530</v>
      </c>
      <c r="G821" t="s">
        <v>23</v>
      </c>
      <c r="H821" t="s">
        <v>95</v>
      </c>
      <c r="I821" t="s">
        <v>54</v>
      </c>
      <c r="J821" t="s">
        <v>185</v>
      </c>
      <c r="K821" t="s">
        <v>186</v>
      </c>
      <c r="L821" t="s">
        <v>74</v>
      </c>
      <c r="M821" t="s">
        <v>274</v>
      </c>
      <c r="N821" t="s">
        <v>2531</v>
      </c>
      <c r="O821" t="s">
        <v>59</v>
      </c>
      <c r="P821">
        <v>8</v>
      </c>
      <c r="Q821">
        <v>4246.01</v>
      </c>
      <c r="R821">
        <v>0</v>
      </c>
      <c r="S821">
        <v>33968.080000000002</v>
      </c>
      <c r="T821">
        <v>26902.44</v>
      </c>
      <c r="U821">
        <v>7065.64</v>
      </c>
      <c r="V821" t="s">
        <v>155</v>
      </c>
      <c r="W821" t="s">
        <v>68</v>
      </c>
      <c r="X821" t="str">
        <f>_xlfn.TEXTJOIN("|", TRUE, A821:W821)</f>
        <v>ORD-2024-10820|45504|45504|0|OK|CUST-7510|Karan Malhotra|Home Office|South|Kerala|Kochi|Technology|Machines|Prime Machines 524|Standard Class|8|4246.01|0|33968.08|26902.44|7065.64|Failed|Cancelled</v>
      </c>
      <c r="Y821">
        <f>COUNTIF($X$2:$X$1000, X821)</f>
        <v>1</v>
      </c>
      <c r="Z821">
        <f>COUNTIF($A$2:$A$1000, A821)</f>
        <v>1</v>
      </c>
      <c r="AA821" t="str">
        <f>IF(Y821&gt;1, "Exact Duplicate",
  IF(Z821&gt;1, "Conflicting Duplicate - Review",
    "Unique"))</f>
        <v>Unique</v>
      </c>
      <c r="AB821" s="2">
        <f>IF(ISBLANK(R821), 0, IF(ISTEXT(R821), VALUE(SUBSTITUTE(R821, "%", ""))/100, IF(OR(R821&lt;0, R821&gt;1), "Invalid", R821)))</f>
        <v>0</v>
      </c>
      <c r="AC821" s="4">
        <f>IF(AB821="Invalid", "Error", P821 * Q821 * (1 - AB821))</f>
        <v>33968.080000000002</v>
      </c>
      <c r="AD821" s="4">
        <f>IF(AC821="Error", "Error", AC821 - T821)</f>
        <v>7065.6400000000031</v>
      </c>
      <c r="AE821" s="2">
        <f>IF(AC821="Error", "Error", IF(AC821=0, 0, AD821 / AC821))</f>
        <v>0.20800822419165294</v>
      </c>
      <c r="AF821" s="7">
        <f>C821-B821</f>
        <v>0</v>
      </c>
      <c r="AG821" s="2" t="str">
        <f>TEXT(B821, "mmmm")</f>
        <v>July</v>
      </c>
      <c r="AH821" s="4">
        <f>YEAR(B821)</f>
        <v>2024</v>
      </c>
      <c r="AI821" s="2" t="str">
        <f t="shared" si="26"/>
        <v>Excluded from Sales</v>
      </c>
      <c r="AJ821">
        <f>COUNTIFS($A$2:$A$1000,A821,$B$2:$B$1000,B821,$C$2:$C$1000,C821,$D$2:$D$1000,D821,$E$2:$E$1000,E821,$F$2:$F$1000,F821)</f>
        <v>1</v>
      </c>
      <c r="AK821">
        <f>COUNTIF($A$2:$A$1000, A821)</f>
        <v>1</v>
      </c>
    </row>
    <row r="822" spans="1:37">
      <c r="A822" t="s">
        <v>2532</v>
      </c>
      <c r="B822" s="5">
        <v>45694</v>
      </c>
      <c r="C822" s="5">
        <v>45698</v>
      </c>
      <c r="D822" s="6">
        <f>IF(AND(C822&lt;&gt;"",B822&lt;&gt;""), C822-B822, "Missing Date")</f>
        <v>4</v>
      </c>
      <c r="E822" s="6" t="str">
        <f>IF(OR(B822="",C822=""), "Missing Date",
    IF(C822&lt;B822, "Invalid: Ship before Order",
      "OK"))</f>
        <v>OK</v>
      </c>
      <c r="F822" t="s">
        <v>2533</v>
      </c>
      <c r="G822" t="s">
        <v>62</v>
      </c>
      <c r="H822" t="s">
        <v>95</v>
      </c>
      <c r="I822" t="s">
        <v>25</v>
      </c>
      <c r="J822" t="s">
        <v>136</v>
      </c>
      <c r="K822" t="s">
        <v>137</v>
      </c>
      <c r="L822" t="s">
        <v>41</v>
      </c>
      <c r="M822" t="s">
        <v>158</v>
      </c>
      <c r="N822" t="s">
        <v>2534</v>
      </c>
      <c r="O822" t="s">
        <v>59</v>
      </c>
      <c r="P822">
        <v>2</v>
      </c>
      <c r="Q822">
        <v>319.57</v>
      </c>
      <c r="R822">
        <v>0.2</v>
      </c>
      <c r="S822">
        <v>511.31</v>
      </c>
      <c r="T822">
        <v>436.43</v>
      </c>
      <c r="U822">
        <v>74.88</v>
      </c>
      <c r="V822" t="s">
        <v>32</v>
      </c>
      <c r="W822" t="s">
        <v>33</v>
      </c>
      <c r="X822" t="str">
        <f>_xlfn.TEXTJOIN("|", TRUE, A822:W822)</f>
        <v>ORD-2025-10821|45694|45698|4|OK|CUST-2041|Ananya Rao|Home Office|North|Uttar Pradesh|Noida|Furniture|Bookcases|Classic Bookcases 882|Standard Class|2|319.57|0.2|511.31|436.43|74.88|Paid|Completed</v>
      </c>
      <c r="Y822">
        <f>COUNTIF($X$2:$X$1000, X822)</f>
        <v>1</v>
      </c>
      <c r="Z822">
        <f>COUNTIF($A$2:$A$1000, A822)</f>
        <v>1</v>
      </c>
      <c r="AA822" t="str">
        <f>IF(Y822&gt;1, "Exact Duplicate",
  IF(Z822&gt;1, "Conflicting Duplicate - Review",
    "Unique"))</f>
        <v>Unique</v>
      </c>
      <c r="AB822" s="2">
        <f>IF(ISBLANK(R822), 0, IF(ISTEXT(R822), VALUE(SUBSTITUTE(R822, "%", ""))/100, IF(OR(R822&lt;0, R822&gt;1), "Invalid", R822)))</f>
        <v>0.2</v>
      </c>
      <c r="AC822" s="4">
        <f>IF(AB822="Invalid", "Error", P822 * Q822 * (1 - AB822))</f>
        <v>511.31200000000001</v>
      </c>
      <c r="AD822" s="4">
        <f>IF(AC822="Error", "Error", AC822 - T822)</f>
        <v>74.882000000000005</v>
      </c>
      <c r="AE822" s="2">
        <f>IF(AC822="Error", "Error", IF(AC822=0, 0, AD822 / AC822))</f>
        <v>0.14645069937728825</v>
      </c>
      <c r="AF822" s="7">
        <f>C822-B822</f>
        <v>4</v>
      </c>
      <c r="AG822" s="2" t="str">
        <f>TEXT(B822, "mmmm")</f>
        <v>February</v>
      </c>
      <c r="AH822" s="4">
        <f>YEAR(B822)</f>
        <v>2025</v>
      </c>
      <c r="AI822" s="2" t="str">
        <f t="shared" si="26"/>
        <v>Clean</v>
      </c>
      <c r="AJ822">
        <f>COUNTIFS($A$2:$A$1000,A822,$B$2:$B$1000,B822,$C$2:$C$1000,C822,$D$2:$D$1000,D822,$E$2:$E$1000,E822,$F$2:$F$1000,F822)</f>
        <v>1</v>
      </c>
      <c r="AK822">
        <f>COUNTIF($A$2:$A$1000, A822)</f>
        <v>1</v>
      </c>
    </row>
    <row r="823" spans="1:37">
      <c r="A823" t="s">
        <v>2535</v>
      </c>
      <c r="B823" s="5">
        <v>45476</v>
      </c>
      <c r="C823" s="5">
        <v>45479</v>
      </c>
      <c r="D823" s="6">
        <f>IF(AND(C823&lt;&gt;"",B823&lt;&gt;""), C823-B823, "Missing Date")</f>
        <v>3</v>
      </c>
      <c r="E823" s="6" t="str">
        <f>IF(OR(B823="",C823=""), "Missing Date",
    IF(C823&lt;B823, "Invalid: Ship before Order",
      "OK"))</f>
        <v>OK</v>
      </c>
      <c r="F823" t="s">
        <v>2536</v>
      </c>
      <c r="G823" t="s">
        <v>128</v>
      </c>
      <c r="H823" t="s">
        <v>90</v>
      </c>
      <c r="I823" t="s">
        <v>54</v>
      </c>
      <c r="J823" t="s">
        <v>175</v>
      </c>
      <c r="K823" t="s">
        <v>176</v>
      </c>
      <c r="L823" t="s">
        <v>74</v>
      </c>
      <c r="M823" t="s">
        <v>75</v>
      </c>
      <c r="N823" t="s">
        <v>2537</v>
      </c>
      <c r="O823" t="s">
        <v>50</v>
      </c>
      <c r="P823">
        <v>7</v>
      </c>
      <c r="Q823">
        <v>1942.49</v>
      </c>
      <c r="R823">
        <v>0.2</v>
      </c>
      <c r="S823">
        <v>10877.94</v>
      </c>
      <c r="T823">
        <v>9110.14</v>
      </c>
      <c r="U823">
        <v>1767.8</v>
      </c>
      <c r="V823" t="s">
        <v>32</v>
      </c>
      <c r="W823" t="s">
        <v>33</v>
      </c>
      <c r="X823" t="str">
        <f>_xlfn.TEXTJOIN("|", TRUE, A823:W823)</f>
        <v>ORD-2024-10822|45476|45479|3|OK|CUST-4466|Aarav Sharma|Corporate|South|Karnataka|Bengaluru|Technology|Accessories|Classic Accessories 471|First Class|7|1942.49|0.2|10877.94|9110.14|1767.8|Paid|Completed</v>
      </c>
      <c r="Y823">
        <f>COUNTIF($X$2:$X$1000, X823)</f>
        <v>1</v>
      </c>
      <c r="Z823">
        <f>COUNTIF($A$2:$A$1000, A823)</f>
        <v>1</v>
      </c>
      <c r="AA823" t="str">
        <f>IF(Y823&gt;1, "Exact Duplicate",
  IF(Z823&gt;1, "Conflicting Duplicate - Review",
    "Unique"))</f>
        <v>Unique</v>
      </c>
      <c r="AB823" s="2">
        <f>IF(ISBLANK(R823), 0, IF(ISTEXT(R823), VALUE(SUBSTITUTE(R823, "%", ""))/100, IF(OR(R823&lt;0, R823&gt;1), "Invalid", R823)))</f>
        <v>0.2</v>
      </c>
      <c r="AC823" s="4">
        <f>IF(AB823="Invalid", "Error", P823 * Q823 * (1 - AB823))</f>
        <v>10877.944000000001</v>
      </c>
      <c r="AD823" s="4">
        <f>IF(AC823="Error", "Error", AC823 - T823)</f>
        <v>1767.8040000000019</v>
      </c>
      <c r="AE823" s="2">
        <f>IF(AC823="Error", "Error", IF(AC823=0, 0, AD823 / AC823))</f>
        <v>0.16251269541376584</v>
      </c>
      <c r="AF823" s="7">
        <f>C823-B823</f>
        <v>3</v>
      </c>
      <c r="AG823" s="2" t="str">
        <f>TEXT(B823, "mmmm")</f>
        <v>July</v>
      </c>
      <c r="AH823" s="4">
        <f>YEAR(B823)</f>
        <v>2024</v>
      </c>
      <c r="AI823" s="2" t="str">
        <f t="shared" si="26"/>
        <v>Clean</v>
      </c>
      <c r="AJ823">
        <f>COUNTIFS($A$2:$A$1000,A823,$B$2:$B$1000,B823,$C$2:$C$1000,C823,$D$2:$D$1000,D823,$E$2:$E$1000,E823,$F$2:$F$1000,F823)</f>
        <v>1</v>
      </c>
      <c r="AK823">
        <f>COUNTIF($A$2:$A$1000, A823)</f>
        <v>1</v>
      </c>
    </row>
    <row r="824" spans="1:37">
      <c r="A824" t="s">
        <v>2538</v>
      </c>
      <c r="B824" s="5">
        <v>45636</v>
      </c>
      <c r="C824" s="5">
        <v>45573</v>
      </c>
      <c r="D824" s="6">
        <f>IF(AND(C824&lt;&gt;"",B824&lt;&gt;""), C824-B824, "Missing Date")</f>
        <v>-63</v>
      </c>
      <c r="E824" s="6" t="str">
        <f>IF(OR(B824="",C824=""), "Missing Date",
    IF(C824&lt;B824, "Invalid: Ship before Order",
      "OK"))</f>
        <v>Invalid: Ship before Order</v>
      </c>
      <c r="F824" t="s">
        <v>2539</v>
      </c>
      <c r="G824" t="s">
        <v>36</v>
      </c>
      <c r="H824" t="s">
        <v>90</v>
      </c>
      <c r="I824" t="s">
        <v>38</v>
      </c>
      <c r="J824" t="s">
        <v>166</v>
      </c>
      <c r="K824" t="s">
        <v>167</v>
      </c>
      <c r="L824" t="s">
        <v>41</v>
      </c>
      <c r="M824" t="s">
        <v>57</v>
      </c>
      <c r="N824" t="s">
        <v>2540</v>
      </c>
      <c r="O824" t="s">
        <v>31</v>
      </c>
      <c r="P824">
        <v>4</v>
      </c>
      <c r="Q824">
        <v>3202.04</v>
      </c>
      <c r="R824">
        <v>0.2</v>
      </c>
      <c r="S824">
        <v>10246.530000000001</v>
      </c>
      <c r="T824">
        <v>8634.42</v>
      </c>
      <c r="U824">
        <v>1612.11</v>
      </c>
      <c r="V824" t="s">
        <v>111</v>
      </c>
      <c r="W824" t="s">
        <v>103</v>
      </c>
      <c r="X824" t="str">
        <f>_xlfn.TEXTJOIN("|", TRUE, A824:W824)</f>
        <v>ORD-2024-10823|45636|45573|-63|Invalid: Ship before Order|CUST-3188|Mira Das|Corporate|East|Assam|Guwahati|Furniture|Furnishings|Smart Furnishings 175|Second Class|4|3202.04|0.2|10246.53|8634.42|1612.11|Pending|Returned</v>
      </c>
      <c r="Y824">
        <f>COUNTIF($X$2:$X$1000, X824)</f>
        <v>1</v>
      </c>
      <c r="Z824">
        <f>COUNTIF($A$2:$A$1000, A824)</f>
        <v>1</v>
      </c>
      <c r="AA824" t="str">
        <f>IF(Y824&gt;1, "Exact Duplicate",
  IF(Z824&gt;1, "Conflicting Duplicate - Review",
    "Unique"))</f>
        <v>Unique</v>
      </c>
      <c r="AB824" s="2">
        <f>IF(ISBLANK(R824), 0, IF(ISTEXT(R824), VALUE(SUBSTITUTE(R824, "%", ""))/100, IF(OR(R824&lt;0, R824&gt;1), "Invalid", R824)))</f>
        <v>0.2</v>
      </c>
      <c r="AC824" s="4">
        <f>IF(AB824="Invalid", "Error", P824 * Q824 * (1 - AB824))</f>
        <v>10246.528</v>
      </c>
      <c r="AD824" s="4">
        <f>IF(AC824="Error", "Error", AC824 - T824)</f>
        <v>1612.1080000000002</v>
      </c>
      <c r="AE824" s="2">
        <f>IF(AC824="Error", "Error", IF(AC824=0, 0, AD824 / AC824))</f>
        <v>0.15733212264681268</v>
      </c>
      <c r="AF824" s="7">
        <f>C824-B824</f>
        <v>-63</v>
      </c>
      <c r="AG824" s="2" t="str">
        <f>TEXT(B824, "mmmm")</f>
        <v>December</v>
      </c>
      <c r="AH824" s="4">
        <f>YEAR(B824)</f>
        <v>2024</v>
      </c>
      <c r="AI824" s="2" t="str">
        <f t="shared" si="26"/>
        <v>Invalid Shipping Record</v>
      </c>
      <c r="AJ824">
        <f>COUNTIFS($A$2:$A$1000,A824,$B$2:$B$1000,B824,$C$2:$C$1000,C824,$D$2:$D$1000,D824,$E$2:$E$1000,E824,$F$2:$F$1000,F824)</f>
        <v>1</v>
      </c>
      <c r="AK824">
        <f>COUNTIF($A$2:$A$1000, A824)</f>
        <v>1</v>
      </c>
    </row>
    <row r="825" spans="1:37">
      <c r="A825" t="s">
        <v>2541</v>
      </c>
      <c r="B825" s="5">
        <v>45663</v>
      </c>
      <c r="C825" s="5">
        <v>45669</v>
      </c>
      <c r="D825" s="6">
        <f>IF(AND(C825&lt;&gt;"",B825&lt;&gt;""), C825-B825, "Missing Date")</f>
        <v>6</v>
      </c>
      <c r="E825" s="6" t="str">
        <f>IF(OR(B825="",C825=""), "Missing Date",
    IF(C825&lt;B825, "Invalid: Ship before Order",
      "OK"))</f>
        <v>OK</v>
      </c>
      <c r="F825" t="s">
        <v>2542</v>
      </c>
      <c r="G825" t="s">
        <v>36</v>
      </c>
      <c r="H825" t="s">
        <v>95</v>
      </c>
      <c r="I825" t="s">
        <v>63</v>
      </c>
      <c r="J825" t="s">
        <v>190</v>
      </c>
      <c r="K825" t="s">
        <v>191</v>
      </c>
      <c r="L825" t="s">
        <v>28</v>
      </c>
      <c r="M825" t="s">
        <v>29</v>
      </c>
      <c r="N825" t="s">
        <v>2543</v>
      </c>
      <c r="O825" t="s">
        <v>44</v>
      </c>
      <c r="P825">
        <v>3</v>
      </c>
      <c r="Q825">
        <v>668.33</v>
      </c>
      <c r="R825">
        <v>0.15</v>
      </c>
      <c r="S825">
        <v>1704.24</v>
      </c>
      <c r="T825">
        <v>957.55</v>
      </c>
      <c r="U825">
        <v>746.69</v>
      </c>
      <c r="V825" t="s">
        <v>32</v>
      </c>
      <c r="W825" t="s">
        <v>33</v>
      </c>
      <c r="X825" t="str">
        <f>_xlfn.TEXTJOIN("|", TRUE, A825:W825)</f>
        <v>ORD-2025-10824|45663|45669|6|OK|CUST-6638|Mira Das|Home Office|West|Goa|Panaji|Office Supplies|Paper|Basic Paper 899|Same Day|3|668.33|0.15|1704.24|957.55|746.69|Paid|Completed</v>
      </c>
      <c r="Y825">
        <f>COUNTIF($X$2:$X$1000, X825)</f>
        <v>1</v>
      </c>
      <c r="Z825">
        <f>COUNTIF($A$2:$A$1000, A825)</f>
        <v>1</v>
      </c>
      <c r="AA825" t="str">
        <f>IF(Y825&gt;1, "Exact Duplicate",
  IF(Z825&gt;1, "Conflicting Duplicate - Review",
    "Unique"))</f>
        <v>Unique</v>
      </c>
      <c r="AB825" s="2">
        <f>IF(ISBLANK(R825), 0, IF(ISTEXT(R825), VALUE(SUBSTITUTE(R825, "%", ""))/100, IF(OR(R825&lt;0, R825&gt;1), "Invalid", R825)))</f>
        <v>0.15</v>
      </c>
      <c r="AC825" s="4">
        <f>IF(AB825="Invalid", "Error", P825 * Q825 * (1 - AB825))</f>
        <v>1704.2415000000001</v>
      </c>
      <c r="AD825" s="4">
        <f>IF(AC825="Error", "Error", AC825 - T825)</f>
        <v>746.69150000000013</v>
      </c>
      <c r="AE825" s="2">
        <f>IF(AC825="Error", "Error", IF(AC825=0, 0, AD825 / AC825))</f>
        <v>0.43813714194848563</v>
      </c>
      <c r="AF825" s="7">
        <f>C825-B825</f>
        <v>6</v>
      </c>
      <c r="AG825" s="2" t="str">
        <f>TEXT(B825, "mmmm")</f>
        <v>January</v>
      </c>
      <c r="AH825" s="4">
        <f>YEAR(B825)</f>
        <v>2025</v>
      </c>
      <c r="AI825" s="2" t="str">
        <f t="shared" si="26"/>
        <v>Clean</v>
      </c>
      <c r="AJ825">
        <f>COUNTIFS($A$2:$A$1000,A825,$B$2:$B$1000,B825,$C$2:$C$1000,C825,$D$2:$D$1000,D825,$E$2:$E$1000,E825,$F$2:$F$1000,F825)</f>
        <v>1</v>
      </c>
      <c r="AK825">
        <f>COUNTIF($A$2:$A$1000, A825)</f>
        <v>1</v>
      </c>
    </row>
    <row r="826" spans="1:37">
      <c r="A826" t="s">
        <v>2544</v>
      </c>
      <c r="B826" s="5">
        <v>45737</v>
      </c>
      <c r="C826" s="5">
        <v>45738</v>
      </c>
      <c r="D826" s="6">
        <f>IF(AND(C826&lt;&gt;"",B826&lt;&gt;""), C826-B826, "Missing Date")</f>
        <v>1</v>
      </c>
      <c r="E826" s="6" t="str">
        <f>IF(OR(B826="",C826=""), "Missing Date",
    IF(C826&lt;B826, "Invalid: Ship before Order",
      "OK"))</f>
        <v>OK</v>
      </c>
      <c r="F826" t="s">
        <v>2545</v>
      </c>
      <c r="G826" t="s">
        <v>114</v>
      </c>
      <c r="H826" t="s">
        <v>24</v>
      </c>
      <c r="I826" t="s">
        <v>63</v>
      </c>
      <c r="J826" t="s">
        <v>190</v>
      </c>
      <c r="K826" t="s">
        <v>191</v>
      </c>
      <c r="L826" t="s">
        <v>28</v>
      </c>
      <c r="M826" t="s">
        <v>29</v>
      </c>
      <c r="N826" t="s">
        <v>2546</v>
      </c>
      <c r="O826" t="s">
        <v>50</v>
      </c>
      <c r="P826">
        <v>8</v>
      </c>
      <c r="Q826">
        <v>4436.74</v>
      </c>
      <c r="R826">
        <v>0.05</v>
      </c>
      <c r="S826">
        <v>33719.22</v>
      </c>
      <c r="T826">
        <v>28924.43</v>
      </c>
      <c r="U826">
        <v>4794.79</v>
      </c>
      <c r="V826" t="s">
        <v>32</v>
      </c>
      <c r="W826" t="s">
        <v>33</v>
      </c>
      <c r="X826" t="str">
        <f>_xlfn.TEXTJOIN("|", TRUE, A826:W826)</f>
        <v>ORD-2025-10825|45737|45738|1|OK|CUST-3540|Priya Menon|Consumer|West|Goa|Panaji|Office Supplies|Paper|Pro Paper 267|First Class|8|4436.74|0.05|33719.22|28924.43|4794.79|Paid|Completed</v>
      </c>
      <c r="Y826">
        <f>COUNTIF($X$2:$X$1000, X826)</f>
        <v>1</v>
      </c>
      <c r="Z826">
        <f>COUNTIF($A$2:$A$1000, A826)</f>
        <v>1</v>
      </c>
      <c r="AA826" t="str">
        <f>IF(Y826&gt;1, "Exact Duplicate",
  IF(Z826&gt;1, "Conflicting Duplicate - Review",
    "Unique"))</f>
        <v>Unique</v>
      </c>
      <c r="AB826" s="2">
        <f>IF(ISBLANK(R826), 0, IF(ISTEXT(R826), VALUE(SUBSTITUTE(R826, "%", ""))/100, IF(OR(R826&lt;0, R826&gt;1), "Invalid", R826)))</f>
        <v>0.05</v>
      </c>
      <c r="AC826" s="4">
        <f>IF(AB826="Invalid", "Error", P826 * Q826 * (1 - AB826))</f>
        <v>33719.223999999995</v>
      </c>
      <c r="AD826" s="4">
        <f>IF(AC826="Error", "Error", AC826 - T826)</f>
        <v>4794.7939999999944</v>
      </c>
      <c r="AE826" s="2">
        <f>IF(AC826="Error", "Error", IF(AC826=0, 0, AD826 / AC826))</f>
        <v>0.14219763776295669</v>
      </c>
      <c r="AF826" s="7">
        <f>C826-B826</f>
        <v>1</v>
      </c>
      <c r="AG826" s="2" t="str">
        <f>TEXT(B826, "mmmm")</f>
        <v>March</v>
      </c>
      <c r="AH826" s="4">
        <f>YEAR(B826)</f>
        <v>2025</v>
      </c>
      <c r="AI826" s="2" t="str">
        <f t="shared" si="26"/>
        <v>Clean</v>
      </c>
      <c r="AJ826">
        <f>COUNTIFS($A$2:$A$1000,A826,$B$2:$B$1000,B826,$C$2:$C$1000,C826,$D$2:$D$1000,D826,$E$2:$E$1000,E826,$F$2:$F$1000,F826)</f>
        <v>1</v>
      </c>
      <c r="AK826">
        <f>COUNTIF($A$2:$A$1000, A826)</f>
        <v>1</v>
      </c>
    </row>
    <row r="827" spans="1:37">
      <c r="A827" t="s">
        <v>2547</v>
      </c>
      <c r="B827" s="5">
        <v>45763</v>
      </c>
      <c r="C827" s="5">
        <v>45764</v>
      </c>
      <c r="D827" s="6">
        <f>IF(AND(C827&lt;&gt;"",B827&lt;&gt;""), C827-B827, "Missing Date")</f>
        <v>1</v>
      </c>
      <c r="E827" s="6" t="str">
        <f>IF(OR(B827="",C827=""), "Missing Date",
    IF(C827&lt;B827, "Invalid: Ship before Order",
      "OK"))</f>
        <v>OK</v>
      </c>
      <c r="F827" t="s">
        <v>2548</v>
      </c>
      <c r="G827" t="s">
        <v>71</v>
      </c>
      <c r="H827" t="s">
        <v>37</v>
      </c>
      <c r="I827" t="s">
        <v>25</v>
      </c>
      <c r="J827" t="s">
        <v>136</v>
      </c>
      <c r="K827" t="s">
        <v>137</v>
      </c>
      <c r="L827" t="s">
        <v>74</v>
      </c>
      <c r="M827" t="s">
        <v>274</v>
      </c>
      <c r="N827" t="s">
        <v>2549</v>
      </c>
      <c r="O827" t="s">
        <v>50</v>
      </c>
      <c r="P827">
        <v>1</v>
      </c>
      <c r="Q827">
        <v>2720.17</v>
      </c>
      <c r="R827">
        <v>0</v>
      </c>
      <c r="S827">
        <v>2720.17</v>
      </c>
      <c r="T827">
        <v>1834.23</v>
      </c>
      <c r="U827">
        <v>885.94</v>
      </c>
      <c r="V827" t="s">
        <v>32</v>
      </c>
      <c r="W827" t="s">
        <v>33</v>
      </c>
      <c r="X827" t="str">
        <f>_xlfn.TEXTJOIN("|", TRUE, A827:W827)</f>
        <v>ORD-2025-10826|45763|45764|1|OK|CUST-3351|Vikram Iyer|Small Business|North|Uttar Pradesh|Noida|Technology|Machines|Basic Machines 832|First Class|1|2720.17|0|2720.17|1834.23|885.94|Paid|Completed</v>
      </c>
      <c r="Y827">
        <f>COUNTIF($X$2:$X$1000, X827)</f>
        <v>1</v>
      </c>
      <c r="Z827">
        <f>COUNTIF($A$2:$A$1000, A827)</f>
        <v>1</v>
      </c>
      <c r="AA827" t="str">
        <f>IF(Y827&gt;1, "Exact Duplicate",
  IF(Z827&gt;1, "Conflicting Duplicate - Review",
    "Unique"))</f>
        <v>Unique</v>
      </c>
      <c r="AB827" s="2">
        <f>IF(ISBLANK(R827), 0, IF(ISTEXT(R827), VALUE(SUBSTITUTE(R827, "%", ""))/100, IF(OR(R827&lt;0, R827&gt;1), "Invalid", R827)))</f>
        <v>0</v>
      </c>
      <c r="AC827" s="4">
        <f>IF(AB827="Invalid", "Error", P827 * Q827 * (1 - AB827))</f>
        <v>2720.17</v>
      </c>
      <c r="AD827" s="4">
        <f>IF(AC827="Error", "Error", AC827 - T827)</f>
        <v>885.94</v>
      </c>
      <c r="AE827" s="2">
        <f>IF(AC827="Error", "Error", IF(AC827=0, 0, AD827 / AC827))</f>
        <v>0.3256928794891496</v>
      </c>
      <c r="AF827" s="7">
        <f>C827-B827</f>
        <v>1</v>
      </c>
      <c r="AG827" s="2" t="str">
        <f>TEXT(B827, "mmmm")</f>
        <v>April</v>
      </c>
      <c r="AH827" s="4">
        <f>YEAR(B827)</f>
        <v>2025</v>
      </c>
      <c r="AI827" s="2" t="str">
        <f t="shared" si="26"/>
        <v>Clean</v>
      </c>
      <c r="AJ827">
        <f>COUNTIFS($A$2:$A$1000,A827,$B$2:$B$1000,B827,$C$2:$C$1000,C827,$D$2:$D$1000,D827,$E$2:$E$1000,E827,$F$2:$F$1000,F827)</f>
        <v>1</v>
      </c>
      <c r="AK827">
        <f>COUNTIF($A$2:$A$1000, A827)</f>
        <v>1</v>
      </c>
    </row>
    <row r="828" spans="1:37">
      <c r="A828" t="s">
        <v>2550</v>
      </c>
      <c r="B828" s="5">
        <v>45879</v>
      </c>
      <c r="C828" s="5">
        <v>45883</v>
      </c>
      <c r="D828" s="6">
        <f>IF(AND(C828&lt;&gt;"",B828&lt;&gt;""), C828-B828, "Missing Date")</f>
        <v>4</v>
      </c>
      <c r="E828" s="6" t="str">
        <f>IF(OR(B828="",C828=""), "Missing Date",
    IF(C828&lt;B828, "Invalid: Ship before Order",
      "OK"))</f>
        <v>OK</v>
      </c>
      <c r="F828" t="s">
        <v>2551</v>
      </c>
      <c r="G828" t="s">
        <v>89</v>
      </c>
      <c r="H828" t="s">
        <v>24</v>
      </c>
      <c r="I828" t="s">
        <v>63</v>
      </c>
      <c r="J828" t="s">
        <v>26</v>
      </c>
      <c r="K828" t="s">
        <v>109</v>
      </c>
      <c r="L828" t="s">
        <v>74</v>
      </c>
      <c r="M828" t="s">
        <v>75</v>
      </c>
      <c r="N828" t="s">
        <v>2552</v>
      </c>
      <c r="O828" t="s">
        <v>59</v>
      </c>
      <c r="P828">
        <v>5</v>
      </c>
      <c r="Q828">
        <v>2190.14</v>
      </c>
      <c r="R828">
        <v>0.25</v>
      </c>
      <c r="S828">
        <v>8213.02</v>
      </c>
      <c r="T828">
        <v>5569.3</v>
      </c>
      <c r="U828">
        <v>2643.72</v>
      </c>
      <c r="V828" t="s">
        <v>32</v>
      </c>
      <c r="W828" t="s">
        <v>33</v>
      </c>
      <c r="X828" t="str">
        <f>_xlfn.TEXTJOIN("|", TRUE, A828:W828)</f>
        <v>ORD-2025-10827|45879|45883|4|OK|CUST-4375|Aditi Sen|Consumer|West|Rajasthan|Udaipur|Technology|Accessories|Elite Accessories 790|Standard Class|5|2190.14|0.25|8213.02|5569.3|2643.72|Paid|Completed</v>
      </c>
      <c r="Y828">
        <f>COUNTIF($X$2:$X$1000, X828)</f>
        <v>1</v>
      </c>
      <c r="Z828">
        <f>COUNTIF($A$2:$A$1000, A828)</f>
        <v>1</v>
      </c>
      <c r="AA828" t="str">
        <f>IF(Y828&gt;1, "Exact Duplicate",
  IF(Z828&gt;1, "Conflicting Duplicate - Review",
    "Unique"))</f>
        <v>Unique</v>
      </c>
      <c r="AB828" s="2">
        <f>IF(ISBLANK(R828), 0, IF(ISTEXT(R828), VALUE(SUBSTITUTE(R828, "%", ""))/100, IF(OR(R828&lt;0, R828&gt;1), "Invalid", R828)))</f>
        <v>0.25</v>
      </c>
      <c r="AC828" s="4">
        <f>IF(AB828="Invalid", "Error", P828 * Q828 * (1 - AB828))</f>
        <v>8213.0249999999996</v>
      </c>
      <c r="AD828" s="4">
        <f>IF(AC828="Error", "Error", AC828 - T828)</f>
        <v>2643.7249999999995</v>
      </c>
      <c r="AE828" s="2">
        <f>IF(AC828="Error", "Error", IF(AC828=0, 0, AD828 / AC828))</f>
        <v>0.32189418636860345</v>
      </c>
      <c r="AF828" s="7">
        <f>C828-B828</f>
        <v>4</v>
      </c>
      <c r="AG828" s="2" t="str">
        <f>TEXT(B828, "mmmm")</f>
        <v>August</v>
      </c>
      <c r="AH828" s="4">
        <f>YEAR(B828)</f>
        <v>2025</v>
      </c>
      <c r="AI828" s="2" t="str">
        <f t="shared" si="26"/>
        <v>Clean</v>
      </c>
      <c r="AJ828">
        <f>COUNTIFS($A$2:$A$1000,A828,$B$2:$B$1000,B828,$C$2:$C$1000,C828,$D$2:$D$1000,D828,$E$2:$E$1000,E828,$F$2:$F$1000,F828)</f>
        <v>1</v>
      </c>
      <c r="AK828">
        <f>COUNTIF($A$2:$A$1000, A828)</f>
        <v>1</v>
      </c>
    </row>
    <row r="829" spans="1:37">
      <c r="A829" t="s">
        <v>2553</v>
      </c>
      <c r="B829" s="5">
        <v>45620</v>
      </c>
      <c r="C829" s="5">
        <v>45627</v>
      </c>
      <c r="D829" s="6">
        <f>IF(AND(C829&lt;&gt;"",B829&lt;&gt;""), C829-B829, "Missing Date")</f>
        <v>7</v>
      </c>
      <c r="E829" s="6" t="str">
        <f>IF(OR(B829="",C829=""), "Missing Date",
    IF(C829&lt;B829, "Invalid: Ship before Order",
      "OK"))</f>
        <v>OK</v>
      </c>
      <c r="F829" t="s">
        <v>2554</v>
      </c>
      <c r="G829" t="s">
        <v>114</v>
      </c>
      <c r="H829" t="s">
        <v>95</v>
      </c>
      <c r="I829" t="s">
        <v>54</v>
      </c>
      <c r="J829" t="s">
        <v>247</v>
      </c>
      <c r="K829" t="s">
        <v>248</v>
      </c>
      <c r="L829" t="s">
        <v>28</v>
      </c>
      <c r="M829" t="s">
        <v>29</v>
      </c>
      <c r="N829" t="s">
        <v>2555</v>
      </c>
      <c r="O829" t="s">
        <v>44</v>
      </c>
      <c r="P829">
        <v>1</v>
      </c>
      <c r="Q829">
        <v>844.89</v>
      </c>
      <c r="R829">
        <v>0.25</v>
      </c>
      <c r="S829">
        <v>633.66999999999996</v>
      </c>
      <c r="T829">
        <v>520.47</v>
      </c>
      <c r="U829">
        <v>113.2</v>
      </c>
      <c r="V829" t="s">
        <v>32</v>
      </c>
      <c r="W829" t="s">
        <v>68</v>
      </c>
      <c r="X829" t="str">
        <f>_xlfn.TEXTJOIN("|", TRUE, A829:W829)</f>
        <v>ORD-2024-10828|45620|45627|7|OK|CUST-5125|Priya Menon|Home Office|South|Tamil Nadu|Chennai|Office Supplies|Paper|Basic Paper 707|Same Day|1|844.89|0.25|633.67|520.47|113.2|Paid|Cancelled</v>
      </c>
      <c r="Y829">
        <f>COUNTIF($X$2:$X$1000, X829)</f>
        <v>1</v>
      </c>
      <c r="Z829">
        <f>COUNTIF($A$2:$A$1000, A829)</f>
        <v>1</v>
      </c>
      <c r="AA829" t="str">
        <f>IF(Y829&gt;1, "Exact Duplicate",
  IF(Z829&gt;1, "Conflicting Duplicate - Review",
    "Unique"))</f>
        <v>Unique</v>
      </c>
      <c r="AB829" s="2">
        <f>IF(ISBLANK(R829), 0, IF(ISTEXT(R829), VALUE(SUBSTITUTE(R829, "%", ""))/100, IF(OR(R829&lt;0, R829&gt;1), "Invalid", R829)))</f>
        <v>0.25</v>
      </c>
      <c r="AC829" s="4">
        <f>IF(AB829="Invalid", "Error", P829 * Q829 * (1 - AB829))</f>
        <v>633.66750000000002</v>
      </c>
      <c r="AD829" s="4">
        <f>IF(AC829="Error", "Error", AC829 - T829)</f>
        <v>113.19749999999999</v>
      </c>
      <c r="AE829" s="2">
        <f>IF(AC829="Error", "Error", IF(AC829=0, 0, AD829 / AC829))</f>
        <v>0.17863863934950111</v>
      </c>
      <c r="AF829" s="7">
        <f>C829-B829</f>
        <v>7</v>
      </c>
      <c r="AG829" s="2" t="str">
        <f>TEXT(B829, "mmmm")</f>
        <v>November</v>
      </c>
      <c r="AH829" s="4">
        <f>YEAR(B829)</f>
        <v>2024</v>
      </c>
      <c r="AI829" s="2" t="str">
        <f t="shared" si="26"/>
        <v>Excluded from Sales</v>
      </c>
      <c r="AJ829">
        <f>COUNTIFS($A$2:$A$1000,A829,$B$2:$B$1000,B829,$C$2:$C$1000,C829,$D$2:$D$1000,D829,$E$2:$E$1000,E829,$F$2:$F$1000,F829)</f>
        <v>1</v>
      </c>
      <c r="AK829">
        <f>COUNTIF($A$2:$A$1000, A829)</f>
        <v>1</v>
      </c>
    </row>
    <row r="830" spans="1:37">
      <c r="A830" t="s">
        <v>2556</v>
      </c>
      <c r="B830" s="5">
        <v>45940</v>
      </c>
      <c r="C830" s="5">
        <v>45941</v>
      </c>
      <c r="D830" s="6">
        <f>IF(AND(C830&lt;&gt;"",B830&lt;&gt;""), C830-B830, "Missing Date")</f>
        <v>1</v>
      </c>
      <c r="E830" s="6" t="str">
        <f>IF(OR(B830="",C830=""), "Missing Date",
    IF(C830&lt;B830, "Invalid: Ship before Order",
      "OK"))</f>
        <v>OK</v>
      </c>
      <c r="F830" t="s">
        <v>2557</v>
      </c>
      <c r="G830" t="s">
        <v>23</v>
      </c>
      <c r="H830" t="s">
        <v>90</v>
      </c>
      <c r="I830" t="s">
        <v>38</v>
      </c>
      <c r="J830" t="s">
        <v>39</v>
      </c>
      <c r="K830" t="s">
        <v>40</v>
      </c>
      <c r="L830" t="s">
        <v>41</v>
      </c>
      <c r="M830" t="s">
        <v>66</v>
      </c>
      <c r="N830" t="s">
        <v>2558</v>
      </c>
      <c r="O830" t="s">
        <v>31</v>
      </c>
      <c r="P830">
        <v>7</v>
      </c>
      <c r="Q830">
        <v>3791.96</v>
      </c>
      <c r="R830">
        <v>0.05</v>
      </c>
      <c r="S830">
        <v>25216.53</v>
      </c>
      <c r="T830">
        <v>14216.94</v>
      </c>
      <c r="U830">
        <v>10999.59</v>
      </c>
      <c r="V830" t="s">
        <v>155</v>
      </c>
      <c r="W830" t="s">
        <v>68</v>
      </c>
      <c r="X830" t="str">
        <f>_xlfn.TEXTJOIN("|", TRUE, A830:W830)</f>
        <v>ORD-2025-10829|45940|45941|1|OK|CUST-6010|Karan Malhotra|Corporate|East|Odisha|Bhubaneswar|Furniture|Chairs|Elite Chairs 979|Second Class|7|3791.96|0.05|25216.53|14216.94|10999.59|Failed|Cancelled</v>
      </c>
      <c r="Y830">
        <f>COUNTIF($X$2:$X$1000, X830)</f>
        <v>1</v>
      </c>
      <c r="Z830">
        <f>COUNTIF($A$2:$A$1000, A830)</f>
        <v>1</v>
      </c>
      <c r="AA830" t="str">
        <f>IF(Y830&gt;1, "Exact Duplicate",
  IF(Z830&gt;1, "Conflicting Duplicate - Review",
    "Unique"))</f>
        <v>Unique</v>
      </c>
      <c r="AB830" s="2">
        <f>IF(ISBLANK(R830), 0, IF(ISTEXT(R830), VALUE(SUBSTITUTE(R830, "%", ""))/100, IF(OR(R830&lt;0, R830&gt;1), "Invalid", R830)))</f>
        <v>0.05</v>
      </c>
      <c r="AC830" s="4">
        <f>IF(AB830="Invalid", "Error", P830 * Q830 * (1 - AB830))</f>
        <v>25216.534</v>
      </c>
      <c r="AD830" s="4">
        <f>IF(AC830="Error", "Error", AC830 - T830)</f>
        <v>10999.593999999999</v>
      </c>
      <c r="AE830" s="2">
        <f>IF(AC830="Error", "Error", IF(AC830=0, 0, AD830 / AC830))</f>
        <v>0.4362056260388521</v>
      </c>
      <c r="AF830" s="7">
        <f>C830-B830</f>
        <v>1</v>
      </c>
      <c r="AG830" s="2" t="str">
        <f>TEXT(B830, "mmmm")</f>
        <v>October</v>
      </c>
      <c r="AH830" s="4">
        <f>YEAR(B830)</f>
        <v>2025</v>
      </c>
      <c r="AI830" s="2" t="str">
        <f t="shared" si="26"/>
        <v>Excluded from Sales</v>
      </c>
      <c r="AJ830">
        <f>COUNTIFS($A$2:$A$1000,A830,$B$2:$B$1000,B830,$C$2:$C$1000,C830,$D$2:$D$1000,D830,$E$2:$E$1000,E830,$F$2:$F$1000,F830)</f>
        <v>1</v>
      </c>
      <c r="AK830">
        <f>COUNTIF($A$2:$A$1000, A830)</f>
        <v>1</v>
      </c>
    </row>
    <row r="831" spans="1:37">
      <c r="A831" t="s">
        <v>2559</v>
      </c>
      <c r="B831" s="5">
        <v>45348</v>
      </c>
      <c r="C831" s="5">
        <v>45350</v>
      </c>
      <c r="D831" s="6">
        <f>IF(AND(C831&lt;&gt;"",B831&lt;&gt;""), C831-B831, "Missing Date")</f>
        <v>2</v>
      </c>
      <c r="E831" s="6" t="str">
        <f>IF(OR(B831="",C831=""), "Missing Date",
    IF(C831&lt;B831, "Invalid: Ship before Order",
      "OK"))</f>
        <v>OK</v>
      </c>
      <c r="F831" t="s">
        <v>2560</v>
      </c>
      <c r="G831" t="s">
        <v>89</v>
      </c>
      <c r="H831" t="s">
        <v>37</v>
      </c>
      <c r="I831" t="s">
        <v>63</v>
      </c>
      <c r="J831" t="s">
        <v>190</v>
      </c>
      <c r="K831" t="s">
        <v>191</v>
      </c>
      <c r="L831" t="s">
        <v>41</v>
      </c>
      <c r="M831" t="s">
        <v>57</v>
      </c>
      <c r="N831" t="s">
        <v>2561</v>
      </c>
      <c r="O831" t="s">
        <v>31</v>
      </c>
      <c r="P831">
        <v>7</v>
      </c>
      <c r="Q831">
        <v>1035.1400000000001</v>
      </c>
      <c r="R831">
        <v>0.1</v>
      </c>
      <c r="S831">
        <v>6521.38</v>
      </c>
      <c r="T831">
        <v>4511.1000000000004</v>
      </c>
      <c r="U831">
        <v>2010.28</v>
      </c>
      <c r="V831" t="s">
        <v>32</v>
      </c>
      <c r="W831" t="s">
        <v>33</v>
      </c>
      <c r="X831" t="str">
        <f>_xlfn.TEXTJOIN("|", TRUE, A831:W831)</f>
        <v>ORD-2024-10830|45348|45350|2|OK|CUST-9036|Aditi Sen|Small Business|West|Goa|Panaji|Furniture|Furnishings|Pro Furnishings 192|Second Class|7|1035.14|0.1|6521.38|4511.1|2010.28|Paid|Completed</v>
      </c>
      <c r="Y831">
        <f>COUNTIF($X$2:$X$1000, X831)</f>
        <v>1</v>
      </c>
      <c r="Z831">
        <f>COUNTIF($A$2:$A$1000, A831)</f>
        <v>1</v>
      </c>
      <c r="AA831" t="str">
        <f>IF(Y831&gt;1, "Exact Duplicate",
  IF(Z831&gt;1, "Conflicting Duplicate - Review",
    "Unique"))</f>
        <v>Unique</v>
      </c>
      <c r="AB831" s="2">
        <f>IF(ISBLANK(R831), 0, IF(ISTEXT(R831), VALUE(SUBSTITUTE(R831, "%", ""))/100, IF(OR(R831&lt;0, R831&gt;1), "Invalid", R831)))</f>
        <v>0.1</v>
      </c>
      <c r="AC831" s="4">
        <f>IF(AB831="Invalid", "Error", P831 * Q831 * (1 - AB831))</f>
        <v>6521.3820000000005</v>
      </c>
      <c r="AD831" s="4">
        <f>IF(AC831="Error", "Error", AC831 - T831)</f>
        <v>2010.2820000000002</v>
      </c>
      <c r="AE831" s="2">
        <f>IF(AC831="Error", "Error", IF(AC831=0, 0, AD831 / AC831))</f>
        <v>0.30826012032418892</v>
      </c>
      <c r="AF831" s="7">
        <f>C831-B831</f>
        <v>2</v>
      </c>
      <c r="AG831" s="2" t="str">
        <f>TEXT(B831, "mmmm")</f>
        <v>February</v>
      </c>
      <c r="AH831" s="4">
        <f>YEAR(B831)</f>
        <v>2024</v>
      </c>
      <c r="AI831" s="2" t="str">
        <f t="shared" si="26"/>
        <v>Clean</v>
      </c>
      <c r="AJ831">
        <f>COUNTIFS($A$2:$A$1000,A831,$B$2:$B$1000,B831,$C$2:$C$1000,C831,$D$2:$D$1000,D831,$E$2:$E$1000,E831,$F$2:$F$1000,F831)</f>
        <v>1</v>
      </c>
      <c r="AK831">
        <f>COUNTIF($A$2:$A$1000, A831)</f>
        <v>1</v>
      </c>
    </row>
    <row r="832" spans="1:37">
      <c r="A832" t="s">
        <v>2562</v>
      </c>
      <c r="B832" s="5">
        <v>45853</v>
      </c>
      <c r="C832" s="5">
        <v>45856</v>
      </c>
      <c r="D832" s="6">
        <f>IF(AND(C832&lt;&gt;"",B832&lt;&gt;""), C832-B832, "Missing Date")</f>
        <v>3</v>
      </c>
      <c r="E832" s="6" t="str">
        <f>IF(OR(B832="",C832=""), "Missing Date",
    IF(C832&lt;B832, "Invalid: Ship before Order",
      "OK"))</f>
        <v>OK</v>
      </c>
      <c r="F832" t="s">
        <v>2563</v>
      </c>
      <c r="G832" t="s">
        <v>89</v>
      </c>
      <c r="H832" t="s">
        <v>37</v>
      </c>
      <c r="I832" t="s">
        <v>2762</v>
      </c>
      <c r="J832" t="s">
        <v>247</v>
      </c>
      <c r="K832" t="s">
        <v>248</v>
      </c>
      <c r="L832" t="s">
        <v>74</v>
      </c>
      <c r="M832" t="s">
        <v>274</v>
      </c>
      <c r="N832" t="s">
        <v>2564</v>
      </c>
      <c r="O832" t="s">
        <v>50</v>
      </c>
      <c r="P832">
        <v>6</v>
      </c>
      <c r="Q832">
        <v>2382.88</v>
      </c>
      <c r="R832">
        <v>0.1</v>
      </c>
      <c r="S832">
        <v>12867.55</v>
      </c>
      <c r="T832">
        <v>10068.94</v>
      </c>
      <c r="U832">
        <v>2798.61</v>
      </c>
      <c r="V832" t="s">
        <v>32</v>
      </c>
      <c r="W832" t="s">
        <v>33</v>
      </c>
      <c r="X832" t="str">
        <f>_xlfn.TEXTJOIN("|", TRUE, A832:W832)</f>
        <v>ORD-2025-10831|45853|45856|3|OK|CUST-7929|Aditi Sen|Small Business|Unknown|Tamil Nadu|Chennai|Technology|Machines|Smart Machines 951|First Class|6|2382.88|0.1|12867.55|10068.94|2798.61|Paid|Completed</v>
      </c>
      <c r="Y832">
        <f>COUNTIF($X$2:$X$1000, X832)</f>
        <v>1</v>
      </c>
      <c r="Z832">
        <f>COUNTIF($A$2:$A$1000, A832)</f>
        <v>1</v>
      </c>
      <c r="AA832" t="str">
        <f>IF(Y832&gt;1, "Exact Duplicate",
  IF(Z832&gt;1, "Conflicting Duplicate - Review",
    "Unique"))</f>
        <v>Unique</v>
      </c>
      <c r="AB832" s="2">
        <f>IF(ISBLANK(R832), 0, IF(ISTEXT(R832), VALUE(SUBSTITUTE(R832, "%", ""))/100, IF(OR(R832&lt;0, R832&gt;1), "Invalid", R832)))</f>
        <v>0.1</v>
      </c>
      <c r="AC832" s="4">
        <f>IF(AB832="Invalid", "Error", P832 * Q832 * (1 - AB832))</f>
        <v>12867.552000000001</v>
      </c>
      <c r="AD832" s="4">
        <f>IF(AC832="Error", "Error", AC832 - T832)</f>
        <v>2798.612000000001</v>
      </c>
      <c r="AE832" s="2">
        <f>IF(AC832="Error", "Error", IF(AC832=0, 0, AD832 / AC832))</f>
        <v>0.21749373929089236</v>
      </c>
      <c r="AF832" s="7">
        <f>C832-B832</f>
        <v>3</v>
      </c>
      <c r="AG832" s="2" t="str">
        <f>TEXT(B832, "mmmm")</f>
        <v>July</v>
      </c>
      <c r="AH832" s="4">
        <f>YEAR(B832)</f>
        <v>2025</v>
      </c>
      <c r="AI832" s="2" t="str">
        <f t="shared" si="26"/>
        <v>Warning: Missing Region</v>
      </c>
      <c r="AJ832">
        <f>COUNTIFS($A$2:$A$1000,A832,$B$2:$B$1000,B832,$C$2:$C$1000,C832,$D$2:$D$1000,D832,$E$2:$E$1000,E832,$F$2:$F$1000,F832)</f>
        <v>1</v>
      </c>
      <c r="AK832">
        <f>COUNTIF($A$2:$A$1000, A832)</f>
        <v>1</v>
      </c>
    </row>
    <row r="833" spans="1:37">
      <c r="A833" t="s">
        <v>2565</v>
      </c>
      <c r="B833" s="5">
        <v>45720</v>
      </c>
      <c r="C833" s="5">
        <v>45750</v>
      </c>
      <c r="D833" s="6">
        <f>IF(AND(C833&lt;&gt;"",B833&lt;&gt;""), C833-B833, "Missing Date")</f>
        <v>30</v>
      </c>
      <c r="E833" s="6" t="str">
        <f>IF(OR(B833="",C833=""), "Missing Date",
    IF(C833&lt;B833, "Invalid: Ship before Order",
      "OK"))</f>
        <v>OK</v>
      </c>
      <c r="F833" t="s">
        <v>2566</v>
      </c>
      <c r="G833" t="s">
        <v>162</v>
      </c>
      <c r="H833" t="s">
        <v>95</v>
      </c>
      <c r="I833" t="s">
        <v>2762</v>
      </c>
      <c r="J833" t="s">
        <v>236</v>
      </c>
      <c r="K833" t="s">
        <v>237</v>
      </c>
      <c r="L833" t="s">
        <v>41</v>
      </c>
      <c r="M833" t="s">
        <v>66</v>
      </c>
      <c r="N833" t="s">
        <v>2567</v>
      </c>
      <c r="O833" t="s">
        <v>50</v>
      </c>
      <c r="P833">
        <v>9</v>
      </c>
      <c r="Q833">
        <v>3462.7</v>
      </c>
      <c r="R833">
        <v>0.15</v>
      </c>
      <c r="S833">
        <v>26489.65</v>
      </c>
      <c r="T833">
        <v>15818.46</v>
      </c>
      <c r="U833">
        <v>10671.19</v>
      </c>
      <c r="V833" t="s">
        <v>155</v>
      </c>
      <c r="W833" t="s">
        <v>103</v>
      </c>
      <c r="X833" t="str">
        <f>_xlfn.TEXTJOIN("|", TRUE, A833:W833)</f>
        <v>ORD-2025-10832|45720|45750|30|OK|CUST-1106|Diya Patel|Home Office|Unknown|Haryana|Gurugram|Furniture|Chairs|Smart Chairs 794|First Class|9|3462.7|0.15|26489.65|15818.46|10671.19|Failed|Returned</v>
      </c>
      <c r="Y833">
        <f>COUNTIF($X$2:$X$1000, X833)</f>
        <v>1</v>
      </c>
      <c r="Z833">
        <f>COUNTIF($A$2:$A$1000, A833)</f>
        <v>1</v>
      </c>
      <c r="AA833" t="str">
        <f>IF(Y833&gt;1, "Exact Duplicate",
  IF(Z833&gt;1, "Conflicting Duplicate - Review",
    "Unique"))</f>
        <v>Unique</v>
      </c>
      <c r="AB833" s="2">
        <f>IF(ISBLANK(R833), 0, IF(ISTEXT(R833), VALUE(SUBSTITUTE(R833, "%", ""))/100, IF(OR(R833&lt;0, R833&gt;1), "Invalid", R833)))</f>
        <v>0.15</v>
      </c>
      <c r="AC833" s="4">
        <f>IF(AB833="Invalid", "Error", P833 * Q833 * (1 - AB833))</f>
        <v>26489.654999999999</v>
      </c>
      <c r="AD833" s="4">
        <f>IF(AC833="Error", "Error", AC833 - T833)</f>
        <v>10671.195</v>
      </c>
      <c r="AE833" s="2">
        <f>IF(AC833="Error", "Error", IF(AC833=0, 0, AD833 / AC833))</f>
        <v>0.40284386489744772</v>
      </c>
      <c r="AF833" s="7">
        <f>C833-B833</f>
        <v>30</v>
      </c>
      <c r="AG833" s="2" t="str">
        <f>TEXT(B833, "mmmm")</f>
        <v>March</v>
      </c>
      <c r="AH833" s="4">
        <f>YEAR(B833)</f>
        <v>2025</v>
      </c>
      <c r="AI833" s="2" t="str">
        <f t="shared" si="26"/>
        <v>Warning: Missing Region</v>
      </c>
      <c r="AJ833">
        <f>COUNTIFS($A$2:$A$1000,A833,$B$2:$B$1000,B833,$C$2:$C$1000,C833,$D$2:$D$1000,D833,$E$2:$E$1000,E833,$F$2:$F$1000,F833)</f>
        <v>1</v>
      </c>
      <c r="AK833">
        <f>COUNTIF($A$2:$A$1000, A833)</f>
        <v>1</v>
      </c>
    </row>
    <row r="834" spans="1:37">
      <c r="A834" t="s">
        <v>2568</v>
      </c>
      <c r="B834" s="5">
        <v>45803</v>
      </c>
      <c r="C834" s="5">
        <v>45805</v>
      </c>
      <c r="D834" s="6">
        <f>IF(AND(C834&lt;&gt;"",B834&lt;&gt;""), C834-B834, "Missing Date")</f>
        <v>2</v>
      </c>
      <c r="E834" s="6" t="str">
        <f>IF(OR(B834="",C834=""), "Missing Date",
    IF(C834&lt;B834, "Invalid: Ship before Order",
      "OK"))</f>
        <v>OK</v>
      </c>
      <c r="F834" t="s">
        <v>2569</v>
      </c>
      <c r="G834" t="s">
        <v>264</v>
      </c>
      <c r="H834" t="s">
        <v>37</v>
      </c>
      <c r="I834" t="s">
        <v>54</v>
      </c>
      <c r="J834" t="s">
        <v>84</v>
      </c>
      <c r="K834" t="s">
        <v>85</v>
      </c>
      <c r="L834" t="s">
        <v>74</v>
      </c>
      <c r="M834" t="s">
        <v>171</v>
      </c>
      <c r="N834" t="s">
        <v>2570</v>
      </c>
      <c r="O834" t="s">
        <v>31</v>
      </c>
      <c r="P834">
        <v>9</v>
      </c>
      <c r="Q834">
        <v>4302.0200000000004</v>
      </c>
      <c r="R834">
        <v>0.05</v>
      </c>
      <c r="S834">
        <v>36782.269999999997</v>
      </c>
      <c r="T834">
        <v>25902.81</v>
      </c>
      <c r="U834">
        <v>10879.46</v>
      </c>
      <c r="V834" t="s">
        <v>32</v>
      </c>
      <c r="W834" t="s">
        <v>33</v>
      </c>
      <c r="X834" t="str">
        <f>_xlfn.TEXTJOIN("|", TRUE, A834:W834)</f>
        <v>ORD-2025-10833|45803|45805|2|OK|CUST-9557|Kabir Singh|Small Business|South|Andhra Pradesh|Vijayawada|Technology|Phones|Max Phones 919|Second Class|9|4302.02|0.05|36782.27|25902.81|10879.46|Paid|Completed</v>
      </c>
      <c r="Y834">
        <f>COUNTIF($X$2:$X$1000, X834)</f>
        <v>1</v>
      </c>
      <c r="Z834">
        <f>COUNTIF($A$2:$A$1000, A834)</f>
        <v>1</v>
      </c>
      <c r="AA834" t="str">
        <f>IF(Y834&gt;1, "Exact Duplicate",
  IF(Z834&gt;1, "Conflicting Duplicate - Review",
    "Unique"))</f>
        <v>Unique</v>
      </c>
      <c r="AB834" s="2">
        <f>IF(ISBLANK(R834), 0, IF(ISTEXT(R834), VALUE(SUBSTITUTE(R834, "%", ""))/100, IF(OR(R834&lt;0, R834&gt;1), "Invalid", R834)))</f>
        <v>0.05</v>
      </c>
      <c r="AC834" s="4">
        <f>IF(AB834="Invalid", "Error", P834 * Q834 * (1 - AB834))</f>
        <v>36782.271000000008</v>
      </c>
      <c r="AD834" s="4">
        <f>IF(AC834="Error", "Error", AC834 - T834)</f>
        <v>10879.461000000007</v>
      </c>
      <c r="AE834" s="2">
        <f>IF(AC834="Error", "Error", IF(AC834=0, 0, AD834 / AC834))</f>
        <v>0.29578002402298664</v>
      </c>
      <c r="AF834" s="7">
        <f>C834-B834</f>
        <v>2</v>
      </c>
      <c r="AG834" s="2" t="str">
        <f>TEXT(B834, "mmmm")</f>
        <v>May</v>
      </c>
      <c r="AH834" s="4">
        <f>YEAR(B834)</f>
        <v>2025</v>
      </c>
      <c r="AI834" s="2" t="str">
        <f t="shared" si="26"/>
        <v>Clean</v>
      </c>
      <c r="AJ834">
        <f>COUNTIFS($A$2:$A$1000,A834,$B$2:$B$1000,B834,$C$2:$C$1000,C834,$D$2:$D$1000,D834,$E$2:$E$1000,E834,$F$2:$F$1000,F834)</f>
        <v>1</v>
      </c>
      <c r="AK834">
        <f>COUNTIF($A$2:$A$1000, A834)</f>
        <v>1</v>
      </c>
    </row>
    <row r="835" spans="1:37">
      <c r="A835" t="s">
        <v>2571</v>
      </c>
      <c r="B835" s="5">
        <v>45447</v>
      </c>
      <c r="C835" s="5">
        <v>45388</v>
      </c>
      <c r="D835" s="6">
        <f>IF(AND(C835&lt;&gt;"",B835&lt;&gt;""), C835-B835, "Missing Date")</f>
        <v>-59</v>
      </c>
      <c r="E835" s="6" t="str">
        <f>IF(OR(B835="",C835=""), "Missing Date",
    IF(C835&lt;B835, "Invalid: Ship before Order",
      "OK"))</f>
        <v>Invalid: Ship before Order</v>
      </c>
      <c r="F835" t="s">
        <v>2572</v>
      </c>
      <c r="G835" t="s">
        <v>118</v>
      </c>
      <c r="H835" t="s">
        <v>95</v>
      </c>
      <c r="I835" t="s">
        <v>38</v>
      </c>
      <c r="J835" t="s">
        <v>99</v>
      </c>
      <c r="K835" t="s">
        <v>100</v>
      </c>
      <c r="L835" t="s">
        <v>41</v>
      </c>
      <c r="M835" t="s">
        <v>158</v>
      </c>
      <c r="N835" t="s">
        <v>2573</v>
      </c>
      <c r="O835" t="s">
        <v>50</v>
      </c>
      <c r="P835">
        <v>6</v>
      </c>
      <c r="Q835">
        <v>3949.4</v>
      </c>
      <c r="R835">
        <v>0</v>
      </c>
      <c r="S835">
        <v>23696.400000000001</v>
      </c>
      <c r="T835">
        <v>18109.77</v>
      </c>
      <c r="U835">
        <v>5586.63</v>
      </c>
      <c r="V835" t="s">
        <v>32</v>
      </c>
      <c r="W835" t="s">
        <v>33</v>
      </c>
      <c r="X835" t="str">
        <f>_xlfn.TEXTJOIN("|", TRUE, A835:W835)</f>
        <v>ORD-2024-10834|45447|45388|-59|Invalid: Ship before Order|CUST-2689|Rahul Verma|Home Office|East|West Bengal|Kolkata|Furniture|Bookcases|Basic Bookcases 499|First Class|6|3949.4|0|23696.4|18109.77|5586.63|Paid|Completed</v>
      </c>
      <c r="Y835">
        <f>COUNTIF($X$2:$X$1000, X835)</f>
        <v>1</v>
      </c>
      <c r="Z835">
        <f>COUNTIF($A$2:$A$1000, A835)</f>
        <v>1</v>
      </c>
      <c r="AA835" t="str">
        <f>IF(Y835&gt;1, "Exact Duplicate",
  IF(Z835&gt;1, "Conflicting Duplicate - Review",
    "Unique"))</f>
        <v>Unique</v>
      </c>
      <c r="AB835" s="2">
        <f>IF(ISBLANK(R835), 0, IF(ISTEXT(R835), VALUE(SUBSTITUTE(R835, "%", ""))/100, IF(OR(R835&lt;0, R835&gt;1), "Invalid", R835)))</f>
        <v>0</v>
      </c>
      <c r="AC835" s="4">
        <f>IF(AB835="Invalid", "Error", P835 * Q835 * (1 - AB835))</f>
        <v>23696.400000000001</v>
      </c>
      <c r="AD835" s="4">
        <f>IF(AC835="Error", "Error", AC835 - T835)</f>
        <v>5586.630000000001</v>
      </c>
      <c r="AE835" s="2">
        <f>IF(AC835="Error", "Error", IF(AC835=0, 0, AD835 / AC835))</f>
        <v>0.23575859624246723</v>
      </c>
      <c r="AF835" s="7">
        <f>C835-B835</f>
        <v>-59</v>
      </c>
      <c r="AG835" s="2" t="str">
        <f>TEXT(B835, "mmmm")</f>
        <v>June</v>
      </c>
      <c r="AH835" s="4">
        <f>YEAR(B835)</f>
        <v>2024</v>
      </c>
      <c r="AI835" s="2" t="str">
        <f t="shared" ref="AI835:AI898" si="27">IF(OR(R835&lt;0,R835&gt;1),"Invalid: Discount",
IF(AND(I835="Unknown",J835&lt;&gt;""),"Warning: Missing Region",
IF(W835="Cancelled","Excluded from Sales",
IF(V835="Failed","Excluded from Sales",
IF(O835="Unknown","Warning: Missing Shipping Mode",
IF(W835="Refunded","Refund – Separate Summary",
IF(C835&lt;B835,"Invalid Shipping Record",
"Clean")))))))</f>
        <v>Invalid Shipping Record</v>
      </c>
      <c r="AJ835">
        <f>COUNTIFS($A$2:$A$1000,A835,$B$2:$B$1000,B835,$C$2:$C$1000,C835,$D$2:$D$1000,D835,$E$2:$E$1000,E835,$F$2:$F$1000,F835)</f>
        <v>1</v>
      </c>
      <c r="AK835">
        <f>COUNTIF($A$2:$A$1000, A835)</f>
        <v>1</v>
      </c>
    </row>
    <row r="836" spans="1:37">
      <c r="A836" t="s">
        <v>2574</v>
      </c>
      <c r="B836" s="5">
        <v>45583</v>
      </c>
      <c r="C836" s="5">
        <v>45587</v>
      </c>
      <c r="D836" s="6">
        <f>IF(AND(C836&lt;&gt;"",B836&lt;&gt;""), C836-B836, "Missing Date")</f>
        <v>4</v>
      </c>
      <c r="E836" s="6" t="str">
        <f>IF(OR(B836="",C836=""), "Missing Date",
    IF(C836&lt;B836, "Invalid: Ship before Order",
      "OK"))</f>
        <v>OK</v>
      </c>
      <c r="F836" t="s">
        <v>2575</v>
      </c>
      <c r="G836" t="s">
        <v>128</v>
      </c>
      <c r="H836" t="s">
        <v>95</v>
      </c>
      <c r="I836" t="s">
        <v>54</v>
      </c>
      <c r="J836" t="s">
        <v>55</v>
      </c>
      <c r="K836" t="s">
        <v>56</v>
      </c>
      <c r="L836" t="s">
        <v>28</v>
      </c>
      <c r="M836" t="s">
        <v>48</v>
      </c>
      <c r="N836" t="s">
        <v>2576</v>
      </c>
      <c r="O836" t="s">
        <v>50</v>
      </c>
      <c r="P836">
        <v>6</v>
      </c>
      <c r="Q836">
        <v>674.61</v>
      </c>
      <c r="R836">
        <v>0</v>
      </c>
      <c r="S836">
        <v>4047.66</v>
      </c>
      <c r="T836">
        <v>3078.93</v>
      </c>
      <c r="U836">
        <v>1279.79</v>
      </c>
      <c r="V836" t="s">
        <v>32</v>
      </c>
      <c r="W836" t="s">
        <v>33</v>
      </c>
      <c r="X836" t="str">
        <f>_xlfn.TEXTJOIN("|", TRUE, A836:W836)</f>
        <v>ORD-2024-10835|45583|45587|4|OK|CUST-2879|Aarav Sharma|Home Office|South|Telangana|Hyderabad|Office Supplies|Art|Basic Art 143|First Class|6|674.61|0|4047.66|3078.93|1279.79|Paid|Completed</v>
      </c>
      <c r="Y836">
        <f>COUNTIF($X$2:$X$1000, X836)</f>
        <v>1</v>
      </c>
      <c r="Z836">
        <f>COUNTIF($A$2:$A$1000, A836)</f>
        <v>1</v>
      </c>
      <c r="AA836" t="str">
        <f>IF(Y836&gt;1, "Exact Duplicate",
  IF(Z836&gt;1, "Conflicting Duplicate - Review",
    "Unique"))</f>
        <v>Unique</v>
      </c>
      <c r="AB836" s="2">
        <f>IF(ISBLANK(R836), 0, IF(ISTEXT(R836), VALUE(SUBSTITUTE(R836, "%", ""))/100, IF(OR(R836&lt;0, R836&gt;1), "Invalid", R836)))</f>
        <v>0</v>
      </c>
      <c r="AC836" s="4">
        <f>IF(AB836="Invalid", "Error", P836 * Q836 * (1 - AB836))</f>
        <v>4047.66</v>
      </c>
      <c r="AD836" s="4">
        <f>IF(AC836="Error", "Error", AC836 - T836)</f>
        <v>968.73</v>
      </c>
      <c r="AE836" s="2">
        <f>IF(AC836="Error", "Error", IF(AC836=0, 0, AD836 / AC836))</f>
        <v>0.23933087265234729</v>
      </c>
      <c r="AF836" s="7">
        <f>C836-B836</f>
        <v>4</v>
      </c>
      <c r="AG836" s="2" t="str">
        <f>TEXT(B836, "mmmm")</f>
        <v>October</v>
      </c>
      <c r="AH836" s="4">
        <f>YEAR(B836)</f>
        <v>2024</v>
      </c>
      <c r="AI836" s="2" t="str">
        <f t="shared" si="27"/>
        <v>Clean</v>
      </c>
      <c r="AJ836">
        <f>COUNTIFS($A$2:$A$1000,A836,$B$2:$B$1000,B836,$C$2:$C$1000,C836,$D$2:$D$1000,D836,$E$2:$E$1000,E836,$F$2:$F$1000,F836)</f>
        <v>1</v>
      </c>
      <c r="AK836">
        <f>COUNTIF($A$2:$A$1000, A836)</f>
        <v>1</v>
      </c>
    </row>
    <row r="837" spans="1:37">
      <c r="A837" t="s">
        <v>2577</v>
      </c>
      <c r="B837" s="5">
        <v>45926</v>
      </c>
      <c r="C837" s="5">
        <v>45934</v>
      </c>
      <c r="D837" s="6">
        <f>IF(AND(C837&lt;&gt;"",B837&lt;&gt;""), C837-B837, "Missing Date")</f>
        <v>8</v>
      </c>
      <c r="E837" s="6" t="str">
        <f>IF(OR(B837="",C837=""), "Missing Date",
    IF(C837&lt;B837, "Invalid: Ship before Order",
      "OK"))</f>
        <v>OK</v>
      </c>
      <c r="F837" t="s">
        <v>2578</v>
      </c>
      <c r="G837" t="s">
        <v>114</v>
      </c>
      <c r="H837" t="s">
        <v>37</v>
      </c>
      <c r="I837" t="s">
        <v>38</v>
      </c>
      <c r="J837" t="s">
        <v>166</v>
      </c>
      <c r="K837" t="s">
        <v>167</v>
      </c>
      <c r="L837" t="s">
        <v>74</v>
      </c>
      <c r="M837" t="s">
        <v>171</v>
      </c>
      <c r="N837" t="s">
        <v>2579</v>
      </c>
      <c r="O837" t="s">
        <v>31</v>
      </c>
      <c r="P837">
        <v>7</v>
      </c>
      <c r="Q837">
        <v>1509.59</v>
      </c>
      <c r="R837">
        <v>0.05</v>
      </c>
      <c r="S837">
        <v>10038.77</v>
      </c>
      <c r="T837">
        <v>5673.1</v>
      </c>
      <c r="U837">
        <v>4365.67</v>
      </c>
      <c r="V837" t="s">
        <v>32</v>
      </c>
      <c r="W837" t="s">
        <v>33</v>
      </c>
      <c r="X837" t="str">
        <f>_xlfn.TEXTJOIN("|", TRUE, A837:W837)</f>
        <v>ORD-2025-10836|45926|45934|8|OK|CUST-5150|Priya Menon|Small Business|East|Assam|Guwahati|Technology|Phones|Prime Phones 338|Second Class|7|1509.59|0.05|10038.77|5673.1|4365.67|Paid|Completed</v>
      </c>
      <c r="Y837">
        <f>COUNTIF($X$2:$X$1000, X837)</f>
        <v>1</v>
      </c>
      <c r="Z837">
        <f>COUNTIF($A$2:$A$1000, A837)</f>
        <v>1</v>
      </c>
      <c r="AA837" t="str">
        <f>IF(Y837&gt;1, "Exact Duplicate",
  IF(Z837&gt;1, "Conflicting Duplicate - Review",
    "Unique"))</f>
        <v>Unique</v>
      </c>
      <c r="AB837" s="2">
        <f>IF(ISBLANK(R837), 0, IF(ISTEXT(R837), VALUE(SUBSTITUTE(R837, "%", ""))/100, IF(OR(R837&lt;0, R837&gt;1), "Invalid", R837)))</f>
        <v>0.05</v>
      </c>
      <c r="AC837" s="4">
        <f>IF(AB837="Invalid", "Error", P837 * Q837 * (1 - AB837))</f>
        <v>10038.773499999999</v>
      </c>
      <c r="AD837" s="4">
        <f>IF(AC837="Error", "Error", AC837 - T837)</f>
        <v>4365.673499999999</v>
      </c>
      <c r="AE837" s="2">
        <f>IF(AC837="Error", "Error", IF(AC837=0, 0, AD837 / AC837))</f>
        <v>0.43488116352062323</v>
      </c>
      <c r="AF837" s="7">
        <f>C837-B837</f>
        <v>8</v>
      </c>
      <c r="AG837" s="2" t="str">
        <f>TEXT(B837, "mmmm")</f>
        <v>September</v>
      </c>
      <c r="AH837" s="4">
        <f>YEAR(B837)</f>
        <v>2025</v>
      </c>
      <c r="AI837" s="2" t="str">
        <f t="shared" si="27"/>
        <v>Clean</v>
      </c>
      <c r="AJ837">
        <f>COUNTIFS($A$2:$A$1000,A837,$B$2:$B$1000,B837,$C$2:$C$1000,C837,$D$2:$D$1000,D837,$E$2:$E$1000,E837,$F$2:$F$1000,F837)</f>
        <v>1</v>
      </c>
      <c r="AK837">
        <f>COUNTIF($A$2:$A$1000, A837)</f>
        <v>1</v>
      </c>
    </row>
    <row r="838" spans="1:37">
      <c r="A838" t="s">
        <v>2580</v>
      </c>
      <c r="B838" s="5">
        <v>45641</v>
      </c>
      <c r="C838" s="5">
        <v>45644</v>
      </c>
      <c r="D838" s="6">
        <f>IF(AND(C838&lt;&gt;"",B838&lt;&gt;""), C838-B838, "Missing Date")</f>
        <v>3</v>
      </c>
      <c r="E838" s="6" t="str">
        <f>IF(OR(B838="",C838=""), "Missing Date",
    IF(C838&lt;B838, "Invalid: Ship before Order",
      "OK"))</f>
        <v>OK</v>
      </c>
      <c r="F838" t="s">
        <v>2581</v>
      </c>
      <c r="G838" t="s">
        <v>47</v>
      </c>
      <c r="H838" t="s">
        <v>37</v>
      </c>
      <c r="I838" t="s">
        <v>25</v>
      </c>
      <c r="J838" t="s">
        <v>26</v>
      </c>
      <c r="K838" t="s">
        <v>27</v>
      </c>
      <c r="L838" t="s">
        <v>28</v>
      </c>
      <c r="M838" t="s">
        <v>91</v>
      </c>
      <c r="N838" t="s">
        <v>2582</v>
      </c>
      <c r="O838" t="s">
        <v>31</v>
      </c>
      <c r="P838">
        <v>2</v>
      </c>
      <c r="Q838">
        <v>537.11</v>
      </c>
      <c r="R838">
        <v>0</v>
      </c>
      <c r="S838">
        <v>1074.22</v>
      </c>
      <c r="T838">
        <v>850.86</v>
      </c>
      <c r="U838">
        <v>223.36</v>
      </c>
      <c r="V838" t="s">
        <v>32</v>
      </c>
      <c r="W838" t="s">
        <v>33</v>
      </c>
      <c r="X838" t="str">
        <f>_xlfn.TEXTJOIN("|", TRUE, A838:W838)</f>
        <v>ORD-2024-10837|45641|45644|3|OK|CUST-9776|Isha Nair|Small Business|North|Rajasthan|Jaipur|Office Supplies|Labels|Smart Labels 814|Second Class|2|537.11|0|1074.22|850.86|223.36|Paid|Completed</v>
      </c>
      <c r="Y838">
        <f>COUNTIF($X$2:$X$1000, X838)</f>
        <v>1</v>
      </c>
      <c r="Z838">
        <f>COUNTIF($A$2:$A$1000, A838)</f>
        <v>1</v>
      </c>
      <c r="AA838" t="str">
        <f>IF(Y838&gt;1, "Exact Duplicate",
  IF(Z838&gt;1, "Conflicting Duplicate - Review",
    "Unique"))</f>
        <v>Unique</v>
      </c>
      <c r="AB838" s="2">
        <f>IF(ISBLANK(R838), 0, IF(ISTEXT(R838), VALUE(SUBSTITUTE(R838, "%", ""))/100, IF(OR(R838&lt;0, R838&gt;1), "Invalid", R838)))</f>
        <v>0</v>
      </c>
      <c r="AC838" s="4">
        <f>IF(AB838="Invalid", "Error", P838 * Q838 * (1 - AB838))</f>
        <v>1074.22</v>
      </c>
      <c r="AD838" s="4">
        <f>IF(AC838="Error", "Error", AC838 - T838)</f>
        <v>223.36</v>
      </c>
      <c r="AE838" s="2">
        <f>IF(AC838="Error", "Error", IF(AC838=0, 0, AD838 / AC838))</f>
        <v>0.20792761259332354</v>
      </c>
      <c r="AF838" s="7">
        <f>C838-B838</f>
        <v>3</v>
      </c>
      <c r="AG838" s="2" t="str">
        <f>TEXT(B838, "mmmm")</f>
        <v>December</v>
      </c>
      <c r="AH838" s="4">
        <f>YEAR(B838)</f>
        <v>2024</v>
      </c>
      <c r="AI838" s="2" t="str">
        <f t="shared" si="27"/>
        <v>Clean</v>
      </c>
      <c r="AJ838">
        <f>COUNTIFS($A$2:$A$1000,A838,$B$2:$B$1000,B838,$C$2:$C$1000,C838,$D$2:$D$1000,D838,$E$2:$E$1000,E838,$F$2:$F$1000,F838)</f>
        <v>1</v>
      </c>
      <c r="AK838">
        <f>COUNTIF($A$2:$A$1000, A838)</f>
        <v>1</v>
      </c>
    </row>
    <row r="839" spans="1:37">
      <c r="A839" t="s">
        <v>2583</v>
      </c>
      <c r="B839" s="5">
        <v>45927</v>
      </c>
      <c r="C839" s="5">
        <v>45928</v>
      </c>
      <c r="D839" s="6">
        <f>IF(AND(C839&lt;&gt;"",B839&lt;&gt;""), C839-B839, "Missing Date")</f>
        <v>1</v>
      </c>
      <c r="E839" s="6" t="str">
        <f>IF(OR(B839="",C839=""), "Missing Date",
    IF(C839&lt;B839, "Invalid: Ship before Order",
      "OK"))</f>
        <v>OK</v>
      </c>
      <c r="F839" t="s">
        <v>2584</v>
      </c>
      <c r="G839" t="s">
        <v>23</v>
      </c>
      <c r="H839" t="s">
        <v>95</v>
      </c>
      <c r="I839" t="s">
        <v>63</v>
      </c>
      <c r="J839" t="s">
        <v>64</v>
      </c>
      <c r="K839" t="s">
        <v>65</v>
      </c>
      <c r="L839" t="s">
        <v>28</v>
      </c>
      <c r="M839" t="s">
        <v>29</v>
      </c>
      <c r="N839" t="s">
        <v>2585</v>
      </c>
      <c r="O839" t="s">
        <v>50</v>
      </c>
      <c r="P839">
        <v>3</v>
      </c>
      <c r="Q839">
        <v>4177.63</v>
      </c>
      <c r="R839">
        <v>0.25</v>
      </c>
      <c r="S839">
        <v>9399.67</v>
      </c>
      <c r="T839">
        <v>6540.37</v>
      </c>
      <c r="U839">
        <v>2859.3</v>
      </c>
      <c r="V839" t="s">
        <v>32</v>
      </c>
      <c r="W839" t="s">
        <v>33</v>
      </c>
      <c r="X839" t="str">
        <f>_xlfn.TEXTJOIN("|", TRUE, A839:W839)</f>
        <v>ORD-2025-10838|45927|45928|1|OK|CUST-2551|Karan Malhotra|Home Office|West|Maharashtra|Mumbai|Office Supplies|Paper|Prime Paper 812|First Class|3|4177.63|0.25|9399.67|6540.37|2859.3|Paid|Completed</v>
      </c>
      <c r="Y839">
        <f>COUNTIF($X$2:$X$1000, X839)</f>
        <v>1</v>
      </c>
      <c r="Z839">
        <f>COUNTIF($A$2:$A$1000, A839)</f>
        <v>1</v>
      </c>
      <c r="AA839" t="str">
        <f>IF(Y839&gt;1, "Exact Duplicate",
  IF(Z839&gt;1, "Conflicting Duplicate - Review",
    "Unique"))</f>
        <v>Unique</v>
      </c>
      <c r="AB839" s="2">
        <f>IF(ISBLANK(R839), 0, IF(ISTEXT(R839), VALUE(SUBSTITUTE(R839, "%", ""))/100, IF(OR(R839&lt;0, R839&gt;1), "Invalid", R839)))</f>
        <v>0.25</v>
      </c>
      <c r="AC839" s="4">
        <f>IF(AB839="Invalid", "Error", P839 * Q839 * (1 - AB839))</f>
        <v>9399.6674999999996</v>
      </c>
      <c r="AD839" s="4">
        <f>IF(AC839="Error", "Error", AC839 - T839)</f>
        <v>2859.2974999999997</v>
      </c>
      <c r="AE839" s="2">
        <f>IF(AC839="Error", "Error", IF(AC839=0, 0, AD839 / AC839))</f>
        <v>0.30419134506619516</v>
      </c>
      <c r="AF839" s="7">
        <f>C839-B839</f>
        <v>1</v>
      </c>
      <c r="AG839" s="2" t="str">
        <f>TEXT(B839, "mmmm")</f>
        <v>September</v>
      </c>
      <c r="AH839" s="4">
        <f>YEAR(B839)</f>
        <v>2025</v>
      </c>
      <c r="AI839" s="2" t="str">
        <f t="shared" si="27"/>
        <v>Clean</v>
      </c>
      <c r="AJ839">
        <f>COUNTIFS($A$2:$A$1000,A839,$B$2:$B$1000,B839,$C$2:$C$1000,C839,$D$2:$D$1000,D839,$E$2:$E$1000,E839,$F$2:$F$1000,F839)</f>
        <v>1</v>
      </c>
      <c r="AK839">
        <f>COUNTIF($A$2:$A$1000, A839)</f>
        <v>1</v>
      </c>
    </row>
    <row r="840" spans="1:37">
      <c r="A840" t="s">
        <v>2586</v>
      </c>
      <c r="B840" s="5">
        <v>45720</v>
      </c>
      <c r="C840" s="5">
        <v>45754</v>
      </c>
      <c r="D840" s="6">
        <f>IF(AND(C840&lt;&gt;"",B840&lt;&gt;""), C840-B840, "Missing Date")</f>
        <v>34</v>
      </c>
      <c r="E840" s="6" t="str">
        <f>IF(OR(B840="",C840=""), "Missing Date",
    IF(C840&lt;B840, "Invalid: Ship before Order",
      "OK"))</f>
        <v>OK</v>
      </c>
      <c r="F840" t="s">
        <v>2587</v>
      </c>
      <c r="G840" t="s">
        <v>62</v>
      </c>
      <c r="H840" t="s">
        <v>37</v>
      </c>
      <c r="I840" t="s">
        <v>63</v>
      </c>
      <c r="J840" t="s">
        <v>190</v>
      </c>
      <c r="K840" t="s">
        <v>191</v>
      </c>
      <c r="L840" t="s">
        <v>28</v>
      </c>
      <c r="M840" t="s">
        <v>29</v>
      </c>
      <c r="N840" t="s">
        <v>2588</v>
      </c>
      <c r="O840" t="s">
        <v>44</v>
      </c>
      <c r="P840">
        <v>1</v>
      </c>
      <c r="Q840">
        <v>1470.57</v>
      </c>
      <c r="R840">
        <v>0</v>
      </c>
      <c r="S840">
        <v>1470.57</v>
      </c>
      <c r="T840">
        <v>834.02</v>
      </c>
      <c r="U840">
        <v>636.54999999999995</v>
      </c>
      <c r="V840" t="s">
        <v>32</v>
      </c>
      <c r="W840" t="s">
        <v>103</v>
      </c>
      <c r="X840" t="str">
        <f>_xlfn.TEXTJOIN("|", TRUE, A840:W840)</f>
        <v>ORD-2025-10839|45720|45754|34|OK|CUST-4708|Ananya Rao|Small Business|West|Goa|Panaji|Office Supplies|Paper|Pro Paper 355|Same Day|1|1470.57|0|1470.57|834.02|636.55|Paid|Returned</v>
      </c>
      <c r="Y840">
        <f>COUNTIF($X$2:$X$1000, X840)</f>
        <v>1</v>
      </c>
      <c r="Z840">
        <f>COUNTIF($A$2:$A$1000, A840)</f>
        <v>1</v>
      </c>
      <c r="AA840" t="str">
        <f>IF(Y840&gt;1, "Exact Duplicate",
  IF(Z840&gt;1, "Conflicting Duplicate - Review",
    "Unique"))</f>
        <v>Unique</v>
      </c>
      <c r="AB840" s="2">
        <f>IF(ISBLANK(R840), 0, IF(ISTEXT(R840), VALUE(SUBSTITUTE(R840, "%", ""))/100, IF(OR(R840&lt;0, R840&gt;1), "Invalid", R840)))</f>
        <v>0</v>
      </c>
      <c r="AC840" s="4">
        <f>IF(AB840="Invalid", "Error", P840 * Q840 * (1 - AB840))</f>
        <v>1470.57</v>
      </c>
      <c r="AD840" s="4">
        <f>IF(AC840="Error", "Error", AC840 - T840)</f>
        <v>636.54999999999995</v>
      </c>
      <c r="AE840" s="2">
        <f>IF(AC840="Error", "Error", IF(AC840=0, 0, AD840 / AC840))</f>
        <v>0.43285936745615644</v>
      </c>
      <c r="AF840" s="7">
        <f>C840-B840</f>
        <v>34</v>
      </c>
      <c r="AG840" s="2" t="str">
        <f>TEXT(B840, "mmmm")</f>
        <v>March</v>
      </c>
      <c r="AH840" s="4">
        <f>YEAR(B840)</f>
        <v>2025</v>
      </c>
      <c r="AI840" s="2" t="str">
        <f t="shared" si="27"/>
        <v>Clean</v>
      </c>
      <c r="AJ840">
        <f>COUNTIFS($A$2:$A$1000,A840,$B$2:$B$1000,B840,$C$2:$C$1000,C840,$D$2:$D$1000,D840,$E$2:$E$1000,E840,$F$2:$F$1000,F840)</f>
        <v>1</v>
      </c>
      <c r="AK840">
        <f>COUNTIF($A$2:$A$1000, A840)</f>
        <v>1</v>
      </c>
    </row>
    <row r="841" spans="1:37">
      <c r="A841" t="s">
        <v>2589</v>
      </c>
      <c r="B841" s="5">
        <v>45555</v>
      </c>
      <c r="C841" s="5">
        <v>45557</v>
      </c>
      <c r="D841" s="6">
        <f>IF(AND(C841&lt;&gt;"",B841&lt;&gt;""), C841-B841, "Missing Date")</f>
        <v>2</v>
      </c>
      <c r="E841" s="6" t="str">
        <f>IF(OR(B841="",C841=""), "Missing Date",
    IF(C841&lt;B841, "Invalid: Ship before Order",
      "OK"))</f>
        <v>OK</v>
      </c>
      <c r="F841" t="s">
        <v>2590</v>
      </c>
      <c r="G841" t="s">
        <v>141</v>
      </c>
      <c r="H841" t="s">
        <v>95</v>
      </c>
      <c r="I841" t="s">
        <v>38</v>
      </c>
      <c r="J841" t="s">
        <v>39</v>
      </c>
      <c r="K841" t="s">
        <v>40</v>
      </c>
      <c r="L841" t="s">
        <v>74</v>
      </c>
      <c r="M841" t="s">
        <v>171</v>
      </c>
      <c r="N841" t="s">
        <v>2591</v>
      </c>
      <c r="O841" t="s">
        <v>59</v>
      </c>
      <c r="P841">
        <v>8</v>
      </c>
      <c r="Q841">
        <v>531.42999999999995</v>
      </c>
      <c r="R841">
        <v>0.1</v>
      </c>
      <c r="S841">
        <v>3826.3</v>
      </c>
      <c r="T841">
        <v>2194.12</v>
      </c>
      <c r="U841">
        <v>1632.18</v>
      </c>
      <c r="V841" t="s">
        <v>32</v>
      </c>
      <c r="W841" t="s">
        <v>33</v>
      </c>
      <c r="X841" t="str">
        <f>_xlfn.TEXTJOIN("|", TRUE, A841:W841)</f>
        <v>ORD-2024-10840|45555|45557|2|OK|CUST-8206|Rohan Mehta|Home Office|East|Odisha|Bhubaneswar|Technology|Phones|Basic Phones 398|Standard Class|8|531.43|0.1|3826.3|2194.12|1632.18|Paid|Completed</v>
      </c>
      <c r="Y841">
        <f>COUNTIF($X$2:$X$1000, X841)</f>
        <v>1</v>
      </c>
      <c r="Z841">
        <f>COUNTIF($A$2:$A$1000, A841)</f>
        <v>1</v>
      </c>
      <c r="AA841" t="str">
        <f>IF(Y841&gt;1, "Exact Duplicate",
  IF(Z841&gt;1, "Conflicting Duplicate - Review",
    "Unique"))</f>
        <v>Unique</v>
      </c>
      <c r="AB841" s="2">
        <f>IF(ISBLANK(R841), 0, IF(ISTEXT(R841), VALUE(SUBSTITUTE(R841, "%", ""))/100, IF(OR(R841&lt;0, R841&gt;1), "Invalid", R841)))</f>
        <v>0.1</v>
      </c>
      <c r="AC841" s="4">
        <f>IF(AB841="Invalid", "Error", P841 * Q841 * (1 - AB841))</f>
        <v>3826.2959999999998</v>
      </c>
      <c r="AD841" s="4">
        <f>IF(AC841="Error", "Error", AC841 - T841)</f>
        <v>1632.1759999999999</v>
      </c>
      <c r="AE841" s="2">
        <f>IF(AC841="Error", "Error", IF(AC841=0, 0, AD841 / AC841))</f>
        <v>0.42656814841298218</v>
      </c>
      <c r="AF841" s="7">
        <f>C841-B841</f>
        <v>2</v>
      </c>
      <c r="AG841" s="2" t="str">
        <f>TEXT(B841, "mmmm")</f>
        <v>September</v>
      </c>
      <c r="AH841" s="4">
        <f>YEAR(B841)</f>
        <v>2024</v>
      </c>
      <c r="AI841" s="2" t="str">
        <f t="shared" si="27"/>
        <v>Clean</v>
      </c>
      <c r="AJ841">
        <f>COUNTIFS($A$2:$A$1000,A841,$B$2:$B$1000,B841,$C$2:$C$1000,C841,$D$2:$D$1000,D841,$E$2:$E$1000,E841,$F$2:$F$1000,F841)</f>
        <v>1</v>
      </c>
      <c r="AK841">
        <f>COUNTIF($A$2:$A$1000, A841)</f>
        <v>1</v>
      </c>
    </row>
    <row r="842" spans="1:37">
      <c r="A842" t="s">
        <v>2592</v>
      </c>
      <c r="B842" s="5">
        <v>45919</v>
      </c>
      <c r="C842" s="5">
        <v>45919</v>
      </c>
      <c r="D842" s="6">
        <f>IF(AND(C842&lt;&gt;"",B842&lt;&gt;""), C842-B842, "Missing Date")</f>
        <v>0</v>
      </c>
      <c r="E842" s="6" t="str">
        <f>IF(OR(B842="",C842=""), "Missing Date",
    IF(C842&lt;B842, "Invalid: Ship before Order",
      "OK"))</f>
        <v>OK</v>
      </c>
      <c r="F842" t="s">
        <v>2593</v>
      </c>
      <c r="G842" t="s">
        <v>79</v>
      </c>
      <c r="H842" t="s">
        <v>95</v>
      </c>
      <c r="I842" t="s">
        <v>25</v>
      </c>
      <c r="J842" t="s">
        <v>350</v>
      </c>
      <c r="K842" t="s">
        <v>351</v>
      </c>
      <c r="L842" t="s">
        <v>41</v>
      </c>
      <c r="M842" t="s">
        <v>66</v>
      </c>
      <c r="N842" t="s">
        <v>2594</v>
      </c>
      <c r="O842" t="s">
        <v>44</v>
      </c>
      <c r="P842">
        <v>4</v>
      </c>
      <c r="Q842">
        <v>1584.11</v>
      </c>
      <c r="R842">
        <v>0</v>
      </c>
      <c r="S842">
        <v>6336.44</v>
      </c>
      <c r="T842">
        <v>4680.68</v>
      </c>
      <c r="U842">
        <v>1655.76</v>
      </c>
      <c r="V842" t="s">
        <v>32</v>
      </c>
      <c r="W842" t="s">
        <v>33</v>
      </c>
      <c r="X842" t="str">
        <f>_xlfn.TEXTJOIN("|", TRUE, A842:W842)</f>
        <v>ORD-2025-10841|45919|45919|0|OK|CUST-1297|Neha Gupta|Home Office|North|Delhi|New Delhi|Furniture|Chairs|Classic Chairs 204|Same Day|4|1584.11|0|6336.44|4680.68|1655.76|Paid|Completed</v>
      </c>
      <c r="Y842">
        <f>COUNTIF($X$2:$X$1000, X842)</f>
        <v>1</v>
      </c>
      <c r="Z842">
        <f>COUNTIF($A$2:$A$1000, A842)</f>
        <v>1</v>
      </c>
      <c r="AA842" t="str">
        <f>IF(Y842&gt;1, "Exact Duplicate",
  IF(Z842&gt;1, "Conflicting Duplicate - Review",
    "Unique"))</f>
        <v>Unique</v>
      </c>
      <c r="AB842" s="2">
        <f>IF(ISBLANK(R842), 0, IF(ISTEXT(R842), VALUE(SUBSTITUTE(R842, "%", ""))/100, IF(OR(R842&lt;0, R842&gt;1), "Invalid", R842)))</f>
        <v>0</v>
      </c>
      <c r="AC842" s="4">
        <f>IF(AB842="Invalid", "Error", P842 * Q842 * (1 - AB842))</f>
        <v>6336.44</v>
      </c>
      <c r="AD842" s="4">
        <f>IF(AC842="Error", "Error", AC842 - T842)</f>
        <v>1655.7599999999993</v>
      </c>
      <c r="AE842" s="2">
        <f>IF(AC842="Error", "Error", IF(AC842=0, 0, AD842 / AC842))</f>
        <v>0.26130761121386764</v>
      </c>
      <c r="AF842" s="7">
        <f>C842-B842</f>
        <v>0</v>
      </c>
      <c r="AG842" s="2" t="str">
        <f>TEXT(B842, "mmmm")</f>
        <v>September</v>
      </c>
      <c r="AH842" s="4">
        <f>YEAR(B842)</f>
        <v>2025</v>
      </c>
      <c r="AI842" s="2" t="str">
        <f t="shared" si="27"/>
        <v>Clean</v>
      </c>
      <c r="AJ842">
        <f>COUNTIFS($A$2:$A$1000,A842,$B$2:$B$1000,B842,$C$2:$C$1000,C842,$D$2:$D$1000,D842,$E$2:$E$1000,E842,$F$2:$F$1000,F842)</f>
        <v>1</v>
      </c>
      <c r="AK842">
        <f>COUNTIF($A$2:$A$1000, A842)</f>
        <v>1</v>
      </c>
    </row>
    <row r="843" spans="1:37">
      <c r="A843" t="s">
        <v>2595</v>
      </c>
      <c r="B843" s="5">
        <v>45694</v>
      </c>
      <c r="C843" s="5">
        <v>45700</v>
      </c>
      <c r="D843" s="6">
        <f>IF(AND(C843&lt;&gt;"",B843&lt;&gt;""), C843-B843, "Missing Date")</f>
        <v>6</v>
      </c>
      <c r="E843" s="6" t="str">
        <f>IF(OR(B843="",C843=""), "Missing Date",
    IF(C843&lt;B843, "Invalid: Ship before Order",
      "OK"))</f>
        <v>OK</v>
      </c>
      <c r="F843" t="s">
        <v>2596</v>
      </c>
      <c r="G843" t="s">
        <v>62</v>
      </c>
      <c r="H843" t="s">
        <v>37</v>
      </c>
      <c r="I843" t="s">
        <v>38</v>
      </c>
      <c r="J843" t="s">
        <v>145</v>
      </c>
      <c r="K843" t="s">
        <v>146</v>
      </c>
      <c r="L843" t="s">
        <v>28</v>
      </c>
      <c r="M843" t="s">
        <v>48</v>
      </c>
      <c r="N843" t="s">
        <v>2597</v>
      </c>
      <c r="O843" t="s">
        <v>59</v>
      </c>
      <c r="P843">
        <v>9</v>
      </c>
      <c r="Q843">
        <v>3237.16</v>
      </c>
      <c r="R843">
        <v>0.25</v>
      </c>
      <c r="S843">
        <v>21850.83</v>
      </c>
      <c r="T843">
        <v>16600.13</v>
      </c>
      <c r="U843">
        <v>5250.7</v>
      </c>
      <c r="V843" t="s">
        <v>32</v>
      </c>
      <c r="W843" t="s">
        <v>33</v>
      </c>
      <c r="X843" t="str">
        <f>_xlfn.TEXTJOIN("|", TRUE, A843:W843)</f>
        <v>ORD-2025-10842|45694|45700|6|OK|CUST-7558|Ananya Rao|Small Business|East|Bihar|Patna|Office Supplies|Art|Max Art 339|Standard Class|9|3237.16|0.25|21850.83|16600.13|5250.7|Paid|Completed</v>
      </c>
      <c r="Y843">
        <f>COUNTIF($X$2:$X$1000, X843)</f>
        <v>1</v>
      </c>
      <c r="Z843">
        <f>COUNTIF($A$2:$A$1000, A843)</f>
        <v>1</v>
      </c>
      <c r="AA843" t="str">
        <f>IF(Y843&gt;1, "Exact Duplicate",
  IF(Z843&gt;1, "Conflicting Duplicate - Review",
    "Unique"))</f>
        <v>Unique</v>
      </c>
      <c r="AB843" s="2">
        <f>IF(ISBLANK(R843), 0, IF(ISTEXT(R843), VALUE(SUBSTITUTE(R843, "%", ""))/100, IF(OR(R843&lt;0, R843&gt;1), "Invalid", R843)))</f>
        <v>0.25</v>
      </c>
      <c r="AC843" s="4">
        <f>IF(AB843="Invalid", "Error", P843 * Q843 * (1 - AB843))</f>
        <v>21850.829999999998</v>
      </c>
      <c r="AD843" s="4">
        <f>IF(AC843="Error", "Error", AC843 - T843)</f>
        <v>5250.6999999999971</v>
      </c>
      <c r="AE843" s="2">
        <f>IF(AC843="Error", "Error", IF(AC843=0, 0, AD843 / AC843))</f>
        <v>0.2402975081495759</v>
      </c>
      <c r="AF843" s="7">
        <f>C843-B843</f>
        <v>6</v>
      </c>
      <c r="AG843" s="2" t="str">
        <f>TEXT(B843, "mmmm")</f>
        <v>February</v>
      </c>
      <c r="AH843" s="4">
        <f>YEAR(B843)</f>
        <v>2025</v>
      </c>
      <c r="AI843" s="2" t="str">
        <f t="shared" si="27"/>
        <v>Clean</v>
      </c>
      <c r="AJ843">
        <f>COUNTIFS($A$2:$A$1000,A843,$B$2:$B$1000,B843,$C$2:$C$1000,C843,$D$2:$D$1000,D843,$E$2:$E$1000,E843,$F$2:$F$1000,F843)</f>
        <v>1</v>
      </c>
      <c r="AK843">
        <f>COUNTIF($A$2:$A$1000, A843)</f>
        <v>1</v>
      </c>
    </row>
    <row r="844" spans="1:37">
      <c r="A844" t="s">
        <v>2598</v>
      </c>
      <c r="B844" s="5">
        <v>45382</v>
      </c>
      <c r="C844" s="5">
        <v>45381</v>
      </c>
      <c r="D844" s="6">
        <f>IF(AND(C844&lt;&gt;"",B844&lt;&gt;""), C844-B844, "Missing Date")</f>
        <v>-1</v>
      </c>
      <c r="E844" s="6" t="str">
        <f>IF(OR(B844="",C844=""), "Missing Date",
    IF(C844&lt;B844, "Invalid: Ship before Order",
      "OK"))</f>
        <v>Invalid: Ship before Order</v>
      </c>
      <c r="F844" t="s">
        <v>2599</v>
      </c>
      <c r="G844" t="s">
        <v>264</v>
      </c>
      <c r="H844" t="s">
        <v>24</v>
      </c>
      <c r="I844" t="s">
        <v>25</v>
      </c>
      <c r="J844" t="s">
        <v>236</v>
      </c>
      <c r="K844" t="s">
        <v>237</v>
      </c>
      <c r="L844" t="s">
        <v>74</v>
      </c>
      <c r="M844" t="s">
        <v>274</v>
      </c>
      <c r="N844" t="s">
        <v>2600</v>
      </c>
      <c r="O844" t="s">
        <v>50</v>
      </c>
      <c r="P844">
        <v>4</v>
      </c>
      <c r="Q844">
        <v>2192.08</v>
      </c>
      <c r="R844">
        <v>0.15</v>
      </c>
      <c r="S844">
        <v>7453.07</v>
      </c>
      <c r="T844">
        <v>5133.78</v>
      </c>
      <c r="U844">
        <v>2319.29</v>
      </c>
      <c r="V844" t="s">
        <v>32</v>
      </c>
      <c r="W844" t="s">
        <v>103</v>
      </c>
      <c r="X844" t="str">
        <f>_xlfn.TEXTJOIN("|", TRUE, A844:W844)</f>
        <v>ORD-2024-10843|45382|45381|-1|Invalid: Ship before Order|CUST-1798|Kabir Singh|Consumer|North|Haryana|Gurugram|Technology|Machines|Smart Machines 581|First Class|4|2192.08|0.15|7453.07|5133.78|2319.29|Paid|Returned</v>
      </c>
      <c r="Y844">
        <f>COUNTIF($X$2:$X$1000, X844)</f>
        <v>1</v>
      </c>
      <c r="Z844">
        <f>COUNTIF($A$2:$A$1000, A844)</f>
        <v>1</v>
      </c>
      <c r="AA844" t="str">
        <f>IF(Y844&gt;1, "Exact Duplicate",
  IF(Z844&gt;1, "Conflicting Duplicate - Review",
    "Unique"))</f>
        <v>Unique</v>
      </c>
      <c r="AB844" s="2">
        <f>IF(ISBLANK(R844), 0, IF(ISTEXT(R844), VALUE(SUBSTITUTE(R844, "%", ""))/100, IF(OR(R844&lt;0, R844&gt;1), "Invalid", R844)))</f>
        <v>0.15</v>
      </c>
      <c r="AC844" s="4">
        <f>IF(AB844="Invalid", "Error", P844 * Q844 * (1 - AB844))</f>
        <v>7453.0719999999992</v>
      </c>
      <c r="AD844" s="4">
        <f>IF(AC844="Error", "Error", AC844 - T844)</f>
        <v>2319.2919999999995</v>
      </c>
      <c r="AE844" s="2">
        <f>IF(AC844="Error", "Error", IF(AC844=0, 0, AD844 / AC844))</f>
        <v>0.31118604516365866</v>
      </c>
      <c r="AF844" s="7">
        <f>C844-B844</f>
        <v>-1</v>
      </c>
      <c r="AG844" s="2" t="str">
        <f>TEXT(B844, "mmmm")</f>
        <v>March</v>
      </c>
      <c r="AH844" s="4">
        <f>YEAR(B844)</f>
        <v>2024</v>
      </c>
      <c r="AI844" s="2" t="str">
        <f t="shared" si="27"/>
        <v>Invalid Shipping Record</v>
      </c>
      <c r="AJ844">
        <f>COUNTIFS($A$2:$A$1000,A844,$B$2:$B$1000,B844,$C$2:$C$1000,C844,$D$2:$D$1000,D844,$E$2:$E$1000,E844,$F$2:$F$1000,F844)</f>
        <v>1</v>
      </c>
      <c r="AK844">
        <f>COUNTIF($A$2:$A$1000, A844)</f>
        <v>1</v>
      </c>
    </row>
    <row r="845" spans="1:37">
      <c r="A845" t="s">
        <v>2601</v>
      </c>
      <c r="B845" s="5">
        <v>45856</v>
      </c>
      <c r="C845" s="5">
        <v>45863</v>
      </c>
      <c r="D845" s="6">
        <f>IF(AND(C845&lt;&gt;"",B845&lt;&gt;""), C845-B845, "Missing Date")</f>
        <v>7</v>
      </c>
      <c r="E845" s="6" t="str">
        <f>IF(OR(B845="",C845=""), "Missing Date",
    IF(C845&lt;B845, "Invalid: Ship before Order",
      "OK"))</f>
        <v>OK</v>
      </c>
      <c r="F845" t="s">
        <v>2602</v>
      </c>
      <c r="G845" t="s">
        <v>114</v>
      </c>
      <c r="H845" t="s">
        <v>37</v>
      </c>
      <c r="I845" t="s">
        <v>25</v>
      </c>
      <c r="J845" t="s">
        <v>136</v>
      </c>
      <c r="K845" t="s">
        <v>137</v>
      </c>
      <c r="L845" t="s">
        <v>74</v>
      </c>
      <c r="M845" t="s">
        <v>171</v>
      </c>
      <c r="N845" t="s">
        <v>2603</v>
      </c>
      <c r="O845" t="s">
        <v>50</v>
      </c>
      <c r="P845">
        <v>9</v>
      </c>
      <c r="Q845">
        <v>3989.52</v>
      </c>
      <c r="R845">
        <v>-0.02</v>
      </c>
      <c r="S845">
        <v>35905.68</v>
      </c>
      <c r="T845">
        <v>23916.1</v>
      </c>
      <c r="U845">
        <v>11989.58</v>
      </c>
      <c r="V845" t="s">
        <v>32</v>
      </c>
      <c r="W845" t="s">
        <v>33</v>
      </c>
      <c r="X845" t="str">
        <f>_xlfn.TEXTJOIN("|", TRUE, A845:W845)</f>
        <v>ORD-2025-10844|45856|45863|7|OK|CUST-7333|Priya Menon|Small Business|North|Uttar Pradesh|Noida|Technology|Phones|Prime Phones 482|First Class|9|3989.52|-0.02|35905.68|23916.1|11989.58|Paid|Completed</v>
      </c>
      <c r="Y845">
        <f>COUNTIF($X$2:$X$1000, X845)</f>
        <v>1</v>
      </c>
      <c r="Z845">
        <f>COUNTIF($A$2:$A$1000, A845)</f>
        <v>1</v>
      </c>
      <c r="AA845" t="str">
        <f>IF(Y845&gt;1, "Exact Duplicate",
  IF(Z845&gt;1, "Conflicting Duplicate - Review",
    "Unique"))</f>
        <v>Unique</v>
      </c>
      <c r="AB845" s="2" t="str">
        <f>IF(ISBLANK(R845), 0, IF(ISTEXT(R845), VALUE(SUBSTITUTE(R845, "%", ""))/100, IF(OR(R845&lt;0, R845&gt;1), "Invalid", R845)))</f>
        <v>Invalid</v>
      </c>
      <c r="AC845" s="4" t="str">
        <f>IF(AB845="Invalid", "Error", P845 * Q845 * (1 - AB845))</f>
        <v>Error</v>
      </c>
      <c r="AD845" s="4" t="str">
        <f>IF(AC845="Error", "Error", AC845 - T845)</f>
        <v>Error</v>
      </c>
      <c r="AE845" s="2" t="str">
        <f>IF(AC845="Error", "Error", IF(AC845=0, 0, AD845 / AC845))</f>
        <v>Error</v>
      </c>
      <c r="AF845" s="7">
        <f>C845-B845</f>
        <v>7</v>
      </c>
      <c r="AG845" s="2" t="str">
        <f>TEXT(B845, "mmmm")</f>
        <v>July</v>
      </c>
      <c r="AH845" s="4">
        <f>YEAR(B845)</f>
        <v>2025</v>
      </c>
      <c r="AI845" s="2" t="str">
        <f t="shared" si="27"/>
        <v>Invalid: Discount</v>
      </c>
      <c r="AJ845">
        <f>COUNTIFS($A$2:$A$1000,A845,$B$2:$B$1000,B845,$C$2:$C$1000,C845,$D$2:$D$1000,D845,$E$2:$E$1000,E845,$F$2:$F$1000,F845)</f>
        <v>1</v>
      </c>
      <c r="AK845">
        <f>COUNTIF($A$2:$A$1000, A845)</f>
        <v>1</v>
      </c>
    </row>
    <row r="846" spans="1:37">
      <c r="A846" t="s">
        <v>2604</v>
      </c>
      <c r="B846" s="5">
        <v>45677</v>
      </c>
      <c r="C846" s="5">
        <v>45682</v>
      </c>
      <c r="D846" s="6">
        <f>IF(AND(C846&lt;&gt;"",B846&lt;&gt;""), C846-B846, "Missing Date")</f>
        <v>5</v>
      </c>
      <c r="E846" s="6" t="str">
        <f>IF(OR(B846="",C846=""), "Missing Date",
    IF(C846&lt;B846, "Invalid: Ship before Order",
      "OK"))</f>
        <v>OK</v>
      </c>
      <c r="F846" t="s">
        <v>2605</v>
      </c>
      <c r="G846" t="s">
        <v>89</v>
      </c>
      <c r="H846" t="s">
        <v>95</v>
      </c>
      <c r="I846" t="s">
        <v>63</v>
      </c>
      <c r="J846" t="s">
        <v>190</v>
      </c>
      <c r="K846" t="s">
        <v>191</v>
      </c>
      <c r="L846" t="s">
        <v>28</v>
      </c>
      <c r="M846" t="s">
        <v>48</v>
      </c>
      <c r="N846" t="s">
        <v>2606</v>
      </c>
      <c r="O846" t="s">
        <v>50</v>
      </c>
      <c r="P846">
        <v>1</v>
      </c>
      <c r="Q846">
        <v>3515.15</v>
      </c>
      <c r="R846">
        <v>0</v>
      </c>
      <c r="S846">
        <v>3515.15</v>
      </c>
      <c r="T846">
        <v>2216.34</v>
      </c>
      <c r="U846">
        <v>1298.81</v>
      </c>
      <c r="V846" t="s">
        <v>32</v>
      </c>
      <c r="W846" t="s">
        <v>33</v>
      </c>
      <c r="X846" t="str">
        <f>_xlfn.TEXTJOIN("|", TRUE, A846:W846)</f>
        <v>ORD-2025-10845|45677|45682|5|OK|CUST-2086|Aditi Sen|Home Office|West|Goa|Panaji|Office Supplies|Art|Pro Art 588|First Class|1|3515.15|0|3515.15|2216.34|1298.81|Paid|Completed</v>
      </c>
      <c r="Y846">
        <f>COUNTIF($X$2:$X$1000, X846)</f>
        <v>1</v>
      </c>
      <c r="Z846">
        <f>COUNTIF($A$2:$A$1000, A846)</f>
        <v>1</v>
      </c>
      <c r="AA846" t="str">
        <f>IF(Y846&gt;1, "Exact Duplicate",
  IF(Z846&gt;1, "Conflicting Duplicate - Review",
    "Unique"))</f>
        <v>Unique</v>
      </c>
      <c r="AB846" s="2">
        <f>IF(ISBLANK(R846), 0, IF(ISTEXT(R846), VALUE(SUBSTITUTE(R846, "%", ""))/100, IF(OR(R846&lt;0, R846&gt;1), "Invalid", R846)))</f>
        <v>0</v>
      </c>
      <c r="AC846" s="4">
        <f>IF(AB846="Invalid", "Error", P846 * Q846 * (1 - AB846))</f>
        <v>3515.15</v>
      </c>
      <c r="AD846" s="4">
        <f>IF(AC846="Error", "Error", AC846 - T846)</f>
        <v>1298.81</v>
      </c>
      <c r="AE846" s="2">
        <f>IF(AC846="Error", "Error", IF(AC846=0, 0, AD846 / AC846))</f>
        <v>0.36948921098672882</v>
      </c>
      <c r="AF846" s="7">
        <f>C846-B846</f>
        <v>5</v>
      </c>
      <c r="AG846" s="2" t="str">
        <f>TEXT(B846, "mmmm")</f>
        <v>January</v>
      </c>
      <c r="AH846" s="4">
        <f>YEAR(B846)</f>
        <v>2025</v>
      </c>
      <c r="AI846" s="2" t="str">
        <f t="shared" si="27"/>
        <v>Clean</v>
      </c>
      <c r="AJ846">
        <f>COUNTIFS($A$2:$A$1000,A846,$B$2:$B$1000,B846,$C$2:$C$1000,C846,$D$2:$D$1000,D846,$E$2:$E$1000,E846,$F$2:$F$1000,F846)</f>
        <v>1</v>
      </c>
      <c r="AK846">
        <f>COUNTIF($A$2:$A$1000, A846)</f>
        <v>1</v>
      </c>
    </row>
    <row r="847" spans="1:37">
      <c r="A847" t="s">
        <v>2607</v>
      </c>
      <c r="B847" s="5">
        <v>45345</v>
      </c>
      <c r="C847" s="5">
        <v>45349</v>
      </c>
      <c r="D847" s="6">
        <f>IF(AND(C847&lt;&gt;"",B847&lt;&gt;""), C847-B847, "Missing Date")</f>
        <v>4</v>
      </c>
      <c r="E847" s="6" t="str">
        <f>IF(OR(B847="",C847=""), "Missing Date",
    IF(C847&lt;B847, "Invalid: Ship before Order",
      "OK"))</f>
        <v>OK</v>
      </c>
      <c r="F847" t="s">
        <v>593</v>
      </c>
      <c r="G847" t="s">
        <v>23</v>
      </c>
      <c r="H847" t="s">
        <v>24</v>
      </c>
      <c r="I847" t="s">
        <v>38</v>
      </c>
      <c r="J847" t="s">
        <v>39</v>
      </c>
      <c r="K847" t="s">
        <v>40</v>
      </c>
      <c r="L847" t="s">
        <v>41</v>
      </c>
      <c r="M847" t="s">
        <v>42</v>
      </c>
      <c r="N847" t="s">
        <v>2608</v>
      </c>
      <c r="O847" t="s">
        <v>50</v>
      </c>
      <c r="P847">
        <v>9</v>
      </c>
      <c r="Q847">
        <v>3616.23</v>
      </c>
      <c r="R847">
        <v>0.25</v>
      </c>
      <c r="S847">
        <v>24409.55</v>
      </c>
      <c r="T847">
        <v>17157.580000000002</v>
      </c>
      <c r="U847">
        <v>7251.97</v>
      </c>
      <c r="V847" t="s">
        <v>111</v>
      </c>
      <c r="W847" t="s">
        <v>103</v>
      </c>
      <c r="X847" t="str">
        <f>_xlfn.TEXTJOIN("|", TRUE, A847:W847)</f>
        <v>ORD-2024-10846|45345|45349|4|OK|CUST-2367|Karan Malhotra|Consumer|East|Odisha|Bhubaneswar|Furniture|Tables|Eco Tables 792|First Class|9|3616.23|0.25|24409.55|17157.58|7251.97|Pending|Returned</v>
      </c>
      <c r="Y847">
        <f>COUNTIF($X$2:$X$1000, X847)</f>
        <v>1</v>
      </c>
      <c r="Z847">
        <f>COUNTIF($A$2:$A$1000, A847)</f>
        <v>1</v>
      </c>
      <c r="AA847" t="str">
        <f>IF(Y847&gt;1, "Exact Duplicate",
  IF(Z847&gt;1, "Conflicting Duplicate - Review",
    "Unique"))</f>
        <v>Unique</v>
      </c>
      <c r="AB847" s="2">
        <f>IF(ISBLANK(R847), 0, IF(ISTEXT(R847), VALUE(SUBSTITUTE(R847, "%", ""))/100, IF(OR(R847&lt;0, R847&gt;1), "Invalid", R847)))</f>
        <v>0.25</v>
      </c>
      <c r="AC847" s="4">
        <f>IF(AB847="Invalid", "Error", P847 * Q847 * (1 - AB847))</f>
        <v>24409.552499999998</v>
      </c>
      <c r="AD847" s="4">
        <f>IF(AC847="Error", "Error", AC847 - T847)</f>
        <v>7251.9724999999962</v>
      </c>
      <c r="AE847" s="2">
        <f>IF(AC847="Error", "Error", IF(AC847=0, 0, AD847 / AC847))</f>
        <v>0.29709567596538267</v>
      </c>
      <c r="AF847" s="7">
        <f>C847-B847</f>
        <v>4</v>
      </c>
      <c r="AG847" s="2" t="str">
        <f>TEXT(B847, "mmmm")</f>
        <v>February</v>
      </c>
      <c r="AH847" s="4">
        <f>YEAR(B847)</f>
        <v>2024</v>
      </c>
      <c r="AI847" s="2" t="str">
        <f t="shared" si="27"/>
        <v>Clean</v>
      </c>
      <c r="AJ847">
        <f>COUNTIFS($A$2:$A$1000,A847,$B$2:$B$1000,B847,$C$2:$C$1000,C847,$D$2:$D$1000,D847,$E$2:$E$1000,E847,$F$2:$F$1000,F847)</f>
        <v>1</v>
      </c>
      <c r="AK847">
        <f>COUNTIF($A$2:$A$1000, A847)</f>
        <v>1</v>
      </c>
    </row>
    <row r="848" spans="1:37">
      <c r="A848" t="s">
        <v>2609</v>
      </c>
      <c r="B848" s="5">
        <v>45396</v>
      </c>
      <c r="C848" s="5">
        <v>45404</v>
      </c>
      <c r="D848" s="6">
        <f>IF(AND(C848&lt;&gt;"",B848&lt;&gt;""), C848-B848, "Missing Date")</f>
        <v>8</v>
      </c>
      <c r="E848" s="6" t="str">
        <f>IF(OR(B848="",C848=""), "Missing Date",
    IF(C848&lt;B848, "Invalid: Ship before Order",
      "OK"))</f>
        <v>OK</v>
      </c>
      <c r="F848" t="s">
        <v>2610</v>
      </c>
      <c r="G848" t="s">
        <v>114</v>
      </c>
      <c r="H848" t="s">
        <v>37</v>
      </c>
      <c r="I848" t="s">
        <v>63</v>
      </c>
      <c r="J848" t="s">
        <v>180</v>
      </c>
      <c r="K848" t="s">
        <v>181</v>
      </c>
      <c r="L848" t="s">
        <v>41</v>
      </c>
      <c r="M848" t="s">
        <v>158</v>
      </c>
      <c r="N848" t="s">
        <v>2611</v>
      </c>
      <c r="O848" t="s">
        <v>59</v>
      </c>
      <c r="P848">
        <v>2</v>
      </c>
      <c r="Q848">
        <v>3977.52</v>
      </c>
      <c r="R848">
        <v>0</v>
      </c>
      <c r="S848">
        <v>7955.04</v>
      </c>
      <c r="T848">
        <v>5580.68</v>
      </c>
      <c r="U848">
        <v>2374.36</v>
      </c>
      <c r="V848" t="s">
        <v>111</v>
      </c>
      <c r="W848" t="s">
        <v>103</v>
      </c>
      <c r="X848" t="str">
        <f>_xlfn.TEXTJOIN("|", TRUE, A848:W848)</f>
        <v>ORD-2024-10847|45396|45404|8|OK|CUST-6522|Priya Menon|Small Business|West|Gujarat|Ahmedabad|Furniture|Bookcases|Prime Bookcases 177|Standard Class|2|3977.52|0|7955.04|5580.68|2374.36|Pending|Returned</v>
      </c>
      <c r="Y848">
        <f>COUNTIF($X$2:$X$1000, X848)</f>
        <v>1</v>
      </c>
      <c r="Z848">
        <f>COUNTIF($A$2:$A$1000, A848)</f>
        <v>1</v>
      </c>
      <c r="AA848" t="str">
        <f>IF(Y848&gt;1, "Exact Duplicate",
  IF(Z848&gt;1, "Conflicting Duplicate - Review",
    "Unique"))</f>
        <v>Unique</v>
      </c>
      <c r="AB848" s="2">
        <f>IF(ISBLANK(R848), 0, IF(ISTEXT(R848), VALUE(SUBSTITUTE(R848, "%", ""))/100, IF(OR(R848&lt;0, R848&gt;1), "Invalid", R848)))</f>
        <v>0</v>
      </c>
      <c r="AC848" s="4">
        <f>IF(AB848="Invalid", "Error", P848 * Q848 * (1 - AB848))</f>
        <v>7955.04</v>
      </c>
      <c r="AD848" s="4">
        <f>IF(AC848="Error", "Error", AC848 - T848)</f>
        <v>2374.3599999999997</v>
      </c>
      <c r="AE848" s="2">
        <f>IF(AC848="Error", "Error", IF(AC848=0, 0, AD848 / AC848))</f>
        <v>0.29847241497214339</v>
      </c>
      <c r="AF848" s="7">
        <f>C848-B848</f>
        <v>8</v>
      </c>
      <c r="AG848" s="2" t="str">
        <f>TEXT(B848, "mmmm")</f>
        <v>April</v>
      </c>
      <c r="AH848" s="4">
        <f>YEAR(B848)</f>
        <v>2024</v>
      </c>
      <c r="AI848" s="2" t="str">
        <f t="shared" si="27"/>
        <v>Clean</v>
      </c>
      <c r="AJ848">
        <f>COUNTIFS($A$2:$A$1000,A848,$B$2:$B$1000,B848,$C$2:$C$1000,C848,$D$2:$D$1000,D848,$E$2:$E$1000,E848,$F$2:$F$1000,F848)</f>
        <v>1</v>
      </c>
      <c r="AK848">
        <f>COUNTIF($A$2:$A$1000, A848)</f>
        <v>1</v>
      </c>
    </row>
    <row r="849" spans="1:37">
      <c r="A849" t="s">
        <v>2612</v>
      </c>
      <c r="B849" s="5">
        <v>45797</v>
      </c>
      <c r="C849" s="5">
        <v>45799</v>
      </c>
      <c r="D849" s="6">
        <f>IF(AND(C849&lt;&gt;"",B849&lt;&gt;""), C849-B849, "Missing Date")</f>
        <v>2</v>
      </c>
      <c r="E849" s="6" t="str">
        <f>IF(OR(B849="",C849=""), "Missing Date",
    IF(C849&lt;B849, "Invalid: Ship before Order",
      "OK"))</f>
        <v>OK</v>
      </c>
      <c r="F849" t="s">
        <v>2613</v>
      </c>
      <c r="G849" t="s">
        <v>162</v>
      </c>
      <c r="H849" t="s">
        <v>95</v>
      </c>
      <c r="I849" t="s">
        <v>38</v>
      </c>
      <c r="J849" t="s">
        <v>39</v>
      </c>
      <c r="K849" t="s">
        <v>40</v>
      </c>
      <c r="L849" t="s">
        <v>41</v>
      </c>
      <c r="M849" t="s">
        <v>42</v>
      </c>
      <c r="N849" t="s">
        <v>2614</v>
      </c>
      <c r="O849" t="s">
        <v>31</v>
      </c>
      <c r="P849">
        <v>2</v>
      </c>
      <c r="Q849">
        <v>210.08</v>
      </c>
      <c r="R849">
        <v>0.2</v>
      </c>
      <c r="S849">
        <v>336.13</v>
      </c>
      <c r="T849">
        <v>242.19</v>
      </c>
      <c r="U849">
        <v>93.94</v>
      </c>
      <c r="V849" t="s">
        <v>32</v>
      </c>
      <c r="W849" t="s">
        <v>33</v>
      </c>
      <c r="X849" t="str">
        <f>_xlfn.TEXTJOIN("|", TRUE, A849:W849)</f>
        <v>ORD-2025-10848|45797|45799|2|OK|CUST-8329|Diya Patel|Home Office|East|Odisha|Bhubaneswar|Furniture|Tables|Pro Tables 828|Second Class|2|210.08|0.2|336.13|242.19|93.94|Paid|Completed</v>
      </c>
      <c r="Y849">
        <f>COUNTIF($X$2:$X$1000, X849)</f>
        <v>1</v>
      </c>
      <c r="Z849">
        <f>COUNTIF($A$2:$A$1000, A849)</f>
        <v>1</v>
      </c>
      <c r="AA849" t="str">
        <f>IF(Y849&gt;1, "Exact Duplicate",
  IF(Z849&gt;1, "Conflicting Duplicate - Review",
    "Unique"))</f>
        <v>Unique</v>
      </c>
      <c r="AB849" s="2">
        <f>IF(ISBLANK(R849), 0, IF(ISTEXT(R849), VALUE(SUBSTITUTE(R849, "%", ""))/100, IF(OR(R849&lt;0, R849&gt;1), "Invalid", R849)))</f>
        <v>0.2</v>
      </c>
      <c r="AC849" s="4">
        <f>IF(AB849="Invalid", "Error", P849 * Q849 * (1 - AB849))</f>
        <v>336.12800000000004</v>
      </c>
      <c r="AD849" s="4">
        <f>IF(AC849="Error", "Error", AC849 - T849)</f>
        <v>93.938000000000045</v>
      </c>
      <c r="AE849" s="2">
        <f>IF(AC849="Error", "Error", IF(AC849=0, 0, AD849 / AC849))</f>
        <v>0.27947091584158423</v>
      </c>
      <c r="AF849" s="7">
        <f>C849-B849</f>
        <v>2</v>
      </c>
      <c r="AG849" s="2" t="str">
        <f>TEXT(B849, "mmmm")</f>
        <v>May</v>
      </c>
      <c r="AH849" s="4">
        <f>YEAR(B849)</f>
        <v>2025</v>
      </c>
      <c r="AI849" s="2" t="str">
        <f t="shared" si="27"/>
        <v>Clean</v>
      </c>
      <c r="AJ849">
        <f>COUNTIFS($A$2:$A$1000,A849,$B$2:$B$1000,B849,$C$2:$C$1000,C849,$D$2:$D$1000,D849,$E$2:$E$1000,E849,$F$2:$F$1000,F849)</f>
        <v>1</v>
      </c>
      <c r="AK849">
        <f>COUNTIF($A$2:$A$1000, A849)</f>
        <v>1</v>
      </c>
    </row>
    <row r="850" spans="1:37">
      <c r="A850" t="s">
        <v>2615</v>
      </c>
      <c r="B850" s="5">
        <v>45804</v>
      </c>
      <c r="C850" s="5">
        <v>45806</v>
      </c>
      <c r="D850" s="6">
        <f>IF(AND(C850&lt;&gt;"",B850&lt;&gt;""), C850-B850, "Missing Date")</f>
        <v>2</v>
      </c>
      <c r="E850" s="6" t="str">
        <f>IF(OR(B850="",C850=""), "Missing Date",
    IF(C850&lt;B850, "Invalid: Ship before Order",
      "OK"))</f>
        <v>OK</v>
      </c>
      <c r="F850" t="s">
        <v>2616</v>
      </c>
      <c r="G850" t="s">
        <v>118</v>
      </c>
      <c r="H850" t="s">
        <v>95</v>
      </c>
      <c r="I850" t="s">
        <v>54</v>
      </c>
      <c r="J850" t="s">
        <v>247</v>
      </c>
      <c r="K850" t="s">
        <v>248</v>
      </c>
      <c r="L850" t="s">
        <v>41</v>
      </c>
      <c r="M850" t="s">
        <v>57</v>
      </c>
      <c r="N850" t="s">
        <v>2617</v>
      </c>
      <c r="O850" t="s">
        <v>31</v>
      </c>
      <c r="P850">
        <v>1</v>
      </c>
      <c r="Q850">
        <v>1744.35</v>
      </c>
      <c r="R850">
        <v>0.25</v>
      </c>
      <c r="S850">
        <v>1308.26</v>
      </c>
      <c r="T850">
        <v>1083.56</v>
      </c>
      <c r="U850">
        <v>224.7</v>
      </c>
      <c r="V850" t="s">
        <v>32</v>
      </c>
      <c r="W850" t="s">
        <v>33</v>
      </c>
      <c r="X850" t="str">
        <f>_xlfn.TEXTJOIN("|", TRUE, A850:W850)</f>
        <v>ORD-2025-10849|45804|45806|2|OK|CUST-4426|Rahul Verma|Home Office|South|Tamil Nadu|Chennai|Furniture|Furnishings|Elite Furnishings 480|Second Class|1|1744.35|0.25|1308.26|1083.56|224.7|Paid|Completed</v>
      </c>
      <c r="Y850">
        <f>COUNTIF($X$2:$X$1000, X850)</f>
        <v>1</v>
      </c>
      <c r="Z850">
        <f>COUNTIF($A$2:$A$1000, A850)</f>
        <v>1</v>
      </c>
      <c r="AA850" t="str">
        <f>IF(Y850&gt;1, "Exact Duplicate",
  IF(Z850&gt;1, "Conflicting Duplicate - Review",
    "Unique"))</f>
        <v>Unique</v>
      </c>
      <c r="AB850" s="2">
        <f>IF(ISBLANK(R850), 0, IF(ISTEXT(R850), VALUE(SUBSTITUTE(R850, "%", ""))/100, IF(OR(R850&lt;0, R850&gt;1), "Invalid", R850)))</f>
        <v>0.25</v>
      </c>
      <c r="AC850" s="4">
        <f>IF(AB850="Invalid", "Error", P850 * Q850 * (1 - AB850))</f>
        <v>1308.2624999999998</v>
      </c>
      <c r="AD850" s="4">
        <f>IF(AC850="Error", "Error", AC850 - T850)</f>
        <v>224.70249999999987</v>
      </c>
      <c r="AE850" s="2">
        <f>IF(AC850="Error", "Error", IF(AC850=0, 0, AD850 / AC850))</f>
        <v>0.17175643267310645</v>
      </c>
      <c r="AF850" s="7">
        <f>C850-B850</f>
        <v>2</v>
      </c>
      <c r="AG850" s="2" t="str">
        <f>TEXT(B850, "mmmm")</f>
        <v>May</v>
      </c>
      <c r="AH850" s="4">
        <f>YEAR(B850)</f>
        <v>2025</v>
      </c>
      <c r="AI850" s="2" t="str">
        <f t="shared" si="27"/>
        <v>Clean</v>
      </c>
      <c r="AJ850">
        <f>COUNTIFS($A$2:$A$1000,A850,$B$2:$B$1000,B850,$C$2:$C$1000,C850,$D$2:$D$1000,D850,$E$2:$E$1000,E850,$F$2:$F$1000,F850)</f>
        <v>1</v>
      </c>
      <c r="AK850">
        <f>COUNTIF($A$2:$A$1000, A850)</f>
        <v>1</v>
      </c>
    </row>
    <row r="851" spans="1:37">
      <c r="A851" t="s">
        <v>2618</v>
      </c>
      <c r="B851" s="5">
        <v>45357</v>
      </c>
      <c r="C851" s="5">
        <v>45363</v>
      </c>
      <c r="D851" s="6">
        <f>IF(AND(C851&lt;&gt;"",B851&lt;&gt;""), C851-B851, "Missing Date")</f>
        <v>6</v>
      </c>
      <c r="E851" s="6" t="str">
        <f>IF(OR(B851="",C851=""), "Missing Date",
    IF(C851&lt;B851, "Invalid: Ship before Order",
      "OK"))</f>
        <v>OK</v>
      </c>
      <c r="F851" t="s">
        <v>2619</v>
      </c>
      <c r="G851" t="s">
        <v>47</v>
      </c>
      <c r="H851" t="s">
        <v>95</v>
      </c>
      <c r="I851" t="s">
        <v>63</v>
      </c>
      <c r="J851" t="s">
        <v>180</v>
      </c>
      <c r="K851" t="s">
        <v>181</v>
      </c>
      <c r="L851" t="s">
        <v>41</v>
      </c>
      <c r="M851" t="s">
        <v>158</v>
      </c>
      <c r="N851" t="s">
        <v>2620</v>
      </c>
      <c r="O851" t="s">
        <v>59</v>
      </c>
      <c r="P851">
        <v>3</v>
      </c>
      <c r="Q851">
        <v>679.63</v>
      </c>
      <c r="R851">
        <v>0.2</v>
      </c>
      <c r="S851">
        <v>1631.11</v>
      </c>
      <c r="T851">
        <v>898.73</v>
      </c>
      <c r="U851">
        <v>396.58</v>
      </c>
      <c r="V851" t="s">
        <v>32</v>
      </c>
      <c r="W851" t="s">
        <v>33</v>
      </c>
      <c r="X851" t="str">
        <f>_xlfn.TEXTJOIN("|", TRUE, A851:W851)</f>
        <v>ORD-2024-10850|45357|45363|6|OK|CUST-3360|Isha Nair|Home Office|West|Gujarat|Ahmedabad|Furniture|Bookcases|Prime Bookcases 755|Standard Class|3|679.63|0.2|1631.11|898.73|396.58|Paid|Completed</v>
      </c>
      <c r="Y851">
        <f>COUNTIF($X$2:$X$1000, X851)</f>
        <v>1</v>
      </c>
      <c r="Z851">
        <f>COUNTIF($A$2:$A$1000, A851)</f>
        <v>2</v>
      </c>
      <c r="AA851" t="str">
        <f>IF(Y851&gt;1, "Exact Duplicate",
  IF(Z851&gt;1, "Conflicting Duplicate - Review",
    "Unique"))</f>
        <v>Conflicting Duplicate - Review</v>
      </c>
      <c r="AB851" s="2">
        <f>IF(ISBLANK(R851), 0, IF(ISTEXT(R851), VALUE(SUBSTITUTE(R851, "%", ""))/100, IF(OR(R851&lt;0, R851&gt;1), "Invalid", R851)))</f>
        <v>0.2</v>
      </c>
      <c r="AC851" s="4">
        <f>IF(AB851="Invalid", "Error", P851 * Q851 * (1 - AB851))</f>
        <v>1631.1120000000001</v>
      </c>
      <c r="AD851" s="4">
        <f>IF(AC851="Error", "Error", AC851 - T851)</f>
        <v>732.38200000000006</v>
      </c>
      <c r="AE851" s="2">
        <f>IF(AC851="Error", "Error", IF(AC851=0, 0, AD851 / AC851))</f>
        <v>0.44900779345624336</v>
      </c>
      <c r="AF851" s="7">
        <f>C851-B851</f>
        <v>6</v>
      </c>
      <c r="AG851" s="2" t="str">
        <f>TEXT(B851, "mmmm")</f>
        <v>March</v>
      </c>
      <c r="AH851" s="4">
        <f>YEAR(B851)</f>
        <v>2024</v>
      </c>
      <c r="AI851" s="2" t="str">
        <f t="shared" si="27"/>
        <v>Clean</v>
      </c>
      <c r="AJ851">
        <f>COUNTIFS($A$2:$A$1000,A851,$B$2:$B$1000,B851,$C$2:$C$1000,C851,$D$2:$D$1000,D851,$E$2:$E$1000,E851,$F$2:$F$1000,F851)</f>
        <v>2</v>
      </c>
      <c r="AK851">
        <f>COUNTIF($A$2:$A$1000, A851)</f>
        <v>2</v>
      </c>
    </row>
    <row r="852" spans="1:37">
      <c r="A852" t="s">
        <v>2621</v>
      </c>
      <c r="B852" s="5">
        <v>45473</v>
      </c>
      <c r="C852" s="5">
        <v>45476</v>
      </c>
      <c r="D852" s="6">
        <f>IF(AND(C852&lt;&gt;"",B852&lt;&gt;""), C852-B852, "Missing Date")</f>
        <v>3</v>
      </c>
      <c r="E852" s="6" t="str">
        <f>IF(OR(B852="",C852=""), "Missing Date",
    IF(C852&lt;B852, "Invalid: Ship before Order",
      "OK"))</f>
        <v>OK</v>
      </c>
      <c r="F852" t="s">
        <v>2622</v>
      </c>
      <c r="G852" t="s">
        <v>114</v>
      </c>
      <c r="H852" t="s">
        <v>95</v>
      </c>
      <c r="I852" t="s">
        <v>38</v>
      </c>
      <c r="J852" t="s">
        <v>99</v>
      </c>
      <c r="K852" t="s">
        <v>100</v>
      </c>
      <c r="L852" t="s">
        <v>28</v>
      </c>
      <c r="M852" t="s">
        <v>29</v>
      </c>
      <c r="N852" t="s">
        <v>2623</v>
      </c>
      <c r="O852" t="s">
        <v>50</v>
      </c>
      <c r="P852">
        <v>6</v>
      </c>
      <c r="Q852">
        <v>1211.01</v>
      </c>
      <c r="R852">
        <v>0</v>
      </c>
      <c r="S852">
        <v>7266.06</v>
      </c>
      <c r="T852">
        <v>6216.89</v>
      </c>
      <c r="U852">
        <v>1049.17</v>
      </c>
      <c r="V852" t="s">
        <v>32</v>
      </c>
      <c r="W852" t="s">
        <v>33</v>
      </c>
      <c r="X852" t="str">
        <f>_xlfn.TEXTJOIN("|", TRUE, A852:W852)</f>
        <v>ORD-2024-10851|45473|45476|3|OK|CUST-2623|Priya Menon|Home Office|East|West Bengal|Kolkata|Office Supplies|Paper|Prime Paper 317|First Class|6|1211.01|0|7266.06|6216.89|1049.17|Paid|Completed</v>
      </c>
      <c r="Y852">
        <f>COUNTIF($X$2:$X$1000, X852)</f>
        <v>1</v>
      </c>
      <c r="Z852">
        <f>COUNTIF($A$2:$A$1000, A852)</f>
        <v>1</v>
      </c>
      <c r="AA852" t="str">
        <f>IF(Y852&gt;1, "Exact Duplicate",
  IF(Z852&gt;1, "Conflicting Duplicate - Review",
    "Unique"))</f>
        <v>Unique</v>
      </c>
      <c r="AB852" s="2">
        <f>IF(ISBLANK(R852), 0, IF(ISTEXT(R852), VALUE(SUBSTITUTE(R852, "%", ""))/100, IF(OR(R852&lt;0, R852&gt;1), "Invalid", R852)))</f>
        <v>0</v>
      </c>
      <c r="AC852" s="4">
        <f>IF(AB852="Invalid", "Error", P852 * Q852 * (1 - AB852))</f>
        <v>7266.0599999999995</v>
      </c>
      <c r="AD852" s="4">
        <f>IF(AC852="Error", "Error", AC852 - T852)</f>
        <v>1049.1699999999992</v>
      </c>
      <c r="AE852" s="2">
        <f>IF(AC852="Error", "Error", IF(AC852=0, 0, AD852 / AC852))</f>
        <v>0.14439324750965438</v>
      </c>
      <c r="AF852" s="7">
        <f>C852-B852</f>
        <v>3</v>
      </c>
      <c r="AG852" s="2" t="str">
        <f>TEXT(B852, "mmmm")</f>
        <v>June</v>
      </c>
      <c r="AH852" s="4">
        <f>YEAR(B852)</f>
        <v>2024</v>
      </c>
      <c r="AI852" s="2" t="str">
        <f t="shared" si="27"/>
        <v>Clean</v>
      </c>
      <c r="AJ852">
        <f>COUNTIFS($A$2:$A$1000,A852,$B$2:$B$1000,B852,$C$2:$C$1000,C852,$D$2:$D$1000,D852,$E$2:$E$1000,E852,$F$2:$F$1000,F852)</f>
        <v>1</v>
      </c>
      <c r="AK852">
        <f>COUNTIF($A$2:$A$1000, A852)</f>
        <v>1</v>
      </c>
    </row>
    <row r="853" spans="1:37">
      <c r="A853" t="s">
        <v>2624</v>
      </c>
      <c r="B853" s="5">
        <v>45377</v>
      </c>
      <c r="C853" s="5">
        <v>45383</v>
      </c>
      <c r="D853" s="6">
        <f>IF(AND(C853&lt;&gt;"",B853&lt;&gt;""), C853-B853, "Missing Date")</f>
        <v>6</v>
      </c>
      <c r="E853" s="6" t="str">
        <f>IF(OR(B853="",C853=""), "Missing Date",
    IF(C853&lt;B853, "Invalid: Ship before Order",
      "OK"))</f>
        <v>OK</v>
      </c>
      <c r="F853" t="s">
        <v>2625</v>
      </c>
      <c r="G853" t="s">
        <v>23</v>
      </c>
      <c r="H853" t="s">
        <v>37</v>
      </c>
      <c r="I853" t="s">
        <v>63</v>
      </c>
      <c r="J853" t="s">
        <v>180</v>
      </c>
      <c r="K853" t="s">
        <v>181</v>
      </c>
      <c r="L853" t="s">
        <v>74</v>
      </c>
      <c r="M853" t="s">
        <v>75</v>
      </c>
      <c r="N853" t="s">
        <v>2626</v>
      </c>
      <c r="O853" t="s">
        <v>50</v>
      </c>
      <c r="P853">
        <v>2</v>
      </c>
      <c r="Q853">
        <v>1161.3</v>
      </c>
      <c r="R853">
        <v>0.2</v>
      </c>
      <c r="S853">
        <v>1858.08</v>
      </c>
      <c r="T853">
        <v>1590.75</v>
      </c>
      <c r="U853">
        <v>267.33</v>
      </c>
      <c r="V853" t="s">
        <v>32</v>
      </c>
      <c r="W853" t="s">
        <v>33</v>
      </c>
      <c r="X853" t="str">
        <f>_xlfn.TEXTJOIN("|", TRUE, A853:W853)</f>
        <v>ORD-2024-10852|45377|45383|6|OK|CUST-3175|Karan Malhotra|Small Business|West|Gujarat|Ahmedabad|Technology|Accessories|Classic Accessories 933|First Class|2|1161.3|0.2|1858.08|1590.75|267.33|Paid|Completed</v>
      </c>
      <c r="Y853">
        <f>COUNTIF($X$2:$X$1000, X853)</f>
        <v>1</v>
      </c>
      <c r="Z853">
        <f>COUNTIF($A$2:$A$1000, A853)</f>
        <v>1</v>
      </c>
      <c r="AA853" t="str">
        <f>IF(Y853&gt;1, "Exact Duplicate",
  IF(Z853&gt;1, "Conflicting Duplicate - Review",
    "Unique"))</f>
        <v>Unique</v>
      </c>
      <c r="AB853" s="2">
        <f>IF(ISBLANK(R853), 0, IF(ISTEXT(R853), VALUE(SUBSTITUTE(R853, "%", ""))/100, IF(OR(R853&lt;0, R853&gt;1), "Invalid", R853)))</f>
        <v>0.2</v>
      </c>
      <c r="AC853" s="4">
        <f>IF(AB853="Invalid", "Error", P853 * Q853 * (1 - AB853))</f>
        <v>1858.08</v>
      </c>
      <c r="AD853" s="4">
        <f>IF(AC853="Error", "Error", AC853 - T853)</f>
        <v>267.32999999999993</v>
      </c>
      <c r="AE853" s="2">
        <f>IF(AC853="Error", "Error", IF(AC853=0, 0, AD853 / AC853))</f>
        <v>0.14387432188065097</v>
      </c>
      <c r="AF853" s="7">
        <f>C853-B853</f>
        <v>6</v>
      </c>
      <c r="AG853" s="2" t="str">
        <f>TEXT(B853, "mmmm")</f>
        <v>March</v>
      </c>
      <c r="AH853" s="4">
        <f>YEAR(B853)</f>
        <v>2024</v>
      </c>
      <c r="AI853" s="2" t="str">
        <f t="shared" si="27"/>
        <v>Clean</v>
      </c>
      <c r="AJ853">
        <f>COUNTIFS($A$2:$A$1000,A853,$B$2:$B$1000,B853,$C$2:$C$1000,C853,$D$2:$D$1000,D853,$E$2:$E$1000,E853,$F$2:$F$1000,F853)</f>
        <v>1</v>
      </c>
      <c r="AK853">
        <f>COUNTIF($A$2:$A$1000, A853)</f>
        <v>1</v>
      </c>
    </row>
    <row r="854" spans="1:37">
      <c r="A854" t="s">
        <v>2627</v>
      </c>
      <c r="B854" s="5">
        <v>45383</v>
      </c>
      <c r="C854" s="5">
        <v>45390</v>
      </c>
      <c r="D854" s="6">
        <f>IF(AND(C854&lt;&gt;"",B854&lt;&gt;""), C854-B854, "Missing Date")</f>
        <v>7</v>
      </c>
      <c r="E854" s="6" t="str">
        <f>IF(OR(B854="",C854=""), "Missing Date",
    IF(C854&lt;B854, "Invalid: Ship before Order",
      "OK"))</f>
        <v>OK</v>
      </c>
      <c r="F854" t="s">
        <v>2628</v>
      </c>
      <c r="G854" t="s">
        <v>62</v>
      </c>
      <c r="H854" t="s">
        <v>24</v>
      </c>
      <c r="I854" t="s">
        <v>38</v>
      </c>
      <c r="J854" t="s">
        <v>166</v>
      </c>
      <c r="K854" t="s">
        <v>167</v>
      </c>
      <c r="L854" t="s">
        <v>41</v>
      </c>
      <c r="M854" t="s">
        <v>42</v>
      </c>
      <c r="N854" t="s">
        <v>2629</v>
      </c>
      <c r="O854" t="s">
        <v>31</v>
      </c>
      <c r="P854">
        <v>7</v>
      </c>
      <c r="Q854">
        <v>4205.3500000000004</v>
      </c>
      <c r="R854">
        <v>0.15</v>
      </c>
      <c r="S854">
        <v>25021.83</v>
      </c>
      <c r="T854">
        <v>15544.44</v>
      </c>
      <c r="U854">
        <v>9477.39</v>
      </c>
      <c r="V854" t="s">
        <v>111</v>
      </c>
      <c r="W854" t="s">
        <v>68</v>
      </c>
      <c r="X854" t="str">
        <f>_xlfn.TEXTJOIN("|", TRUE, A854:W854)</f>
        <v>ORD-2024-10853|45383|45390|7|OK|CUST-9630|Ananya Rao|Consumer|East|Assam|Guwahati|Furniture|Tables|Smart Tables 513|Second Class|7|4205.35|0.15|25021.83|15544.44|9477.39|Pending|Cancelled</v>
      </c>
      <c r="Y854">
        <f>COUNTIF($X$2:$X$1000, X854)</f>
        <v>1</v>
      </c>
      <c r="Z854">
        <f>COUNTIF($A$2:$A$1000, A854)</f>
        <v>1</v>
      </c>
      <c r="AA854" t="str">
        <f>IF(Y854&gt;1, "Exact Duplicate",
  IF(Z854&gt;1, "Conflicting Duplicate - Review",
    "Unique"))</f>
        <v>Unique</v>
      </c>
      <c r="AB854" s="2">
        <f>IF(ISBLANK(R854), 0, IF(ISTEXT(R854), VALUE(SUBSTITUTE(R854, "%", ""))/100, IF(OR(R854&lt;0, R854&gt;1), "Invalid", R854)))</f>
        <v>0.15</v>
      </c>
      <c r="AC854" s="4">
        <f>IF(AB854="Invalid", "Error", P854 * Q854 * (1 - AB854))</f>
        <v>25021.832500000004</v>
      </c>
      <c r="AD854" s="4">
        <f>IF(AC854="Error", "Error", AC854 - T854)</f>
        <v>9477.3925000000036</v>
      </c>
      <c r="AE854" s="2">
        <f>IF(AC854="Error", "Error", IF(AC854=0, 0, AD854 / AC854))</f>
        <v>0.37876492459135447</v>
      </c>
      <c r="AF854" s="7">
        <f>C854-B854</f>
        <v>7</v>
      </c>
      <c r="AG854" s="2" t="str">
        <f>TEXT(B854, "mmmm")</f>
        <v>April</v>
      </c>
      <c r="AH854" s="4">
        <f>YEAR(B854)</f>
        <v>2024</v>
      </c>
      <c r="AI854" s="2" t="str">
        <f t="shared" si="27"/>
        <v>Excluded from Sales</v>
      </c>
      <c r="AJ854">
        <f>COUNTIFS($A$2:$A$1000,A854,$B$2:$B$1000,B854,$C$2:$C$1000,C854,$D$2:$D$1000,D854,$E$2:$E$1000,E854,$F$2:$F$1000,F854)</f>
        <v>1</v>
      </c>
      <c r="AK854">
        <f>COUNTIF($A$2:$A$1000, A854)</f>
        <v>1</v>
      </c>
    </row>
    <row r="855" spans="1:37">
      <c r="A855" t="s">
        <v>2630</v>
      </c>
      <c r="B855" s="5">
        <v>45793</v>
      </c>
      <c r="C855" s="5">
        <v>45799</v>
      </c>
      <c r="D855" s="6">
        <f>IF(AND(C855&lt;&gt;"",B855&lt;&gt;""), C855-B855, "Missing Date")</f>
        <v>6</v>
      </c>
      <c r="E855" s="6" t="str">
        <f>IF(OR(B855="",C855=""), "Missing Date",
    IF(C855&lt;B855, "Invalid: Ship before Order",
      "OK"))</f>
        <v>OK</v>
      </c>
      <c r="F855" t="s">
        <v>2631</v>
      </c>
      <c r="G855" t="s">
        <v>53</v>
      </c>
      <c r="H855" t="s">
        <v>90</v>
      </c>
      <c r="I855" t="s">
        <v>54</v>
      </c>
      <c r="J855" t="s">
        <v>247</v>
      </c>
      <c r="K855" t="s">
        <v>248</v>
      </c>
      <c r="L855" t="s">
        <v>74</v>
      </c>
      <c r="M855" t="s">
        <v>75</v>
      </c>
      <c r="N855" t="s">
        <v>2632</v>
      </c>
      <c r="O855" t="s">
        <v>44</v>
      </c>
      <c r="P855">
        <v>8</v>
      </c>
      <c r="Q855">
        <v>579.79999999999995</v>
      </c>
      <c r="R855">
        <v>0.2</v>
      </c>
      <c r="S855">
        <v>3710.72</v>
      </c>
      <c r="T855">
        <v>3115.29</v>
      </c>
      <c r="U855">
        <v>595.42999999999995</v>
      </c>
      <c r="V855" t="s">
        <v>32</v>
      </c>
      <c r="W855" t="s">
        <v>33</v>
      </c>
      <c r="X855" t="str">
        <f>_xlfn.TEXTJOIN("|", TRUE, A855:W855)</f>
        <v>ORD-2025-10854|45793|45799|6|OK|CUST-8274|Arjun Bose|Corporate|South|Tamil Nadu|Chennai|Technology|Accessories|Elite Accessories 708|Same Day|8|579.8|0.2|3710.72|3115.29|595.43|Paid|Completed</v>
      </c>
      <c r="Y855">
        <f>COUNTIF($X$2:$X$1000, X855)</f>
        <v>1</v>
      </c>
      <c r="Z855">
        <f>COUNTIF($A$2:$A$1000, A855)</f>
        <v>1</v>
      </c>
      <c r="AA855" t="str">
        <f>IF(Y855&gt;1, "Exact Duplicate",
  IF(Z855&gt;1, "Conflicting Duplicate - Review",
    "Unique"))</f>
        <v>Unique</v>
      </c>
      <c r="AB855" s="2">
        <f>IF(ISBLANK(R855), 0, IF(ISTEXT(R855), VALUE(SUBSTITUTE(R855, "%", ""))/100, IF(OR(R855&lt;0, R855&gt;1), "Invalid", R855)))</f>
        <v>0.2</v>
      </c>
      <c r="AC855" s="4">
        <f>IF(AB855="Invalid", "Error", P855 * Q855 * (1 - AB855))</f>
        <v>3710.72</v>
      </c>
      <c r="AD855" s="4">
        <f>IF(AC855="Error", "Error", AC855 - T855)</f>
        <v>595.42999999999984</v>
      </c>
      <c r="AE855" s="2">
        <f>IF(AC855="Error", "Error", IF(AC855=0, 0, AD855 / AC855))</f>
        <v>0.16046212055881334</v>
      </c>
      <c r="AF855" s="7">
        <f>C855-B855</f>
        <v>6</v>
      </c>
      <c r="AG855" s="2" t="str">
        <f>TEXT(B855, "mmmm")</f>
        <v>May</v>
      </c>
      <c r="AH855" s="4">
        <f>YEAR(B855)</f>
        <v>2025</v>
      </c>
      <c r="AI855" s="2" t="str">
        <f t="shared" si="27"/>
        <v>Clean</v>
      </c>
      <c r="AJ855">
        <f>COUNTIFS($A$2:$A$1000,A855,$B$2:$B$1000,B855,$C$2:$C$1000,C855,$D$2:$D$1000,D855,$E$2:$E$1000,E855,$F$2:$F$1000,F855)</f>
        <v>1</v>
      </c>
      <c r="AK855">
        <f>COUNTIF($A$2:$A$1000, A855)</f>
        <v>1</v>
      </c>
    </row>
    <row r="856" spans="1:37">
      <c r="A856" t="s">
        <v>2633</v>
      </c>
      <c r="B856" s="5">
        <v>45741</v>
      </c>
      <c r="C856" s="5">
        <v>45692</v>
      </c>
      <c r="D856" s="6">
        <f>IF(AND(C856&lt;&gt;"",B856&lt;&gt;""), C856-B856, "Missing Date")</f>
        <v>-49</v>
      </c>
      <c r="E856" s="6" t="str">
        <f>IF(OR(B856="",C856=""), "Missing Date",
    IF(C856&lt;B856, "Invalid: Ship before Order",
      "OK"))</f>
        <v>Invalid: Ship before Order</v>
      </c>
      <c r="F856" t="s">
        <v>2634</v>
      </c>
      <c r="G856" t="s">
        <v>114</v>
      </c>
      <c r="H856" t="s">
        <v>24</v>
      </c>
      <c r="I856" t="s">
        <v>54</v>
      </c>
      <c r="J856" t="s">
        <v>175</v>
      </c>
      <c r="K856" t="s">
        <v>176</v>
      </c>
      <c r="L856" t="s">
        <v>41</v>
      </c>
      <c r="M856" t="s">
        <v>158</v>
      </c>
      <c r="N856" t="s">
        <v>2635</v>
      </c>
      <c r="O856" t="s">
        <v>31</v>
      </c>
      <c r="P856">
        <v>4</v>
      </c>
      <c r="Q856">
        <v>2233.64</v>
      </c>
      <c r="R856">
        <v>0.05</v>
      </c>
      <c r="S856">
        <v>8487.83</v>
      </c>
      <c r="T856">
        <v>5245.72</v>
      </c>
      <c r="U856">
        <v>3242.11</v>
      </c>
      <c r="V856" t="s">
        <v>32</v>
      </c>
      <c r="W856" t="s">
        <v>33</v>
      </c>
      <c r="X856" t="str">
        <f>_xlfn.TEXTJOIN("|", TRUE, A856:W856)</f>
        <v>ORD-2025-10855|45741|45692|-49|Invalid: Ship before Order|CUST-2514|Priya Menon|Consumer|South|Karnataka|Bengaluru|Furniture|Bookcases|Max Bookcases 381|Second Class|4|2233.64|0.05|8487.83|5245.72|3242.11|Paid|Completed</v>
      </c>
      <c r="Y856">
        <f>COUNTIF($X$2:$X$1000, X856)</f>
        <v>1</v>
      </c>
      <c r="Z856">
        <f>COUNTIF($A$2:$A$1000, A856)</f>
        <v>1</v>
      </c>
      <c r="AA856" t="str">
        <f>IF(Y856&gt;1, "Exact Duplicate",
  IF(Z856&gt;1, "Conflicting Duplicate - Review",
    "Unique"))</f>
        <v>Unique</v>
      </c>
      <c r="AB856" s="2">
        <f>IF(ISBLANK(R856), 0, IF(ISTEXT(R856), VALUE(SUBSTITUTE(R856, "%", ""))/100, IF(OR(R856&lt;0, R856&gt;1), "Invalid", R856)))</f>
        <v>0.05</v>
      </c>
      <c r="AC856" s="4">
        <f>IF(AB856="Invalid", "Error", P856 * Q856 * (1 - AB856))</f>
        <v>8487.8319999999985</v>
      </c>
      <c r="AD856" s="4">
        <f>IF(AC856="Error", "Error", AC856 - T856)</f>
        <v>3242.1119999999983</v>
      </c>
      <c r="AE856" s="2">
        <f>IF(AC856="Error", "Error", IF(AC856=0, 0, AD856 / AC856))</f>
        <v>0.38197174496384928</v>
      </c>
      <c r="AF856" s="7">
        <f>C856-B856</f>
        <v>-49</v>
      </c>
      <c r="AG856" s="2" t="str">
        <f>TEXT(B856, "mmmm")</f>
        <v>March</v>
      </c>
      <c r="AH856" s="4">
        <f>YEAR(B856)</f>
        <v>2025</v>
      </c>
      <c r="AI856" s="2" t="str">
        <f t="shared" si="27"/>
        <v>Invalid Shipping Record</v>
      </c>
      <c r="AJ856">
        <f>COUNTIFS($A$2:$A$1000,A856,$B$2:$B$1000,B856,$C$2:$C$1000,C856,$D$2:$D$1000,D856,$E$2:$E$1000,E856,$F$2:$F$1000,F856)</f>
        <v>1</v>
      </c>
      <c r="AK856">
        <f>COUNTIF($A$2:$A$1000, A856)</f>
        <v>1</v>
      </c>
    </row>
    <row r="857" spans="1:37">
      <c r="A857" t="s">
        <v>2636</v>
      </c>
      <c r="B857" s="5">
        <v>45498</v>
      </c>
      <c r="C857" s="5">
        <v>45506</v>
      </c>
      <c r="D857" s="6">
        <f>IF(AND(C857&lt;&gt;"",B857&lt;&gt;""), C857-B857, "Missing Date")</f>
        <v>8</v>
      </c>
      <c r="E857" s="6" t="str">
        <f>IF(OR(B857="",C857=""), "Missing Date",
    IF(C857&lt;B857, "Invalid: Ship before Order",
      "OK"))</f>
        <v>OK</v>
      </c>
      <c r="F857" t="s">
        <v>1121</v>
      </c>
      <c r="G857" t="s">
        <v>118</v>
      </c>
      <c r="H857" t="s">
        <v>24</v>
      </c>
      <c r="I857" t="s">
        <v>25</v>
      </c>
      <c r="J857" t="s">
        <v>26</v>
      </c>
      <c r="K857" t="s">
        <v>27</v>
      </c>
      <c r="L857" t="s">
        <v>28</v>
      </c>
      <c r="M857" t="s">
        <v>91</v>
      </c>
      <c r="N857" t="s">
        <v>2637</v>
      </c>
      <c r="O857" t="s">
        <v>31</v>
      </c>
      <c r="P857">
        <v>2</v>
      </c>
      <c r="Q857">
        <v>2073.5300000000002</v>
      </c>
      <c r="R857">
        <v>0.25</v>
      </c>
      <c r="S857">
        <v>3110.3</v>
      </c>
      <c r="T857">
        <v>2101.0300000000002</v>
      </c>
      <c r="U857">
        <v>1009.27</v>
      </c>
      <c r="V857" t="s">
        <v>32</v>
      </c>
      <c r="W857" t="s">
        <v>33</v>
      </c>
      <c r="X857" t="str">
        <f>_xlfn.TEXTJOIN("|", TRUE, A857:W857)</f>
        <v>ORD-2024-10856|45498|45506|8|OK|CUST-2752|Rahul Verma|Consumer|North|Rajasthan|Jaipur|Office Supplies|Labels|Classic Labels 215|Second Class|2|2073.53|0.25|3110.3|2101.03|1009.27|Paid|Completed</v>
      </c>
      <c r="Y857">
        <f>COUNTIF($X$2:$X$1000, X857)</f>
        <v>1</v>
      </c>
      <c r="Z857">
        <f>COUNTIF($A$2:$A$1000, A857)</f>
        <v>1</v>
      </c>
      <c r="AA857" t="str">
        <f>IF(Y857&gt;1, "Exact Duplicate",
  IF(Z857&gt;1, "Conflicting Duplicate - Review",
    "Unique"))</f>
        <v>Unique</v>
      </c>
      <c r="AB857" s="2">
        <f>IF(ISBLANK(R857), 0, IF(ISTEXT(R857), VALUE(SUBSTITUTE(R857, "%", ""))/100, IF(OR(R857&lt;0, R857&gt;1), "Invalid", R857)))</f>
        <v>0.25</v>
      </c>
      <c r="AC857" s="4">
        <f>IF(AB857="Invalid", "Error", P857 * Q857 * (1 - AB857))</f>
        <v>3110.2950000000001</v>
      </c>
      <c r="AD857" s="4">
        <f>IF(AC857="Error", "Error", AC857 - T857)</f>
        <v>1009.2649999999999</v>
      </c>
      <c r="AE857" s="2">
        <f>IF(AC857="Error", "Error", IF(AC857=0, 0, AD857 / AC857))</f>
        <v>0.32449172827657824</v>
      </c>
      <c r="AF857" s="7">
        <f>C857-B857</f>
        <v>8</v>
      </c>
      <c r="AG857" s="2" t="str">
        <f>TEXT(B857, "mmmm")</f>
        <v>July</v>
      </c>
      <c r="AH857" s="4">
        <f>YEAR(B857)</f>
        <v>2024</v>
      </c>
      <c r="AI857" s="2" t="str">
        <f t="shared" si="27"/>
        <v>Clean</v>
      </c>
      <c r="AJ857">
        <f>COUNTIFS($A$2:$A$1000,A857,$B$2:$B$1000,B857,$C$2:$C$1000,C857,$D$2:$D$1000,D857,$E$2:$E$1000,E857,$F$2:$F$1000,F857)</f>
        <v>1</v>
      </c>
      <c r="AK857">
        <f>COUNTIF($A$2:$A$1000, A857)</f>
        <v>1</v>
      </c>
    </row>
    <row r="858" spans="1:37">
      <c r="A858" t="s">
        <v>2638</v>
      </c>
      <c r="B858" s="5">
        <v>45455</v>
      </c>
      <c r="C858" s="5">
        <v>45462</v>
      </c>
      <c r="D858" s="6">
        <f>IF(AND(C858&lt;&gt;"",B858&lt;&gt;""), C858-B858, "Missing Date")</f>
        <v>7</v>
      </c>
      <c r="E858" s="6" t="str">
        <f>IF(OR(B858="",C858=""), "Missing Date",
    IF(C858&lt;B858, "Invalid: Ship before Order",
      "OK"))</f>
        <v>OK</v>
      </c>
      <c r="F858" t="s">
        <v>1300</v>
      </c>
      <c r="G858" t="s">
        <v>141</v>
      </c>
      <c r="H858" t="s">
        <v>95</v>
      </c>
      <c r="I858" t="s">
        <v>54</v>
      </c>
      <c r="J858" t="s">
        <v>247</v>
      </c>
      <c r="K858" t="s">
        <v>248</v>
      </c>
      <c r="L858" t="s">
        <v>28</v>
      </c>
      <c r="M858" t="s">
        <v>124</v>
      </c>
      <c r="N858" t="s">
        <v>2639</v>
      </c>
      <c r="O858" t="s">
        <v>59</v>
      </c>
      <c r="P858">
        <v>4</v>
      </c>
      <c r="Q858">
        <v>395.1</v>
      </c>
      <c r="R858">
        <v>-0.16</v>
      </c>
      <c r="S858">
        <v>1185.3</v>
      </c>
      <c r="T858">
        <v>966.55</v>
      </c>
      <c r="U858">
        <v>218.75</v>
      </c>
      <c r="V858" t="s">
        <v>155</v>
      </c>
      <c r="W858" t="s">
        <v>68</v>
      </c>
      <c r="X858" t="str">
        <f>_xlfn.TEXTJOIN("|", TRUE, A858:W858)</f>
        <v>ORD-2024-10857|45455|45462|7|OK|CUST-5647|Rohan Mehta|Home Office|South|Tamil Nadu|Chennai|Office Supplies|Storage|Classic Storage 918|Standard Class|4|395.1|-0.16|1185.3|966.55|218.75|Failed|Cancelled</v>
      </c>
      <c r="Y858">
        <f>COUNTIF($X$2:$X$1000, X858)</f>
        <v>1</v>
      </c>
      <c r="Z858">
        <f>COUNTIF($A$2:$A$1000, A858)</f>
        <v>1</v>
      </c>
      <c r="AA858" t="str">
        <f>IF(Y858&gt;1, "Exact Duplicate",
  IF(Z858&gt;1, "Conflicting Duplicate - Review",
    "Unique"))</f>
        <v>Unique</v>
      </c>
      <c r="AB858" s="2" t="str">
        <f>IF(ISBLANK(R858), 0, IF(ISTEXT(R858), VALUE(SUBSTITUTE(R858, "%", ""))/100, IF(OR(R858&lt;0, R858&gt;1), "Invalid", R858)))</f>
        <v>Invalid</v>
      </c>
      <c r="AC858" s="4" t="str">
        <f>IF(AB858="Invalid", "Error", P858 * Q858 * (1 - AB858))</f>
        <v>Error</v>
      </c>
      <c r="AD858" s="4" t="str">
        <f>IF(AC858="Error", "Error", AC858 - T858)</f>
        <v>Error</v>
      </c>
      <c r="AE858" s="2" t="str">
        <f>IF(AC858="Error", "Error", IF(AC858=0, 0, AD858 / AC858))</f>
        <v>Error</v>
      </c>
      <c r="AF858" s="7">
        <f>C858-B858</f>
        <v>7</v>
      </c>
      <c r="AG858" s="2" t="str">
        <f>TEXT(B858, "mmmm")</f>
        <v>June</v>
      </c>
      <c r="AH858" s="4">
        <f>YEAR(B858)</f>
        <v>2024</v>
      </c>
      <c r="AI858" s="2" t="str">
        <f t="shared" si="27"/>
        <v>Invalid: Discount</v>
      </c>
      <c r="AJ858">
        <f>COUNTIFS($A$2:$A$1000,A858,$B$2:$B$1000,B858,$C$2:$C$1000,C858,$D$2:$D$1000,D858,$E$2:$E$1000,E858,$F$2:$F$1000,F858)</f>
        <v>1</v>
      </c>
      <c r="AK858">
        <f>COUNTIF($A$2:$A$1000, A858)</f>
        <v>1</v>
      </c>
    </row>
    <row r="859" spans="1:37">
      <c r="A859" t="s">
        <v>2640</v>
      </c>
      <c r="B859" s="5">
        <v>45447</v>
      </c>
      <c r="C859" s="5">
        <v>45447</v>
      </c>
      <c r="D859" s="6">
        <f>IF(AND(C859&lt;&gt;"",B859&lt;&gt;""), C859-B859, "Missing Date")</f>
        <v>0</v>
      </c>
      <c r="E859" s="6" t="str">
        <f>IF(OR(B859="",C859=""), "Missing Date",
    IF(C859&lt;B859, "Invalid: Ship before Order",
      "OK"))</f>
        <v>OK</v>
      </c>
      <c r="F859" t="s">
        <v>2147</v>
      </c>
      <c r="G859" t="s">
        <v>132</v>
      </c>
      <c r="H859" t="s">
        <v>95</v>
      </c>
      <c r="I859" t="s">
        <v>54</v>
      </c>
      <c r="J859" t="s">
        <v>185</v>
      </c>
      <c r="K859" t="s">
        <v>186</v>
      </c>
      <c r="L859" t="s">
        <v>28</v>
      </c>
      <c r="M859" t="s">
        <v>124</v>
      </c>
      <c r="N859" t="s">
        <v>2641</v>
      </c>
      <c r="O859" t="s">
        <v>50</v>
      </c>
      <c r="P859">
        <v>6</v>
      </c>
      <c r="Q859">
        <v>2708.97</v>
      </c>
      <c r="R859">
        <v>0.25</v>
      </c>
      <c r="S859">
        <v>12190.36</v>
      </c>
      <c r="T859">
        <v>10176.99</v>
      </c>
      <c r="U859">
        <v>2013.37</v>
      </c>
      <c r="V859" t="s">
        <v>32</v>
      </c>
      <c r="W859" t="s">
        <v>33</v>
      </c>
      <c r="X859" t="str">
        <f>_xlfn.TEXTJOIN("|", TRUE, A859:W859)</f>
        <v>ORD-2024-10858|45447|45447|0|OK|CUST-8575|Sneha Kapoor|Home Office|South|Kerala|Kochi|Office Supplies|Storage|Max Storage 223|First Class|6|2708.97|0.25|12190.36|10176.99|2013.37|Paid|Completed</v>
      </c>
      <c r="Y859">
        <f>COUNTIF($X$2:$X$1000, X859)</f>
        <v>1</v>
      </c>
      <c r="Z859">
        <f>COUNTIF($A$2:$A$1000, A859)</f>
        <v>1</v>
      </c>
      <c r="AA859" t="str">
        <f>IF(Y859&gt;1, "Exact Duplicate",
  IF(Z859&gt;1, "Conflicting Duplicate - Review",
    "Unique"))</f>
        <v>Unique</v>
      </c>
      <c r="AB859" s="2">
        <f>IF(ISBLANK(R859), 0, IF(ISTEXT(R859), VALUE(SUBSTITUTE(R859, "%", ""))/100, IF(OR(R859&lt;0, R859&gt;1), "Invalid", R859)))</f>
        <v>0.25</v>
      </c>
      <c r="AC859" s="4">
        <f>IF(AB859="Invalid", "Error", P859 * Q859 * (1 - AB859))</f>
        <v>12190.365</v>
      </c>
      <c r="AD859" s="4">
        <f>IF(AC859="Error", "Error", AC859 - T859)</f>
        <v>2013.375</v>
      </c>
      <c r="AE859" s="2">
        <f>IF(AC859="Error", "Error", IF(AC859=0, 0, AD859 / AC859))</f>
        <v>0.16516117441930575</v>
      </c>
      <c r="AF859" s="7">
        <f>C859-B859</f>
        <v>0</v>
      </c>
      <c r="AG859" s="2" t="str">
        <f>TEXT(B859, "mmmm")</f>
        <v>June</v>
      </c>
      <c r="AH859" s="4">
        <f>YEAR(B859)</f>
        <v>2024</v>
      </c>
      <c r="AI859" s="2" t="str">
        <f t="shared" si="27"/>
        <v>Clean</v>
      </c>
      <c r="AJ859">
        <f>COUNTIFS($A$2:$A$1000,A859,$B$2:$B$1000,B859,$C$2:$C$1000,C859,$D$2:$D$1000,D859,$E$2:$E$1000,E859,$F$2:$F$1000,F859)</f>
        <v>1</v>
      </c>
      <c r="AK859">
        <f>COUNTIF($A$2:$A$1000, A859)</f>
        <v>1</v>
      </c>
    </row>
    <row r="860" spans="1:37">
      <c r="A860" t="s">
        <v>2642</v>
      </c>
      <c r="B860" s="5">
        <v>45327</v>
      </c>
      <c r="C860" s="5">
        <v>45421</v>
      </c>
      <c r="D860" s="6">
        <f>IF(AND(C860&lt;&gt;"",B860&lt;&gt;""), C860-B860, "Missing Date")</f>
        <v>94</v>
      </c>
      <c r="E860" s="6" t="str">
        <f>IF(OR(B860="",C860=""), "Missing Date",
    IF(C860&lt;B860, "Invalid: Ship before Order",
      "OK"))</f>
        <v>OK</v>
      </c>
      <c r="F860" t="s">
        <v>2643</v>
      </c>
      <c r="G860" t="s">
        <v>53</v>
      </c>
      <c r="H860" t="s">
        <v>24</v>
      </c>
      <c r="I860" t="s">
        <v>38</v>
      </c>
      <c r="J860" t="s">
        <v>39</v>
      </c>
      <c r="K860" t="s">
        <v>40</v>
      </c>
      <c r="L860" t="s">
        <v>74</v>
      </c>
      <c r="M860" t="s">
        <v>75</v>
      </c>
      <c r="N860" t="s">
        <v>2644</v>
      </c>
      <c r="O860" t="s">
        <v>31</v>
      </c>
      <c r="P860">
        <v>4</v>
      </c>
      <c r="Q860">
        <v>2904.86</v>
      </c>
      <c r="R860">
        <v>0</v>
      </c>
      <c r="S860">
        <v>11619.44</v>
      </c>
      <c r="T860">
        <v>7184.32</v>
      </c>
      <c r="U860">
        <v>4494.6400000000003</v>
      </c>
      <c r="V860" t="s">
        <v>32</v>
      </c>
      <c r="W860" t="s">
        <v>33</v>
      </c>
      <c r="X860" t="str">
        <f>_xlfn.TEXTJOIN("|", TRUE, A860:W860)</f>
        <v>ORD-2024-10859|45327|45421|94|OK|CUST-9576|Arjun Bose|Consumer|East|Odisha|Bhubaneswar|Technology|Accessories|Basic Accessories 602|Second Class|4|2904.86|0|11619.44|7184.32|4494.64|Paid|Completed</v>
      </c>
      <c r="Y860">
        <f>COUNTIF($X$2:$X$1000, X860)</f>
        <v>1</v>
      </c>
      <c r="Z860">
        <f>COUNTIF($A$2:$A$1000, A860)</f>
        <v>1</v>
      </c>
      <c r="AA860" t="str">
        <f>IF(Y860&gt;1, "Exact Duplicate",
  IF(Z860&gt;1, "Conflicting Duplicate - Review",
    "Unique"))</f>
        <v>Unique</v>
      </c>
      <c r="AB860" s="2">
        <f>IF(ISBLANK(R860), 0, IF(ISTEXT(R860), VALUE(SUBSTITUTE(R860, "%", ""))/100, IF(OR(R860&lt;0, R860&gt;1), "Invalid", R860)))</f>
        <v>0</v>
      </c>
      <c r="AC860" s="4">
        <f>IF(AB860="Invalid", "Error", P860 * Q860 * (1 - AB860))</f>
        <v>11619.44</v>
      </c>
      <c r="AD860" s="4">
        <f>IF(AC860="Error", "Error", AC860 - T860)</f>
        <v>4435.1200000000008</v>
      </c>
      <c r="AE860" s="2">
        <f>IF(AC860="Error", "Error", IF(AC860=0, 0, AD860 / AC860))</f>
        <v>0.3816982574031107</v>
      </c>
      <c r="AF860" s="7">
        <f>C860-B860</f>
        <v>94</v>
      </c>
      <c r="AG860" s="2" t="str">
        <f>TEXT(B860, "mmmm")</f>
        <v>February</v>
      </c>
      <c r="AH860" s="4">
        <f>YEAR(B860)</f>
        <v>2024</v>
      </c>
      <c r="AI860" s="2" t="str">
        <f t="shared" si="27"/>
        <v>Clean</v>
      </c>
      <c r="AJ860">
        <f>COUNTIFS($A$2:$A$1000,A860,$B$2:$B$1000,B860,$C$2:$C$1000,C860,$D$2:$D$1000,D860,$E$2:$E$1000,E860,$F$2:$F$1000,F860)</f>
        <v>1</v>
      </c>
      <c r="AK860">
        <f>COUNTIF($A$2:$A$1000, A860)</f>
        <v>1</v>
      </c>
    </row>
    <row r="861" spans="1:37">
      <c r="A861" t="s">
        <v>2645</v>
      </c>
      <c r="B861" s="5">
        <v>45592</v>
      </c>
      <c r="C861" s="5">
        <v>45597</v>
      </c>
      <c r="D861" s="6">
        <f>IF(AND(C861&lt;&gt;"",B861&lt;&gt;""), C861-B861, "Missing Date")</f>
        <v>5</v>
      </c>
      <c r="E861" s="6" t="str">
        <f>IF(OR(B861="",C861=""), "Missing Date",
    IF(C861&lt;B861, "Invalid: Ship before Order",
      "OK"))</f>
        <v>OK</v>
      </c>
      <c r="F861" t="s">
        <v>2646</v>
      </c>
      <c r="G861" t="s">
        <v>89</v>
      </c>
      <c r="H861" t="s">
        <v>90</v>
      </c>
      <c r="I861" t="s">
        <v>54</v>
      </c>
      <c r="J861" t="s">
        <v>247</v>
      </c>
      <c r="K861" t="s">
        <v>248</v>
      </c>
      <c r="L861" t="s">
        <v>74</v>
      </c>
      <c r="M861" t="s">
        <v>171</v>
      </c>
      <c r="N861" t="s">
        <v>2647</v>
      </c>
      <c r="O861" t="s">
        <v>59</v>
      </c>
      <c r="P861">
        <v>6</v>
      </c>
      <c r="Q861">
        <v>4399.2</v>
      </c>
      <c r="R861">
        <v>0.05</v>
      </c>
      <c r="S861">
        <v>25075.439999999999</v>
      </c>
      <c r="T861">
        <v>16282.74</v>
      </c>
      <c r="U861">
        <v>8792.7000000000007</v>
      </c>
      <c r="V861" t="s">
        <v>32</v>
      </c>
      <c r="W861" t="s">
        <v>33</v>
      </c>
      <c r="X861" t="str">
        <f>_xlfn.TEXTJOIN("|", TRUE, A861:W861)</f>
        <v>ORD-2024-10860|45592|45597|5|OK|CUST-2395|Aditi Sen|Corporate|South|Tamil Nadu|Chennai|Technology|Phones|Elite Phones 394|Standard Class|6|4399.2|0.05|25075.44|16282.74|8792.7|Paid|Completed</v>
      </c>
      <c r="Y861">
        <f>COUNTIF($X$2:$X$1000, X861)</f>
        <v>1</v>
      </c>
      <c r="Z861">
        <f>COUNTIF($A$2:$A$1000, A861)</f>
        <v>1</v>
      </c>
      <c r="AA861" t="str">
        <f>IF(Y861&gt;1, "Exact Duplicate",
  IF(Z861&gt;1, "Conflicting Duplicate - Review",
    "Unique"))</f>
        <v>Unique</v>
      </c>
      <c r="AB861" s="2">
        <f>IF(ISBLANK(R861), 0, IF(ISTEXT(R861), VALUE(SUBSTITUTE(R861, "%", ""))/100, IF(OR(R861&lt;0, R861&gt;1), "Invalid", R861)))</f>
        <v>0.05</v>
      </c>
      <c r="AC861" s="4">
        <f>IF(AB861="Invalid", "Error", P861 * Q861 * (1 - AB861))</f>
        <v>25075.439999999995</v>
      </c>
      <c r="AD861" s="4">
        <f>IF(AC861="Error", "Error", AC861 - T861)</f>
        <v>8792.6999999999953</v>
      </c>
      <c r="AE861" s="2">
        <f>IF(AC861="Error", "Error", IF(AC861=0, 0, AD861 / AC861))</f>
        <v>0.35064987892535471</v>
      </c>
      <c r="AF861" s="7">
        <f>C861-B861</f>
        <v>5</v>
      </c>
      <c r="AG861" s="2" t="str">
        <f>TEXT(B861, "mmmm")</f>
        <v>October</v>
      </c>
      <c r="AH861" s="4">
        <f>YEAR(B861)</f>
        <v>2024</v>
      </c>
      <c r="AI861" s="2" t="str">
        <f t="shared" si="27"/>
        <v>Clean</v>
      </c>
      <c r="AJ861">
        <f>COUNTIFS($A$2:$A$1000,A861,$B$2:$B$1000,B861,$C$2:$C$1000,C861,$D$2:$D$1000,D861,$E$2:$E$1000,E861,$F$2:$F$1000,F861)</f>
        <v>1</v>
      </c>
      <c r="AK861">
        <f>COUNTIF($A$2:$A$1000, A861)</f>
        <v>1</v>
      </c>
    </row>
    <row r="862" spans="1:37">
      <c r="A862" t="s">
        <v>2648</v>
      </c>
      <c r="B862" s="5">
        <v>45324</v>
      </c>
      <c r="C862" s="5">
        <v>45326</v>
      </c>
      <c r="D862" s="6">
        <f>IF(AND(C862&lt;&gt;"",B862&lt;&gt;""), C862-B862, "Missing Date")</f>
        <v>2</v>
      </c>
      <c r="E862" s="6" t="str">
        <f>IF(OR(B862="",C862=""), "Missing Date",
    IF(C862&lt;B862, "Invalid: Ship before Order",
      "OK"))</f>
        <v>OK</v>
      </c>
      <c r="F862" t="s">
        <v>2649</v>
      </c>
      <c r="G862" t="s">
        <v>71</v>
      </c>
      <c r="H862" t="s">
        <v>95</v>
      </c>
      <c r="I862" t="s">
        <v>25</v>
      </c>
      <c r="J862" t="s">
        <v>136</v>
      </c>
      <c r="K862" t="s">
        <v>137</v>
      </c>
      <c r="L862" t="s">
        <v>28</v>
      </c>
      <c r="M862" t="s">
        <v>124</v>
      </c>
      <c r="N862" t="s">
        <v>2650</v>
      </c>
      <c r="O862" t="s">
        <v>31</v>
      </c>
      <c r="P862">
        <v>1</v>
      </c>
      <c r="Q862">
        <v>4397.32</v>
      </c>
      <c r="R862">
        <v>0.05</v>
      </c>
      <c r="S862">
        <v>4177.45</v>
      </c>
      <c r="T862">
        <v>2299.5</v>
      </c>
      <c r="U862">
        <v>1877.95</v>
      </c>
      <c r="V862" t="s">
        <v>32</v>
      </c>
      <c r="W862" t="s">
        <v>33</v>
      </c>
      <c r="X862" t="str">
        <f>_xlfn.TEXTJOIN("|", TRUE, A862:W862)</f>
        <v>ORD-2024-10861|45324|45326|2|OK|CUST-8941|Vikram Iyer|Home Office|North|Uttar Pradesh|Noida|Office Supplies|Storage|Classic Storage 194|Second Class|1|4397.32|0.05|4177.45|2299.5|1877.95|Paid|Completed</v>
      </c>
      <c r="Y862">
        <f>COUNTIF($X$2:$X$1000, X862)</f>
        <v>1</v>
      </c>
      <c r="Z862">
        <f>COUNTIF($A$2:$A$1000, A862)</f>
        <v>1</v>
      </c>
      <c r="AA862" t="str">
        <f>IF(Y862&gt;1, "Exact Duplicate",
  IF(Z862&gt;1, "Conflicting Duplicate - Review",
    "Unique"))</f>
        <v>Unique</v>
      </c>
      <c r="AB862" s="2">
        <f>IF(ISBLANK(R862), 0, IF(ISTEXT(R862), VALUE(SUBSTITUTE(R862, "%", ""))/100, IF(OR(R862&lt;0, R862&gt;1), "Invalid", R862)))</f>
        <v>0.05</v>
      </c>
      <c r="AC862" s="4">
        <f>IF(AB862="Invalid", "Error", P862 * Q862 * (1 - AB862))</f>
        <v>4177.4539999999997</v>
      </c>
      <c r="AD862" s="4">
        <f>IF(AC862="Error", "Error", AC862 - T862)</f>
        <v>1877.9539999999997</v>
      </c>
      <c r="AE862" s="2">
        <f>IF(AC862="Error", "Error", IF(AC862=0, 0, AD862 / AC862))</f>
        <v>0.44954510570313877</v>
      </c>
      <c r="AF862" s="7">
        <f>C862-B862</f>
        <v>2</v>
      </c>
      <c r="AG862" s="2" t="str">
        <f>TEXT(B862, "mmmm")</f>
        <v>February</v>
      </c>
      <c r="AH862" s="4">
        <f>YEAR(B862)</f>
        <v>2024</v>
      </c>
      <c r="AI862" s="2" t="str">
        <f t="shared" si="27"/>
        <v>Clean</v>
      </c>
      <c r="AJ862">
        <f>COUNTIFS($A$2:$A$1000,A862,$B$2:$B$1000,B862,$C$2:$C$1000,C862,$D$2:$D$1000,D862,$E$2:$E$1000,E862,$F$2:$F$1000,F862)</f>
        <v>1</v>
      </c>
      <c r="AK862">
        <f>COUNTIF($A$2:$A$1000, A862)</f>
        <v>1</v>
      </c>
    </row>
    <row r="863" spans="1:37">
      <c r="A863" t="s">
        <v>2651</v>
      </c>
      <c r="B863" s="5">
        <v>45724</v>
      </c>
      <c r="C863" s="5">
        <v>45725</v>
      </c>
      <c r="D863" s="6">
        <f>IF(AND(C863&lt;&gt;"",B863&lt;&gt;""), C863-B863, "Missing Date")</f>
        <v>1</v>
      </c>
      <c r="E863" s="6" t="str">
        <f>IF(OR(B863="",C863=""), "Missing Date",
    IF(C863&lt;B863, "Invalid: Ship before Order",
      "OK"))</f>
        <v>OK</v>
      </c>
      <c r="F863" t="s">
        <v>2652</v>
      </c>
      <c r="G863" t="s">
        <v>114</v>
      </c>
      <c r="H863" t="s">
        <v>95</v>
      </c>
      <c r="I863" t="s">
        <v>25</v>
      </c>
      <c r="J863" t="s">
        <v>350</v>
      </c>
      <c r="K863" t="s">
        <v>351</v>
      </c>
      <c r="L863" t="s">
        <v>41</v>
      </c>
      <c r="M863" t="s">
        <v>57</v>
      </c>
      <c r="N863" t="s">
        <v>2653</v>
      </c>
      <c r="O863" t="s">
        <v>44</v>
      </c>
      <c r="P863">
        <v>4</v>
      </c>
      <c r="Q863">
        <v>3405.68</v>
      </c>
      <c r="R863">
        <v>0.2</v>
      </c>
      <c r="S863">
        <v>10898.18</v>
      </c>
      <c r="T863">
        <v>6231.41</v>
      </c>
      <c r="U863">
        <v>4666.7700000000004</v>
      </c>
      <c r="V863" t="s">
        <v>32</v>
      </c>
      <c r="W863" t="s">
        <v>33</v>
      </c>
      <c r="X863" t="str">
        <f>_xlfn.TEXTJOIN("|", TRUE, A863:W863)</f>
        <v>ORD-2025-10862|45724|45725|1|OK|CUST-9448|Priya Menon|Home Office|North|Delhi|New Delhi|Furniture|Furnishings|Smart Furnishings 892|Same Day|4|3405.68|0.2|10898.18|6231.41|4666.77|Paid|Completed</v>
      </c>
      <c r="Y863">
        <f>COUNTIF($X$2:$X$1000, X863)</f>
        <v>1</v>
      </c>
      <c r="Z863">
        <f>COUNTIF($A$2:$A$1000, A863)</f>
        <v>1</v>
      </c>
      <c r="AA863" t="str">
        <f>IF(Y863&gt;1, "Exact Duplicate",
  IF(Z863&gt;1, "Conflicting Duplicate - Review",
    "Unique"))</f>
        <v>Unique</v>
      </c>
      <c r="AB863" s="2">
        <f>IF(ISBLANK(R863), 0, IF(ISTEXT(R863), VALUE(SUBSTITUTE(R863, "%", ""))/100, IF(OR(R863&lt;0, R863&gt;1), "Invalid", R863)))</f>
        <v>0.2</v>
      </c>
      <c r="AC863" s="4">
        <f>IF(AB863="Invalid", "Error", P863 * Q863 * (1 - AB863))</f>
        <v>10898.175999999999</v>
      </c>
      <c r="AD863" s="4">
        <f>IF(AC863="Error", "Error", AC863 - T863)</f>
        <v>4666.7659999999996</v>
      </c>
      <c r="AE863" s="2">
        <f>IF(AC863="Error", "Error", IF(AC863=0, 0, AD863 / AC863))</f>
        <v>0.42821532704188298</v>
      </c>
      <c r="AF863" s="7">
        <f>C863-B863</f>
        <v>1</v>
      </c>
      <c r="AG863" s="2" t="str">
        <f>TEXT(B863, "mmmm")</f>
        <v>March</v>
      </c>
      <c r="AH863" s="4">
        <f>YEAR(B863)</f>
        <v>2025</v>
      </c>
      <c r="AI863" s="2" t="str">
        <f t="shared" si="27"/>
        <v>Clean</v>
      </c>
      <c r="AJ863">
        <f>COUNTIFS($A$2:$A$1000,A863,$B$2:$B$1000,B863,$C$2:$C$1000,C863,$D$2:$D$1000,D863,$E$2:$E$1000,E863,$F$2:$F$1000,F863)</f>
        <v>1</v>
      </c>
      <c r="AK863">
        <f>COUNTIF($A$2:$A$1000, A863)</f>
        <v>1</v>
      </c>
    </row>
    <row r="864" spans="1:37">
      <c r="A864" t="s">
        <v>2654</v>
      </c>
      <c r="B864" s="5">
        <v>45742</v>
      </c>
      <c r="C864" s="5">
        <v>45747</v>
      </c>
      <c r="D864" s="6">
        <f>IF(AND(C864&lt;&gt;"",B864&lt;&gt;""), C864-B864, "Missing Date")</f>
        <v>5</v>
      </c>
      <c r="E864" s="6" t="str">
        <f>IF(OR(B864="",C864=""), "Missing Date",
    IF(C864&lt;B864, "Invalid: Ship before Order",
      "OK"))</f>
        <v>OK</v>
      </c>
      <c r="F864" t="s">
        <v>2655</v>
      </c>
      <c r="G864" t="s">
        <v>114</v>
      </c>
      <c r="H864" t="s">
        <v>37</v>
      </c>
      <c r="I864" t="s">
        <v>38</v>
      </c>
      <c r="J864" t="s">
        <v>228</v>
      </c>
      <c r="K864" t="s">
        <v>229</v>
      </c>
      <c r="L864" t="s">
        <v>28</v>
      </c>
      <c r="M864" t="s">
        <v>153</v>
      </c>
      <c r="N864" t="s">
        <v>2656</v>
      </c>
      <c r="O864" t="s">
        <v>50</v>
      </c>
      <c r="P864">
        <v>5</v>
      </c>
      <c r="Q864">
        <v>1395.14</v>
      </c>
      <c r="R864">
        <v>0</v>
      </c>
      <c r="S864">
        <v>6975.7</v>
      </c>
      <c r="T864">
        <v>4797.88</v>
      </c>
      <c r="U864">
        <v>2177.8200000000002</v>
      </c>
      <c r="V864" t="s">
        <v>32</v>
      </c>
      <c r="W864" t="s">
        <v>68</v>
      </c>
      <c r="X864" t="str">
        <f>_xlfn.TEXTJOIN("|", TRUE, A864:W864)</f>
        <v>ORD-2025-10863|45742|45747|5|OK|CUST-8354|Priya Menon|Small Business|East|Jharkhand|Ranchi|Office Supplies|Binders|Pro Binders 488|First Class|5|1395.14|0|6975.7|4797.88|2177.82|Paid|Cancelled</v>
      </c>
      <c r="Y864">
        <f>COUNTIF($X$2:$X$1000, X864)</f>
        <v>1</v>
      </c>
      <c r="Z864">
        <f>COUNTIF($A$2:$A$1000, A864)</f>
        <v>1</v>
      </c>
      <c r="AA864" t="str">
        <f>IF(Y864&gt;1, "Exact Duplicate",
  IF(Z864&gt;1, "Conflicting Duplicate - Review",
    "Unique"))</f>
        <v>Unique</v>
      </c>
      <c r="AB864" s="2">
        <f>IF(ISBLANK(R864), 0, IF(ISTEXT(R864), VALUE(SUBSTITUTE(R864, "%", ""))/100, IF(OR(R864&lt;0, R864&gt;1), "Invalid", R864)))</f>
        <v>0</v>
      </c>
      <c r="AC864" s="4">
        <f>IF(AB864="Invalid", "Error", P864 * Q864 * (1 - AB864))</f>
        <v>6975.7000000000007</v>
      </c>
      <c r="AD864" s="4">
        <f>IF(AC864="Error", "Error", AC864 - T864)</f>
        <v>2177.8200000000006</v>
      </c>
      <c r="AE864" s="2">
        <f>IF(AC864="Error", "Error", IF(AC864=0, 0, AD864 / AC864))</f>
        <v>0.3122009260719355</v>
      </c>
      <c r="AF864" s="7">
        <f>C864-B864</f>
        <v>5</v>
      </c>
      <c r="AG864" s="2" t="str">
        <f>TEXT(B864, "mmmm")</f>
        <v>March</v>
      </c>
      <c r="AH864" s="4">
        <f>YEAR(B864)</f>
        <v>2025</v>
      </c>
      <c r="AI864" s="2" t="str">
        <f t="shared" si="27"/>
        <v>Excluded from Sales</v>
      </c>
      <c r="AJ864">
        <f>COUNTIFS($A$2:$A$1000,A864,$B$2:$B$1000,B864,$C$2:$C$1000,C864,$D$2:$D$1000,D864,$E$2:$E$1000,E864,$F$2:$F$1000,F864)</f>
        <v>1</v>
      </c>
      <c r="AK864">
        <f>COUNTIF($A$2:$A$1000, A864)</f>
        <v>1</v>
      </c>
    </row>
    <row r="865" spans="1:37">
      <c r="A865" t="s">
        <v>2657</v>
      </c>
      <c r="B865" s="5">
        <v>45817</v>
      </c>
      <c r="C865" s="5">
        <v>45878</v>
      </c>
      <c r="D865" s="6">
        <f>IF(AND(C865&lt;&gt;"",B865&lt;&gt;""), C865-B865, "Missing Date")</f>
        <v>61</v>
      </c>
      <c r="E865" s="6" t="str">
        <f>IF(OR(B865="",C865=""), "Missing Date",
    IF(C865&lt;B865, "Invalid: Ship before Order",
      "OK"))</f>
        <v>OK</v>
      </c>
      <c r="F865" t="s">
        <v>2658</v>
      </c>
      <c r="G865" t="s">
        <v>128</v>
      </c>
      <c r="H865" t="s">
        <v>95</v>
      </c>
      <c r="I865" t="s">
        <v>63</v>
      </c>
      <c r="J865" t="s">
        <v>72</v>
      </c>
      <c r="K865" t="s">
        <v>73</v>
      </c>
      <c r="L865" t="s">
        <v>41</v>
      </c>
      <c r="M865" t="s">
        <v>57</v>
      </c>
      <c r="N865" t="s">
        <v>2659</v>
      </c>
      <c r="O865" t="s">
        <v>44</v>
      </c>
      <c r="P865">
        <v>3</v>
      </c>
      <c r="Q865">
        <v>2937.23</v>
      </c>
      <c r="R865">
        <v>0</v>
      </c>
      <c r="S865">
        <v>8811.69</v>
      </c>
      <c r="T865">
        <v>6765.91</v>
      </c>
      <c r="U865">
        <v>2045.78</v>
      </c>
      <c r="V865" t="s">
        <v>32</v>
      </c>
      <c r="W865" t="s">
        <v>33</v>
      </c>
      <c r="X865" t="str">
        <f>_xlfn.TEXTJOIN("|", TRUE, A865:W865)</f>
        <v>ORD-2025-10864|45817|45878|61|OK|CUST-2200|Aarav Sharma|Home Office|West|Madhya Pradesh|Indore|Furniture|Furnishings|Prime Furnishings 679|Same Day|3|2937.23|0|8811.69|6765.91|2045.78|Paid|Completed</v>
      </c>
      <c r="Y865">
        <f>COUNTIF($X$2:$X$1000, X865)</f>
        <v>1</v>
      </c>
      <c r="Z865">
        <f>COUNTIF($A$2:$A$1000, A865)</f>
        <v>1</v>
      </c>
      <c r="AA865" t="str">
        <f>IF(Y865&gt;1, "Exact Duplicate",
  IF(Z865&gt;1, "Conflicting Duplicate - Review",
    "Unique"))</f>
        <v>Unique</v>
      </c>
      <c r="AB865" s="2">
        <f>IF(ISBLANK(R865), 0, IF(ISTEXT(R865), VALUE(SUBSTITUTE(R865, "%", ""))/100, IF(OR(R865&lt;0, R865&gt;1), "Invalid", R865)))</f>
        <v>0</v>
      </c>
      <c r="AC865" s="4">
        <f>IF(AB865="Invalid", "Error", P865 * Q865 * (1 - AB865))</f>
        <v>8811.69</v>
      </c>
      <c r="AD865" s="4">
        <f>IF(AC865="Error", "Error", AC865 - T865)</f>
        <v>2045.7800000000007</v>
      </c>
      <c r="AE865" s="2">
        <f>IF(AC865="Error", "Error", IF(AC865=0, 0, AD865 / AC865))</f>
        <v>0.23216658779416893</v>
      </c>
      <c r="AF865" s="7">
        <f>C865-B865</f>
        <v>61</v>
      </c>
      <c r="AG865" s="2" t="str">
        <f>TEXT(B865, "mmmm")</f>
        <v>June</v>
      </c>
      <c r="AH865" s="4">
        <f>YEAR(B865)</f>
        <v>2025</v>
      </c>
      <c r="AI865" s="2" t="str">
        <f t="shared" si="27"/>
        <v>Clean</v>
      </c>
      <c r="AJ865">
        <f>COUNTIFS($A$2:$A$1000,A865,$B$2:$B$1000,B865,$C$2:$C$1000,C865,$D$2:$D$1000,D865,$E$2:$E$1000,E865,$F$2:$F$1000,F865)</f>
        <v>1</v>
      </c>
      <c r="AK865">
        <f>COUNTIF($A$2:$A$1000, A865)</f>
        <v>1</v>
      </c>
    </row>
    <row r="866" spans="1:37">
      <c r="A866" t="s">
        <v>2660</v>
      </c>
      <c r="B866" s="5">
        <v>45902</v>
      </c>
      <c r="C866" s="5">
        <v>45905</v>
      </c>
      <c r="D866" s="6">
        <f>IF(AND(C866&lt;&gt;"",B866&lt;&gt;""), C866-B866, "Missing Date")</f>
        <v>3</v>
      </c>
      <c r="E866" s="6" t="str">
        <f>IF(OR(B866="",C866=""), "Missing Date",
    IF(C866&lt;B866, "Invalid: Ship before Order",
      "OK"))</f>
        <v>OK</v>
      </c>
      <c r="F866" t="s">
        <v>2661</v>
      </c>
      <c r="G866" t="s">
        <v>71</v>
      </c>
      <c r="H866" t="s">
        <v>24</v>
      </c>
      <c r="I866" t="s">
        <v>54</v>
      </c>
      <c r="J866" t="s">
        <v>247</v>
      </c>
      <c r="K866" t="s">
        <v>248</v>
      </c>
      <c r="L866" t="s">
        <v>74</v>
      </c>
      <c r="M866" t="s">
        <v>171</v>
      </c>
      <c r="N866" t="s">
        <v>2662</v>
      </c>
      <c r="O866" t="s">
        <v>50</v>
      </c>
      <c r="P866">
        <v>5</v>
      </c>
      <c r="Q866">
        <v>3406.87</v>
      </c>
      <c r="R866">
        <v>0</v>
      </c>
      <c r="S866">
        <v>17034.349999999999</v>
      </c>
      <c r="T866">
        <v>14631.36</v>
      </c>
      <c r="U866">
        <v>2402.9899999999998</v>
      </c>
      <c r="V866" t="s">
        <v>32</v>
      </c>
      <c r="W866" t="s">
        <v>33</v>
      </c>
      <c r="X866" t="str">
        <f>_xlfn.TEXTJOIN("|", TRUE, A866:W866)</f>
        <v>ORD-2025-10865|45902|45905|3|OK|CUST-1178|Vikram Iyer|Consumer|South|Tamil Nadu|Chennai|Technology|Phones|Smart Phones 158|First Class|5|3406.87|0|17034.35|14631.36|2402.99|Paid|Completed</v>
      </c>
      <c r="Y866">
        <f>COUNTIF($X$2:$X$1000, X866)</f>
        <v>1</v>
      </c>
      <c r="Z866">
        <f>COUNTIF($A$2:$A$1000, A866)</f>
        <v>1</v>
      </c>
      <c r="AA866" t="str">
        <f>IF(Y866&gt;1, "Exact Duplicate",
  IF(Z866&gt;1, "Conflicting Duplicate - Review",
    "Unique"))</f>
        <v>Unique</v>
      </c>
      <c r="AB866" s="2">
        <f>IF(ISBLANK(R866), 0, IF(ISTEXT(R866), VALUE(SUBSTITUTE(R866, "%", ""))/100, IF(OR(R866&lt;0, R866&gt;1), "Invalid", R866)))</f>
        <v>0</v>
      </c>
      <c r="AC866" s="4">
        <f>IF(AB866="Invalid", "Error", P866 * Q866 * (1 - AB866))</f>
        <v>17034.349999999999</v>
      </c>
      <c r="AD866" s="4">
        <f>IF(AC866="Error", "Error", AC866 - T866)</f>
        <v>2402.989999999998</v>
      </c>
      <c r="AE866" s="2">
        <f>IF(AC866="Error", "Error", IF(AC866=0, 0, AD866 / AC866))</f>
        <v>0.14106731398615141</v>
      </c>
      <c r="AF866" s="7">
        <f>C866-B866</f>
        <v>3</v>
      </c>
      <c r="AG866" s="2" t="str">
        <f>TEXT(B866, "mmmm")</f>
        <v>September</v>
      </c>
      <c r="AH866" s="4">
        <f>YEAR(B866)</f>
        <v>2025</v>
      </c>
      <c r="AI866" s="2" t="str">
        <f t="shared" si="27"/>
        <v>Clean</v>
      </c>
      <c r="AJ866">
        <f>COUNTIFS($A$2:$A$1000,A866,$B$2:$B$1000,B866,$C$2:$C$1000,C866,$D$2:$D$1000,D866,$E$2:$E$1000,E866,$F$2:$F$1000,F866)</f>
        <v>1</v>
      </c>
      <c r="AK866">
        <f>COUNTIF($A$2:$A$1000, A866)</f>
        <v>1</v>
      </c>
    </row>
    <row r="867" spans="1:37">
      <c r="A867" t="s">
        <v>2663</v>
      </c>
      <c r="B867" s="5">
        <v>45694</v>
      </c>
      <c r="C867" s="5">
        <v>45702</v>
      </c>
      <c r="D867" s="6">
        <f>IF(AND(C867&lt;&gt;"",B867&lt;&gt;""), C867-B867, "Missing Date")</f>
        <v>8</v>
      </c>
      <c r="E867" s="6" t="str">
        <f>IF(OR(B867="",C867=""), "Missing Date",
    IF(C867&lt;B867, "Invalid: Ship before Order",
      "OK"))</f>
        <v>OK</v>
      </c>
      <c r="F867" t="s">
        <v>2664</v>
      </c>
      <c r="G867" t="s">
        <v>264</v>
      </c>
      <c r="H867" t="s">
        <v>24</v>
      </c>
      <c r="I867" t="s">
        <v>63</v>
      </c>
      <c r="J867" t="s">
        <v>64</v>
      </c>
      <c r="K867" t="s">
        <v>65</v>
      </c>
      <c r="L867" t="s">
        <v>28</v>
      </c>
      <c r="M867" t="s">
        <v>91</v>
      </c>
      <c r="N867" t="s">
        <v>2665</v>
      </c>
      <c r="O867" t="s">
        <v>31</v>
      </c>
      <c r="P867">
        <v>2</v>
      </c>
      <c r="Q867">
        <v>3992.04</v>
      </c>
      <c r="R867">
        <v>0</v>
      </c>
      <c r="S867">
        <v>7984.08</v>
      </c>
      <c r="T867">
        <v>5658.05</v>
      </c>
      <c r="U867">
        <v>2326.0300000000002</v>
      </c>
      <c r="V867" t="s">
        <v>32</v>
      </c>
      <c r="W867" t="s">
        <v>33</v>
      </c>
      <c r="X867" t="str">
        <f>_xlfn.TEXTJOIN("|", TRUE, A867:W867)</f>
        <v>ORD-2025-10866|45694|45702|8|OK|CUST-8099|Kabir Singh|Consumer|West|Maharashtra|Mumbai|Office Supplies|Labels|Classic Labels 218|Second Class|2|3992.04|0|7984.08|5658.05|2326.03|Paid|Completed</v>
      </c>
      <c r="Y867">
        <f>COUNTIF($X$2:$X$1000, X867)</f>
        <v>1</v>
      </c>
      <c r="Z867">
        <f>COUNTIF($A$2:$A$1000, A867)</f>
        <v>1</v>
      </c>
      <c r="AA867" t="str">
        <f>IF(Y867&gt;1, "Exact Duplicate",
  IF(Z867&gt;1, "Conflicting Duplicate - Review",
    "Unique"))</f>
        <v>Unique</v>
      </c>
      <c r="AB867" s="2">
        <f>IF(ISBLANK(R867), 0, IF(ISTEXT(R867), VALUE(SUBSTITUTE(R867, "%", ""))/100, IF(OR(R867&lt;0, R867&gt;1), "Invalid", R867)))</f>
        <v>0</v>
      </c>
      <c r="AC867" s="4">
        <f>IF(AB867="Invalid", "Error", P867 * Q867 * (1 - AB867))</f>
        <v>7984.08</v>
      </c>
      <c r="AD867" s="4">
        <f>IF(AC867="Error", "Error", AC867 - T867)</f>
        <v>2326.0299999999997</v>
      </c>
      <c r="AE867" s="2">
        <f>IF(AC867="Error", "Error", IF(AC867=0, 0, AD867 / AC867))</f>
        <v>0.29133350367230787</v>
      </c>
      <c r="AF867" s="7">
        <f>C867-B867</f>
        <v>8</v>
      </c>
      <c r="AG867" s="2" t="str">
        <f>TEXT(B867, "mmmm")</f>
        <v>February</v>
      </c>
      <c r="AH867" s="4">
        <f>YEAR(B867)</f>
        <v>2025</v>
      </c>
      <c r="AI867" s="2" t="str">
        <f t="shared" si="27"/>
        <v>Clean</v>
      </c>
      <c r="AJ867">
        <f>COUNTIFS($A$2:$A$1000,A867,$B$2:$B$1000,B867,$C$2:$C$1000,C867,$D$2:$D$1000,D867,$E$2:$E$1000,E867,$F$2:$F$1000,F867)</f>
        <v>1</v>
      </c>
      <c r="AK867">
        <f>COUNTIF($A$2:$A$1000, A867)</f>
        <v>1</v>
      </c>
    </row>
    <row r="868" spans="1:37">
      <c r="A868" t="s">
        <v>2666</v>
      </c>
      <c r="B868" s="5">
        <v>45714</v>
      </c>
      <c r="C868" s="5">
        <v>45722</v>
      </c>
      <c r="D868" s="6">
        <f>IF(AND(C868&lt;&gt;"",B868&lt;&gt;""), C868-B868, "Missing Date")</f>
        <v>8</v>
      </c>
      <c r="E868" s="6" t="str">
        <f>IF(OR(B868="",C868=""), "Missing Date",
    IF(C868&lt;B868, "Invalid: Ship before Order",
      "OK"))</f>
        <v>OK</v>
      </c>
      <c r="F868" t="s">
        <v>2667</v>
      </c>
      <c r="G868" t="s">
        <v>114</v>
      </c>
      <c r="H868" t="s">
        <v>24</v>
      </c>
      <c r="I868" t="s">
        <v>38</v>
      </c>
      <c r="J868" t="s">
        <v>145</v>
      </c>
      <c r="K868" t="s">
        <v>146</v>
      </c>
      <c r="L868" t="s">
        <v>41</v>
      </c>
      <c r="M868" t="s">
        <v>158</v>
      </c>
      <c r="N868" t="s">
        <v>2668</v>
      </c>
      <c r="O868" t="s">
        <v>50</v>
      </c>
      <c r="P868">
        <v>9</v>
      </c>
      <c r="Q868">
        <v>3043.37</v>
      </c>
      <c r="R868">
        <v>0.2</v>
      </c>
      <c r="S868">
        <v>21912.26</v>
      </c>
      <c r="T868">
        <v>16367.78</v>
      </c>
      <c r="U868">
        <v>5544.48</v>
      </c>
      <c r="V868" t="s">
        <v>111</v>
      </c>
      <c r="W868" t="s">
        <v>68</v>
      </c>
      <c r="X868" t="str">
        <f>_xlfn.TEXTJOIN("|", TRUE, A868:W868)</f>
        <v>ORD-2025-10867|45714|45722|8|OK|CUST-7596|Priya Menon|Consumer|East|Bihar|Patna|Furniture|Bookcases|Smart Bookcases 552|First Class|9|3043.37|0.2|21912.26|16367.78|5544.48|Pending|Cancelled</v>
      </c>
      <c r="Y868">
        <f>COUNTIF($X$2:$X$1000, X868)</f>
        <v>1</v>
      </c>
      <c r="Z868">
        <f>COUNTIF($A$2:$A$1000, A868)</f>
        <v>1</v>
      </c>
      <c r="AA868" t="str">
        <f>IF(Y868&gt;1, "Exact Duplicate",
  IF(Z868&gt;1, "Conflicting Duplicate - Review",
    "Unique"))</f>
        <v>Unique</v>
      </c>
      <c r="AB868" s="2">
        <f>IF(ISBLANK(R868), 0, IF(ISTEXT(R868), VALUE(SUBSTITUTE(R868, "%", ""))/100, IF(OR(R868&lt;0, R868&gt;1), "Invalid", R868)))</f>
        <v>0.2</v>
      </c>
      <c r="AC868" s="4">
        <f>IF(AB868="Invalid", "Error", P868 * Q868 * (1 - AB868))</f>
        <v>21912.263999999999</v>
      </c>
      <c r="AD868" s="4">
        <f>IF(AC868="Error", "Error", AC868 - T868)</f>
        <v>5544.4839999999986</v>
      </c>
      <c r="AE868" s="2">
        <f>IF(AC868="Error", "Error", IF(AC868=0, 0, AD868 / AC868))</f>
        <v>0.25303108797885965</v>
      </c>
      <c r="AF868" s="7">
        <f>C868-B868</f>
        <v>8</v>
      </c>
      <c r="AG868" s="2" t="str">
        <f>TEXT(B868, "mmmm")</f>
        <v>February</v>
      </c>
      <c r="AH868" s="4">
        <f>YEAR(B868)</f>
        <v>2025</v>
      </c>
      <c r="AI868" s="2" t="str">
        <f t="shared" si="27"/>
        <v>Excluded from Sales</v>
      </c>
      <c r="AJ868">
        <f>COUNTIFS($A$2:$A$1000,A868,$B$2:$B$1000,B868,$C$2:$C$1000,C868,$D$2:$D$1000,D868,$E$2:$E$1000,E868,$F$2:$F$1000,F868)</f>
        <v>1</v>
      </c>
      <c r="AK868">
        <f>COUNTIF($A$2:$A$1000, A868)</f>
        <v>1</v>
      </c>
    </row>
    <row r="869" spans="1:37">
      <c r="A869" t="s">
        <v>2669</v>
      </c>
      <c r="B869" s="5">
        <v>45617</v>
      </c>
      <c r="C869" s="5">
        <v>45618</v>
      </c>
      <c r="D869" s="6">
        <f>IF(AND(C869&lt;&gt;"",B869&lt;&gt;""), C869-B869, "Missing Date")</f>
        <v>1</v>
      </c>
      <c r="E869" s="6" t="str">
        <f>IF(OR(B869="",C869=""), "Missing Date",
    IF(C869&lt;B869, "Invalid: Ship before Order",
      "OK"))</f>
        <v>OK</v>
      </c>
      <c r="F869" t="s">
        <v>2670</v>
      </c>
      <c r="G869" t="s">
        <v>118</v>
      </c>
      <c r="H869" t="s">
        <v>95</v>
      </c>
      <c r="I869" t="s">
        <v>54</v>
      </c>
      <c r="J869" t="s">
        <v>84</v>
      </c>
      <c r="K869" t="s">
        <v>85</v>
      </c>
      <c r="L869" t="s">
        <v>74</v>
      </c>
      <c r="M869" t="s">
        <v>75</v>
      </c>
      <c r="N869" t="s">
        <v>2671</v>
      </c>
      <c r="O869" t="s">
        <v>44</v>
      </c>
      <c r="P869">
        <v>6</v>
      </c>
      <c r="Q869">
        <v>1043.49</v>
      </c>
      <c r="R869">
        <v>0.25</v>
      </c>
      <c r="S869">
        <v>4695.7</v>
      </c>
      <c r="T869">
        <v>3871.69</v>
      </c>
      <c r="U869">
        <v>824.01</v>
      </c>
      <c r="V869" t="s">
        <v>155</v>
      </c>
      <c r="W869" t="s">
        <v>68</v>
      </c>
      <c r="X869" t="str">
        <f>_xlfn.TEXTJOIN("|", TRUE, A869:W869)</f>
        <v>ORD-2024-10868|45617|45618|1|OK|CUST-2328|Rahul Verma|Home Office|South|Andhra Pradesh|Vijayawada|Technology|Accessories|Eco Accessories 389|Same Day|6|1043.49|0.25|4695.7|3871.69|824.01|Failed|Cancelled</v>
      </c>
      <c r="Y869">
        <f>COUNTIF($X$2:$X$1000, X869)</f>
        <v>1</v>
      </c>
      <c r="Z869">
        <f>COUNTIF($A$2:$A$1000, A869)</f>
        <v>1</v>
      </c>
      <c r="AA869" t="str">
        <f>IF(Y869&gt;1, "Exact Duplicate",
  IF(Z869&gt;1, "Conflicting Duplicate - Review",
    "Unique"))</f>
        <v>Unique</v>
      </c>
      <c r="AB869" s="2">
        <f>IF(ISBLANK(R869), 0, IF(ISTEXT(R869), VALUE(SUBSTITUTE(R869, "%", ""))/100, IF(OR(R869&lt;0, R869&gt;1), "Invalid", R869)))</f>
        <v>0.25</v>
      </c>
      <c r="AC869" s="4">
        <f>IF(AB869="Invalid", "Error", P869 * Q869 * (1 - AB869))</f>
        <v>4695.7049999999999</v>
      </c>
      <c r="AD869" s="4">
        <f>IF(AC869="Error", "Error", AC869 - T869)</f>
        <v>824.01499999999987</v>
      </c>
      <c r="AE869" s="2">
        <f>IF(AC869="Error", "Error", IF(AC869=0, 0, AD869 / AC869))</f>
        <v>0.17548270174553127</v>
      </c>
      <c r="AF869" s="7">
        <f>C869-B869</f>
        <v>1</v>
      </c>
      <c r="AG869" s="2" t="str">
        <f>TEXT(B869, "mmmm")</f>
        <v>November</v>
      </c>
      <c r="AH869" s="4">
        <f>YEAR(B869)</f>
        <v>2024</v>
      </c>
      <c r="AI869" s="2" t="str">
        <f t="shared" si="27"/>
        <v>Excluded from Sales</v>
      </c>
      <c r="AJ869">
        <f>COUNTIFS($A$2:$A$1000,A869,$B$2:$B$1000,B869,$C$2:$C$1000,C869,$D$2:$D$1000,D869,$E$2:$E$1000,E869,$F$2:$F$1000,F869)</f>
        <v>1</v>
      </c>
      <c r="AK869">
        <f>COUNTIF($A$2:$A$1000, A869)</f>
        <v>1</v>
      </c>
    </row>
    <row r="870" spans="1:37">
      <c r="A870" t="s">
        <v>2672</v>
      </c>
      <c r="B870" s="5">
        <v>45758</v>
      </c>
      <c r="C870" s="5">
        <v>45762</v>
      </c>
      <c r="D870" s="6">
        <f>IF(AND(C870&lt;&gt;"",B870&lt;&gt;""), C870-B870, "Missing Date")</f>
        <v>4</v>
      </c>
      <c r="E870" s="6" t="str">
        <f>IF(OR(B870="",C870=""), "Missing Date",
    IF(C870&lt;B870, "Invalid: Ship before Order",
      "OK"))</f>
        <v>OK</v>
      </c>
      <c r="F870" t="s">
        <v>2673</v>
      </c>
      <c r="G870" t="s">
        <v>71</v>
      </c>
      <c r="H870" t="s">
        <v>95</v>
      </c>
      <c r="I870" t="s">
        <v>54</v>
      </c>
      <c r="J870" t="s">
        <v>175</v>
      </c>
      <c r="K870" t="s">
        <v>176</v>
      </c>
      <c r="L870" t="s">
        <v>28</v>
      </c>
      <c r="M870" t="s">
        <v>124</v>
      </c>
      <c r="N870" t="s">
        <v>2674</v>
      </c>
      <c r="O870" t="s">
        <v>44</v>
      </c>
      <c r="P870">
        <v>9</v>
      </c>
      <c r="Q870">
        <v>224.94</v>
      </c>
      <c r="R870">
        <v>0.05</v>
      </c>
      <c r="S870">
        <v>1923.24</v>
      </c>
      <c r="T870">
        <v>1093.6600000000001</v>
      </c>
      <c r="U870">
        <v>829.58</v>
      </c>
      <c r="V870" t="s">
        <v>32</v>
      </c>
      <c r="W870" t="s">
        <v>33</v>
      </c>
      <c r="X870" t="str">
        <f>_xlfn.TEXTJOIN("|", TRUE, A870:W870)</f>
        <v>ORD-2025-10869|45758|45762|4|OK|CUST-8483|Vikram Iyer|Home Office|South|Karnataka|Bengaluru|Office Supplies|Storage|Elite Storage 187|Same Day|9|224.94|0.05|1923.24|1093.66|829.58|Paid|Completed</v>
      </c>
      <c r="Y870">
        <f>COUNTIF($X$2:$X$1000, X870)</f>
        <v>1</v>
      </c>
      <c r="Z870">
        <f>COUNTIF($A$2:$A$1000, A870)</f>
        <v>1</v>
      </c>
      <c r="AA870" t="str">
        <f>IF(Y870&gt;1, "Exact Duplicate",
  IF(Z870&gt;1, "Conflicting Duplicate - Review",
    "Unique"))</f>
        <v>Unique</v>
      </c>
      <c r="AB870" s="2">
        <f>IF(ISBLANK(R870), 0, IF(ISTEXT(R870), VALUE(SUBSTITUTE(R870, "%", ""))/100, IF(OR(R870&lt;0, R870&gt;1), "Invalid", R870)))</f>
        <v>0.05</v>
      </c>
      <c r="AC870" s="4">
        <f>IF(AB870="Invalid", "Error", P870 * Q870 * (1 - AB870))</f>
        <v>1923.2369999999999</v>
      </c>
      <c r="AD870" s="4">
        <f>IF(AC870="Error", "Error", AC870 - T870)</f>
        <v>829.57699999999977</v>
      </c>
      <c r="AE870" s="2">
        <f>IF(AC870="Error", "Error", IF(AC870=0, 0, AD870 / AC870))</f>
        <v>0.43134413491420964</v>
      </c>
      <c r="AF870" s="7">
        <f>C870-B870</f>
        <v>4</v>
      </c>
      <c r="AG870" s="2" t="str">
        <f>TEXT(B870, "mmmm")</f>
        <v>April</v>
      </c>
      <c r="AH870" s="4">
        <f>YEAR(B870)</f>
        <v>2025</v>
      </c>
      <c r="AI870" s="2" t="str">
        <f t="shared" si="27"/>
        <v>Clean</v>
      </c>
      <c r="AJ870">
        <f>COUNTIFS($A$2:$A$1000,A870,$B$2:$B$1000,B870,$C$2:$C$1000,C870,$D$2:$D$1000,D870,$E$2:$E$1000,E870,$F$2:$F$1000,F870)</f>
        <v>1</v>
      </c>
      <c r="AK870">
        <f>COUNTIF($A$2:$A$1000, A870)</f>
        <v>1</v>
      </c>
    </row>
    <row r="871" spans="1:37">
      <c r="A871" t="s">
        <v>2675</v>
      </c>
      <c r="B871" s="5">
        <v>45811</v>
      </c>
      <c r="C871" s="5">
        <v>45723</v>
      </c>
      <c r="D871" s="6">
        <f>IF(AND(C871&lt;&gt;"",B871&lt;&gt;""), C871-B871, "Missing Date")</f>
        <v>-88</v>
      </c>
      <c r="E871" s="6" t="str">
        <f>IF(OR(B871="",C871=""), "Missing Date",
    IF(C871&lt;B871, "Invalid: Ship before Order",
      "OK"))</f>
        <v>Invalid: Ship before Order</v>
      </c>
      <c r="F871" t="s">
        <v>2676</v>
      </c>
      <c r="G871" t="s">
        <v>141</v>
      </c>
      <c r="H871" t="s">
        <v>95</v>
      </c>
      <c r="I871" t="s">
        <v>2762</v>
      </c>
      <c r="J871" t="s">
        <v>350</v>
      </c>
      <c r="K871" t="s">
        <v>351</v>
      </c>
      <c r="L871" t="s">
        <v>41</v>
      </c>
      <c r="M871" t="s">
        <v>66</v>
      </c>
      <c r="N871" t="s">
        <v>1146</v>
      </c>
      <c r="O871" t="s">
        <v>44</v>
      </c>
      <c r="P871">
        <v>6</v>
      </c>
      <c r="Q871">
        <v>796.65</v>
      </c>
      <c r="R871">
        <v>0.1</v>
      </c>
      <c r="S871">
        <v>4301.91</v>
      </c>
      <c r="T871">
        <v>2374.4</v>
      </c>
      <c r="U871">
        <v>1927.51</v>
      </c>
      <c r="V871" t="s">
        <v>32</v>
      </c>
      <c r="W871" t="s">
        <v>33</v>
      </c>
      <c r="X871" t="str">
        <f>_xlfn.TEXTJOIN("|", TRUE, A871:W871)</f>
        <v>ORD-2025-10870|45811|45723|-88|Invalid: Ship before Order|CUST-2388|Rohan Mehta|Home Office|Unknown|Delhi|New Delhi|Furniture|Chairs|Max Chairs 487|Same Day|6|796.65|0.1|4301.91|2374.4|1927.51|Paid|Completed</v>
      </c>
      <c r="Y871">
        <f>COUNTIF($X$2:$X$1000, X871)</f>
        <v>1</v>
      </c>
      <c r="Z871">
        <f>COUNTIF($A$2:$A$1000, A871)</f>
        <v>1</v>
      </c>
      <c r="AA871" t="str">
        <f>IF(Y871&gt;1, "Exact Duplicate",
  IF(Z871&gt;1, "Conflicting Duplicate - Review",
    "Unique"))</f>
        <v>Unique</v>
      </c>
      <c r="AB871" s="2">
        <f>IF(ISBLANK(R871), 0, IF(ISTEXT(R871), VALUE(SUBSTITUTE(R871, "%", ""))/100, IF(OR(R871&lt;0, R871&gt;1), "Invalid", R871)))</f>
        <v>0.1</v>
      </c>
      <c r="AC871" s="4">
        <f>IF(AB871="Invalid", "Error", P871 * Q871 * (1 - AB871))</f>
        <v>4301.91</v>
      </c>
      <c r="AD871" s="4">
        <f>IF(AC871="Error", "Error", AC871 - T871)</f>
        <v>1927.5099999999998</v>
      </c>
      <c r="AE871" s="2">
        <f>IF(AC871="Error", "Error", IF(AC871=0, 0, AD871 / AC871))</f>
        <v>0.44805911792668834</v>
      </c>
      <c r="AF871" s="7">
        <f>C871-B871</f>
        <v>-88</v>
      </c>
      <c r="AG871" s="2" t="str">
        <f>TEXT(B871, "mmmm")</f>
        <v>June</v>
      </c>
      <c r="AH871" s="4">
        <f>YEAR(B871)</f>
        <v>2025</v>
      </c>
      <c r="AI871" s="2" t="str">
        <f t="shared" si="27"/>
        <v>Warning: Missing Region</v>
      </c>
      <c r="AJ871">
        <f>COUNTIFS($A$2:$A$1000,A871,$B$2:$B$1000,B871,$C$2:$C$1000,C871,$D$2:$D$1000,D871,$E$2:$E$1000,E871,$F$2:$F$1000,F871)</f>
        <v>1</v>
      </c>
      <c r="AK871">
        <f>COUNTIF($A$2:$A$1000, A871)</f>
        <v>1</v>
      </c>
    </row>
    <row r="872" spans="1:37">
      <c r="A872" t="s">
        <v>2677</v>
      </c>
      <c r="B872" s="5">
        <v>45814</v>
      </c>
      <c r="C872" s="5">
        <v>45815</v>
      </c>
      <c r="D872" s="6">
        <f>IF(AND(C872&lt;&gt;"",B872&lt;&gt;""), C872-B872, "Missing Date")</f>
        <v>1</v>
      </c>
      <c r="E872" s="6" t="str">
        <f>IF(OR(B872="",C872=""), "Missing Date",
    IF(C872&lt;B872, "Invalid: Ship before Order",
      "OK"))</f>
        <v>OK</v>
      </c>
      <c r="F872" t="s">
        <v>2678</v>
      </c>
      <c r="G872" t="s">
        <v>71</v>
      </c>
      <c r="H872" t="s">
        <v>90</v>
      </c>
      <c r="I872" t="s">
        <v>63</v>
      </c>
      <c r="J872" t="s">
        <v>190</v>
      </c>
      <c r="K872" t="s">
        <v>191</v>
      </c>
      <c r="L872" t="s">
        <v>41</v>
      </c>
      <c r="M872" t="s">
        <v>42</v>
      </c>
      <c r="N872" t="s">
        <v>2679</v>
      </c>
      <c r="O872" t="s">
        <v>59</v>
      </c>
      <c r="P872">
        <v>9</v>
      </c>
      <c r="Q872">
        <v>2932.92</v>
      </c>
      <c r="R872">
        <v>0.15</v>
      </c>
      <c r="S872">
        <v>22436.84</v>
      </c>
      <c r="T872">
        <v>17454.669999999998</v>
      </c>
      <c r="U872">
        <v>4982.17</v>
      </c>
      <c r="V872" t="s">
        <v>32</v>
      </c>
      <c r="W872" t="s">
        <v>68</v>
      </c>
      <c r="X872" t="str">
        <f>_xlfn.TEXTJOIN("|", TRUE, A872:W872)</f>
        <v>ORD-2025-10871|45814|45815|1|OK|CUST-7054|Vikram Iyer|Corporate|West|Goa|Panaji|Furniture|Tables|Max Tables 281|Standard Class|9|2932.92|0.15|22436.84|17454.67|4982.17|Paid|Cancelled</v>
      </c>
      <c r="Y872">
        <f>COUNTIF($X$2:$X$1000, X872)</f>
        <v>1</v>
      </c>
      <c r="Z872">
        <f>COUNTIF($A$2:$A$1000, A872)</f>
        <v>1</v>
      </c>
      <c r="AA872" t="str">
        <f>IF(Y872&gt;1, "Exact Duplicate",
  IF(Z872&gt;1, "Conflicting Duplicate - Review",
    "Unique"))</f>
        <v>Unique</v>
      </c>
      <c r="AB872" s="2">
        <f>IF(ISBLANK(R872), 0, IF(ISTEXT(R872), VALUE(SUBSTITUTE(R872, "%", ""))/100, IF(OR(R872&lt;0, R872&gt;1), "Invalid", R872)))</f>
        <v>0.15</v>
      </c>
      <c r="AC872" s="4">
        <f>IF(AB872="Invalid", "Error", P872 * Q872 * (1 - AB872))</f>
        <v>22436.838</v>
      </c>
      <c r="AD872" s="4">
        <f>IF(AC872="Error", "Error", AC872 - T872)</f>
        <v>4982.1680000000015</v>
      </c>
      <c r="AE872" s="2">
        <f>IF(AC872="Error", "Error", IF(AC872=0, 0, AD872 / AC872))</f>
        <v>0.22205303617203109</v>
      </c>
      <c r="AF872" s="7">
        <f>C872-B872</f>
        <v>1</v>
      </c>
      <c r="AG872" s="2" t="str">
        <f>TEXT(B872, "mmmm")</f>
        <v>June</v>
      </c>
      <c r="AH872" s="4">
        <f>YEAR(B872)</f>
        <v>2025</v>
      </c>
      <c r="AI872" s="2" t="str">
        <f t="shared" si="27"/>
        <v>Excluded from Sales</v>
      </c>
      <c r="AJ872">
        <f>COUNTIFS($A$2:$A$1000,A872,$B$2:$B$1000,B872,$C$2:$C$1000,C872,$D$2:$D$1000,D872,$E$2:$E$1000,E872,$F$2:$F$1000,F872)</f>
        <v>1</v>
      </c>
      <c r="AK872">
        <f>COUNTIF($A$2:$A$1000, A872)</f>
        <v>1</v>
      </c>
    </row>
    <row r="873" spans="1:37">
      <c r="A873" t="s">
        <v>2680</v>
      </c>
      <c r="B873" s="5">
        <v>45342</v>
      </c>
      <c r="C873" s="5">
        <v>45344</v>
      </c>
      <c r="D873" s="6">
        <f>IF(AND(C873&lt;&gt;"",B873&lt;&gt;""), C873-B873, "Missing Date")</f>
        <v>2</v>
      </c>
      <c r="E873" s="6" t="str">
        <f>IF(OR(B873="",C873=""), "Missing Date",
    IF(C873&lt;B873, "Invalid: Ship before Order",
      "OK"))</f>
        <v>OK</v>
      </c>
      <c r="F873" t="s">
        <v>2551</v>
      </c>
      <c r="G873" t="s">
        <v>79</v>
      </c>
      <c r="H873" t="s">
        <v>37</v>
      </c>
      <c r="I873" t="s">
        <v>54</v>
      </c>
      <c r="J873" t="s">
        <v>55</v>
      </c>
      <c r="K873" t="s">
        <v>56</v>
      </c>
      <c r="L873" t="s">
        <v>74</v>
      </c>
      <c r="M873" t="s">
        <v>75</v>
      </c>
      <c r="N873" t="s">
        <v>2681</v>
      </c>
      <c r="O873" t="s">
        <v>50</v>
      </c>
      <c r="P873">
        <v>9</v>
      </c>
      <c r="Q873">
        <v>2186.23</v>
      </c>
      <c r="R873">
        <v>0</v>
      </c>
      <c r="S873">
        <v>19676.07</v>
      </c>
      <c r="T873">
        <v>12458.62</v>
      </c>
      <c r="U873">
        <v>7217.45</v>
      </c>
      <c r="V873" t="s">
        <v>102</v>
      </c>
      <c r="W873" t="s">
        <v>68</v>
      </c>
      <c r="X873" t="str">
        <f>_xlfn.TEXTJOIN("|", TRUE, A873:W873)</f>
        <v>ORD-2024-10872|45342|45344|2|OK|CUST-4375|Neha Gupta|Small Business|South|Telangana|Hyderabad|Technology|Accessories|Pro Accessories 325|First Class|9|2186.23|0|19676.07|12458.62|7217.45|Refunded|Cancelled</v>
      </c>
      <c r="Y873">
        <f>COUNTIF($X$2:$X$1000, X873)</f>
        <v>1</v>
      </c>
      <c r="Z873">
        <f>COUNTIF($A$2:$A$1000, A873)</f>
        <v>1</v>
      </c>
      <c r="AA873" t="str">
        <f>IF(Y873&gt;1, "Exact Duplicate",
  IF(Z873&gt;1, "Conflicting Duplicate - Review",
    "Unique"))</f>
        <v>Unique</v>
      </c>
      <c r="AB873" s="2">
        <f>IF(ISBLANK(R873), 0, IF(ISTEXT(R873), VALUE(SUBSTITUTE(R873, "%", ""))/100, IF(OR(R873&lt;0, R873&gt;1), "Invalid", R873)))</f>
        <v>0</v>
      </c>
      <c r="AC873" s="4">
        <f>IF(AB873="Invalid", "Error", P873 * Q873 * (1 - AB873))</f>
        <v>19676.07</v>
      </c>
      <c r="AD873" s="4">
        <f>IF(AC873="Error", "Error", AC873 - T873)</f>
        <v>7217.4499999999989</v>
      </c>
      <c r="AE873" s="2">
        <f>IF(AC873="Error", "Error", IF(AC873=0, 0, AD873 / AC873))</f>
        <v>0.36681359641432454</v>
      </c>
      <c r="AF873" s="7">
        <f>C873-B873</f>
        <v>2</v>
      </c>
      <c r="AG873" s="2" t="str">
        <f>TEXT(B873, "mmmm")</f>
        <v>February</v>
      </c>
      <c r="AH873" s="4">
        <f>YEAR(B873)</f>
        <v>2024</v>
      </c>
      <c r="AI873" s="2" t="str">
        <f t="shared" si="27"/>
        <v>Excluded from Sales</v>
      </c>
      <c r="AJ873">
        <f>COUNTIFS($A$2:$A$1000,A873,$B$2:$B$1000,B873,$C$2:$C$1000,C873,$D$2:$D$1000,D873,$E$2:$E$1000,E873,$F$2:$F$1000,F873)</f>
        <v>1</v>
      </c>
      <c r="AK873">
        <f>COUNTIF($A$2:$A$1000, A873)</f>
        <v>1</v>
      </c>
    </row>
    <row r="874" spans="1:37">
      <c r="A874" t="s">
        <v>2682</v>
      </c>
      <c r="B874" s="5">
        <v>45302</v>
      </c>
      <c r="C874" s="5">
        <v>45598</v>
      </c>
      <c r="D874" s="6">
        <f>IF(AND(C874&lt;&gt;"",B874&lt;&gt;""), C874-B874, "Missing Date")</f>
        <v>296</v>
      </c>
      <c r="E874" s="6" t="str">
        <f>IF(OR(B874="",C874=""), "Missing Date",
    IF(C874&lt;B874, "Invalid: Ship before Order",
      "OK"))</f>
        <v>OK</v>
      </c>
      <c r="F874" t="s">
        <v>1960</v>
      </c>
      <c r="G874" t="s">
        <v>23</v>
      </c>
      <c r="H874" t="s">
        <v>90</v>
      </c>
      <c r="I874" t="s">
        <v>38</v>
      </c>
      <c r="J874" t="s">
        <v>99</v>
      </c>
      <c r="K874" t="s">
        <v>100</v>
      </c>
      <c r="L874" t="s">
        <v>41</v>
      </c>
      <c r="M874" t="s">
        <v>57</v>
      </c>
      <c r="N874" t="s">
        <v>2683</v>
      </c>
      <c r="O874" t="s">
        <v>59</v>
      </c>
      <c r="P874">
        <v>5</v>
      </c>
      <c r="Q874">
        <v>2212.02</v>
      </c>
      <c r="R874">
        <v>0.2</v>
      </c>
      <c r="S874">
        <v>8848.08</v>
      </c>
      <c r="T874">
        <v>5691.56</v>
      </c>
      <c r="U874">
        <v>3156.52</v>
      </c>
      <c r="V874" t="s">
        <v>32</v>
      </c>
      <c r="W874" t="s">
        <v>33</v>
      </c>
      <c r="X874" t="str">
        <f>_xlfn.TEXTJOIN("|", TRUE, A874:W874)</f>
        <v>ORD-2024-10873|45302|45598|296|OK|CUST-6262|Karan Malhotra|Corporate|East|West Bengal|Kolkata|Furniture|Furnishings|Prime Furnishings 178|Standard Class|5|2212.02|0.2|8848.08|5691.56|3156.52|Paid|Completed</v>
      </c>
      <c r="Y874">
        <f>COUNTIF($X$2:$X$1000, X874)</f>
        <v>1</v>
      </c>
      <c r="Z874">
        <f>COUNTIF($A$2:$A$1000, A874)</f>
        <v>1</v>
      </c>
      <c r="AA874" t="str">
        <f>IF(Y874&gt;1, "Exact Duplicate",
  IF(Z874&gt;1, "Conflicting Duplicate - Review",
    "Unique"))</f>
        <v>Unique</v>
      </c>
      <c r="AB874" s="2">
        <f>IF(ISBLANK(R874), 0, IF(ISTEXT(R874), VALUE(SUBSTITUTE(R874, "%", ""))/100, IF(OR(R874&lt;0, R874&gt;1), "Invalid", R874)))</f>
        <v>0.2</v>
      </c>
      <c r="AC874" s="4">
        <f>IF(AB874="Invalid", "Error", P874 * Q874 * (1 - AB874))</f>
        <v>8848.08</v>
      </c>
      <c r="AD874" s="4">
        <f>IF(AC874="Error", "Error", AC874 - T874)</f>
        <v>3156.5199999999995</v>
      </c>
      <c r="AE874" s="2">
        <f>IF(AC874="Error", "Error", IF(AC874=0, 0, AD874 / AC874))</f>
        <v>0.35674632236598219</v>
      </c>
      <c r="AF874" s="7">
        <f>C874-B874</f>
        <v>296</v>
      </c>
      <c r="AG874" s="2" t="str">
        <f>TEXT(B874, "mmmm")</f>
        <v>January</v>
      </c>
      <c r="AH874" s="4">
        <f>YEAR(B874)</f>
        <v>2024</v>
      </c>
      <c r="AI874" s="2" t="str">
        <f t="shared" si="27"/>
        <v>Clean</v>
      </c>
      <c r="AJ874">
        <f>COUNTIFS($A$2:$A$1000,A874,$B$2:$B$1000,B874,$C$2:$C$1000,C874,$D$2:$D$1000,D874,$E$2:$E$1000,E874,$F$2:$F$1000,F874)</f>
        <v>1</v>
      </c>
      <c r="AK874">
        <f>COUNTIF($A$2:$A$1000, A874)</f>
        <v>1</v>
      </c>
    </row>
    <row r="875" spans="1:37">
      <c r="A875" t="s">
        <v>2684</v>
      </c>
      <c r="B875" s="5">
        <v>45689</v>
      </c>
      <c r="C875" s="5">
        <v>45696</v>
      </c>
      <c r="D875" s="6">
        <f>IF(AND(C875&lt;&gt;"",B875&lt;&gt;""), C875-B875, "Missing Date")</f>
        <v>7</v>
      </c>
      <c r="E875" s="6" t="str">
        <f>IF(OR(B875="",C875=""), "Missing Date",
    IF(C875&lt;B875, "Invalid: Ship before Order",
      "OK"))</f>
        <v>OK</v>
      </c>
      <c r="F875" t="s">
        <v>2685</v>
      </c>
      <c r="G875" t="s">
        <v>89</v>
      </c>
      <c r="H875" t="s">
        <v>95</v>
      </c>
      <c r="I875" t="s">
        <v>63</v>
      </c>
      <c r="J875" t="s">
        <v>180</v>
      </c>
      <c r="K875" t="s">
        <v>181</v>
      </c>
      <c r="L875" t="s">
        <v>28</v>
      </c>
      <c r="M875" t="s">
        <v>124</v>
      </c>
      <c r="N875" t="s">
        <v>2686</v>
      </c>
      <c r="O875" t="s">
        <v>31</v>
      </c>
      <c r="P875">
        <v>8</v>
      </c>
      <c r="Q875">
        <v>623.30999999999995</v>
      </c>
      <c r="R875">
        <v>0.1</v>
      </c>
      <c r="S875">
        <v>4487.83</v>
      </c>
      <c r="T875">
        <v>2633.78</v>
      </c>
      <c r="U875">
        <v>1854.05</v>
      </c>
      <c r="V875" t="s">
        <v>32</v>
      </c>
      <c r="W875" t="s">
        <v>33</v>
      </c>
      <c r="X875" t="str">
        <f>_xlfn.TEXTJOIN("|", TRUE, A875:W875)</f>
        <v>ORD-2025-10874|45689|45696|7|OK|CUST-8160|Aditi Sen|Home Office|West|Gujarat|Ahmedabad|Office Supplies|Storage|Elite Storage 144|Second Class|8|623.31|0.1|4487.83|2633.78|1854.05|Paid|Completed</v>
      </c>
      <c r="Y875">
        <f>COUNTIF($X$2:$X$1000, X875)</f>
        <v>1</v>
      </c>
      <c r="Z875">
        <f>COUNTIF($A$2:$A$1000, A875)</f>
        <v>1</v>
      </c>
      <c r="AA875" t="str">
        <f>IF(Y875&gt;1, "Exact Duplicate",
  IF(Z875&gt;1, "Conflicting Duplicate - Review",
    "Unique"))</f>
        <v>Unique</v>
      </c>
      <c r="AB875" s="2">
        <f>IF(ISBLANK(R875), 0, IF(ISTEXT(R875), VALUE(SUBSTITUTE(R875, "%", ""))/100, IF(OR(R875&lt;0, R875&gt;1), "Invalid", R875)))</f>
        <v>0.1</v>
      </c>
      <c r="AC875" s="4">
        <f>IF(AB875="Invalid", "Error", P875 * Q875 * (1 - AB875))</f>
        <v>4487.8319999999994</v>
      </c>
      <c r="AD875" s="4">
        <f>IF(AC875="Error", "Error", AC875 - T875)</f>
        <v>1854.0519999999992</v>
      </c>
      <c r="AE875" s="2">
        <f>IF(AC875="Error", "Error", IF(AC875=0, 0, AD875 / AC875))</f>
        <v>0.41312865543986482</v>
      </c>
      <c r="AF875" s="7">
        <f>C875-B875</f>
        <v>7</v>
      </c>
      <c r="AG875" s="2" t="str">
        <f>TEXT(B875, "mmmm")</f>
        <v>February</v>
      </c>
      <c r="AH875" s="4">
        <f>YEAR(B875)</f>
        <v>2025</v>
      </c>
      <c r="AI875" s="2" t="str">
        <f t="shared" si="27"/>
        <v>Clean</v>
      </c>
      <c r="AJ875">
        <f>COUNTIFS($A$2:$A$1000,A875,$B$2:$B$1000,B875,$C$2:$C$1000,C875,$D$2:$D$1000,D875,$E$2:$E$1000,E875,$F$2:$F$1000,F875)</f>
        <v>1</v>
      </c>
      <c r="AK875">
        <f>COUNTIF($A$2:$A$1000, A875)</f>
        <v>1</v>
      </c>
    </row>
    <row r="876" spans="1:37">
      <c r="A876" t="s">
        <v>2687</v>
      </c>
      <c r="B876" s="5">
        <v>45853</v>
      </c>
      <c r="C876" s="5">
        <v>45854</v>
      </c>
      <c r="D876" s="6">
        <f>IF(AND(C876&lt;&gt;"",B876&lt;&gt;""), C876-B876, "Missing Date")</f>
        <v>1</v>
      </c>
      <c r="E876" s="6" t="str">
        <f>IF(OR(B876="",C876=""), "Missing Date",
    IF(C876&lt;B876, "Invalid: Ship before Order",
      "OK"))</f>
        <v>OK</v>
      </c>
      <c r="F876" t="s">
        <v>2688</v>
      </c>
      <c r="G876" t="s">
        <v>71</v>
      </c>
      <c r="H876" t="s">
        <v>37</v>
      </c>
      <c r="I876" t="s">
        <v>63</v>
      </c>
      <c r="J876" t="s">
        <v>64</v>
      </c>
      <c r="K876" t="s">
        <v>65</v>
      </c>
      <c r="L876" t="s">
        <v>28</v>
      </c>
      <c r="M876" t="s">
        <v>29</v>
      </c>
      <c r="N876" t="s">
        <v>2689</v>
      </c>
      <c r="O876" t="s">
        <v>59</v>
      </c>
      <c r="P876">
        <v>8</v>
      </c>
      <c r="Q876">
        <v>3924.88</v>
      </c>
      <c r="R876">
        <v>0.05</v>
      </c>
      <c r="S876">
        <v>29829.09</v>
      </c>
      <c r="T876">
        <v>20710.18</v>
      </c>
      <c r="U876">
        <v>9118.91</v>
      </c>
      <c r="V876" t="s">
        <v>32</v>
      </c>
      <c r="W876" t="s">
        <v>33</v>
      </c>
      <c r="X876" t="str">
        <f>_xlfn.TEXTJOIN("|", TRUE, A876:W876)</f>
        <v>ORD-2025-10875|45853|45854|1|OK|CUST-8770|Vikram Iyer|Small Business|West|Maharashtra|Mumbai|Office Supplies|Paper|Elite Paper 309|Standard Class|8|3924.88|0.05|29829.09|20710.18|9118.91|Paid|Completed</v>
      </c>
      <c r="Y876">
        <f>COUNTIF($X$2:$X$1000, X876)</f>
        <v>1</v>
      </c>
      <c r="Z876">
        <f>COUNTIF($A$2:$A$1000, A876)</f>
        <v>1</v>
      </c>
      <c r="AA876" t="str">
        <f>IF(Y876&gt;1, "Exact Duplicate",
  IF(Z876&gt;1, "Conflicting Duplicate - Review",
    "Unique"))</f>
        <v>Unique</v>
      </c>
      <c r="AB876" s="2">
        <f>IF(ISBLANK(R876), 0, IF(ISTEXT(R876), VALUE(SUBSTITUTE(R876, "%", ""))/100, IF(OR(R876&lt;0, R876&gt;1), "Invalid", R876)))</f>
        <v>0.05</v>
      </c>
      <c r="AC876" s="4">
        <f>IF(AB876="Invalid", "Error", P876 * Q876 * (1 - AB876))</f>
        <v>29829.088</v>
      </c>
      <c r="AD876" s="4">
        <f>IF(AC876="Error", "Error", AC876 - T876)</f>
        <v>9118.9079999999994</v>
      </c>
      <c r="AE876" s="2">
        <f>IF(AC876="Error", "Error", IF(AC876=0, 0, AD876 / AC876))</f>
        <v>0.30570522303598419</v>
      </c>
      <c r="AF876" s="7">
        <f>C876-B876</f>
        <v>1</v>
      </c>
      <c r="AG876" s="2" t="str">
        <f>TEXT(B876, "mmmm")</f>
        <v>July</v>
      </c>
      <c r="AH876" s="4">
        <f>YEAR(B876)</f>
        <v>2025</v>
      </c>
      <c r="AI876" s="2" t="str">
        <f t="shared" si="27"/>
        <v>Clean</v>
      </c>
      <c r="AJ876">
        <f>COUNTIFS($A$2:$A$1000,A876,$B$2:$B$1000,B876,$C$2:$C$1000,C876,$D$2:$D$1000,D876,$E$2:$E$1000,E876,$F$2:$F$1000,F876)</f>
        <v>1</v>
      </c>
      <c r="AK876">
        <f>COUNTIF($A$2:$A$1000, A876)</f>
        <v>1</v>
      </c>
    </row>
    <row r="877" spans="1:37">
      <c r="A877" t="s">
        <v>2690</v>
      </c>
      <c r="B877" s="5">
        <v>45514</v>
      </c>
      <c r="C877" s="5">
        <v>45604</v>
      </c>
      <c r="D877" s="6">
        <f>IF(AND(C877&lt;&gt;"",B877&lt;&gt;""), C877-B877, "Missing Date")</f>
        <v>90</v>
      </c>
      <c r="E877" s="6" t="str">
        <f>IF(OR(B877="",C877=""), "Missing Date",
    IF(C877&lt;B877, "Invalid: Ship before Order",
      "OK"))</f>
        <v>OK</v>
      </c>
      <c r="F877" t="s">
        <v>2691</v>
      </c>
      <c r="G877" t="s">
        <v>36</v>
      </c>
      <c r="H877" t="s">
        <v>90</v>
      </c>
      <c r="I877" t="s">
        <v>63</v>
      </c>
      <c r="J877" t="s">
        <v>64</v>
      </c>
      <c r="K877" t="s">
        <v>65</v>
      </c>
      <c r="L877" t="s">
        <v>74</v>
      </c>
      <c r="M877" t="s">
        <v>80</v>
      </c>
      <c r="N877" t="s">
        <v>2692</v>
      </c>
      <c r="O877" t="s">
        <v>50</v>
      </c>
      <c r="P877">
        <v>7</v>
      </c>
      <c r="Q877">
        <v>3852.62</v>
      </c>
      <c r="R877">
        <v>0.2</v>
      </c>
      <c r="S877">
        <v>21574.67</v>
      </c>
      <c r="T877">
        <v>14672.83</v>
      </c>
      <c r="U877">
        <v>6901.84</v>
      </c>
      <c r="V877" t="s">
        <v>32</v>
      </c>
      <c r="W877" t="s">
        <v>33</v>
      </c>
      <c r="X877" t="str">
        <f>_xlfn.TEXTJOIN("|", TRUE, A877:W877)</f>
        <v>ORD-2024-10876|45514|45604|90|OK|CUST-6928|Mira Das|Corporate|West|Maharashtra|Mumbai|Technology|Copiers|Elite Copiers 752|First Class|7|3852.62|0.2|21574.67|14672.83|6901.84|Paid|Completed</v>
      </c>
      <c r="Y877">
        <f>COUNTIF($X$2:$X$1000, X877)</f>
        <v>1</v>
      </c>
      <c r="Z877">
        <f>COUNTIF($A$2:$A$1000, A877)</f>
        <v>1</v>
      </c>
      <c r="AA877" t="str">
        <f>IF(Y877&gt;1, "Exact Duplicate",
  IF(Z877&gt;1, "Conflicting Duplicate - Review",
    "Unique"))</f>
        <v>Unique</v>
      </c>
      <c r="AB877" s="2">
        <f>IF(ISBLANK(R877), 0, IF(ISTEXT(R877), VALUE(SUBSTITUTE(R877, "%", ""))/100, IF(OR(R877&lt;0, R877&gt;1), "Invalid", R877)))</f>
        <v>0.2</v>
      </c>
      <c r="AC877" s="4">
        <f>IF(AB877="Invalid", "Error", P877 * Q877 * (1 - AB877))</f>
        <v>21574.672000000002</v>
      </c>
      <c r="AD877" s="4">
        <f>IF(AC877="Error", "Error", AC877 - T877)</f>
        <v>6901.8420000000024</v>
      </c>
      <c r="AE877" s="2">
        <f>IF(AC877="Error", "Error", IF(AC877=0, 0, AD877 / AC877))</f>
        <v>0.31990484026825539</v>
      </c>
      <c r="AF877" s="7">
        <f>C877-B877</f>
        <v>90</v>
      </c>
      <c r="AG877" s="2" t="str">
        <f>TEXT(B877, "mmmm")</f>
        <v>August</v>
      </c>
      <c r="AH877" s="4">
        <f>YEAR(B877)</f>
        <v>2024</v>
      </c>
      <c r="AI877" s="2" t="str">
        <f t="shared" si="27"/>
        <v>Clean</v>
      </c>
      <c r="AJ877">
        <f>COUNTIFS($A$2:$A$1000,A877,$B$2:$B$1000,B877,$C$2:$C$1000,C877,$D$2:$D$1000,D877,$E$2:$E$1000,E877,$F$2:$F$1000,F877)</f>
        <v>1</v>
      </c>
      <c r="AK877">
        <f>COUNTIF($A$2:$A$1000, A877)</f>
        <v>1</v>
      </c>
    </row>
    <row r="878" spans="1:37">
      <c r="A878" t="s">
        <v>2693</v>
      </c>
      <c r="B878" s="5">
        <v>45614</v>
      </c>
      <c r="C878" s="5">
        <v>45616</v>
      </c>
      <c r="D878" s="6">
        <f>IF(AND(C878&lt;&gt;"",B878&lt;&gt;""), C878-B878, "Missing Date")</f>
        <v>2</v>
      </c>
      <c r="E878" s="6" t="str">
        <f>IF(OR(B878="",C878=""), "Missing Date",
    IF(C878&lt;B878, "Invalid: Ship before Order",
      "OK"))</f>
        <v>OK</v>
      </c>
      <c r="F878" t="s">
        <v>2694</v>
      </c>
      <c r="G878" t="s">
        <v>114</v>
      </c>
      <c r="H878" t="s">
        <v>24</v>
      </c>
      <c r="I878" t="s">
        <v>63</v>
      </c>
      <c r="J878" t="s">
        <v>26</v>
      </c>
      <c r="K878" t="s">
        <v>109</v>
      </c>
      <c r="L878" t="s">
        <v>41</v>
      </c>
      <c r="M878" t="s">
        <v>66</v>
      </c>
      <c r="N878" t="s">
        <v>844</v>
      </c>
      <c r="O878" t="s">
        <v>50</v>
      </c>
      <c r="P878">
        <v>6</v>
      </c>
      <c r="Q878">
        <v>3790.22</v>
      </c>
      <c r="R878">
        <v>0</v>
      </c>
      <c r="S878">
        <v>22741.32</v>
      </c>
      <c r="T878">
        <v>16388.57</v>
      </c>
      <c r="U878">
        <v>6352.75</v>
      </c>
      <c r="V878" t="s">
        <v>32</v>
      </c>
      <c r="W878" t="s">
        <v>33</v>
      </c>
      <c r="X878" t="str">
        <f>_xlfn.TEXTJOIN("|", TRUE, A878:W878)</f>
        <v>ORD-2024-10877|45614|45616|2|OK|CUST-9044|Priya Menon|Consumer|West|Rajasthan|Udaipur|Furniture|Chairs|Pro Chairs 316|First Class|6|3790.22|0|22741.32|16388.57|6352.75|Paid|Completed</v>
      </c>
      <c r="Y878">
        <f>COUNTIF($X$2:$X$1000, X878)</f>
        <v>1</v>
      </c>
      <c r="Z878">
        <f>COUNTIF($A$2:$A$1000, A878)</f>
        <v>1</v>
      </c>
      <c r="AA878" t="str">
        <f>IF(Y878&gt;1, "Exact Duplicate",
  IF(Z878&gt;1, "Conflicting Duplicate - Review",
    "Unique"))</f>
        <v>Unique</v>
      </c>
      <c r="AB878" s="2">
        <f>IF(ISBLANK(R878), 0, IF(ISTEXT(R878), VALUE(SUBSTITUTE(R878, "%", ""))/100, IF(OR(R878&lt;0, R878&gt;1), "Invalid", R878)))</f>
        <v>0</v>
      </c>
      <c r="AC878" s="4">
        <f>IF(AB878="Invalid", "Error", P878 * Q878 * (1 - AB878))</f>
        <v>22741.32</v>
      </c>
      <c r="AD878" s="4">
        <f>IF(AC878="Error", "Error", AC878 - T878)</f>
        <v>6352.75</v>
      </c>
      <c r="AE878" s="2">
        <f>IF(AC878="Error", "Error", IF(AC878=0, 0, AD878 / AC878))</f>
        <v>0.27934834037777928</v>
      </c>
      <c r="AF878" s="7">
        <f>C878-B878</f>
        <v>2</v>
      </c>
      <c r="AG878" s="2" t="str">
        <f>TEXT(B878, "mmmm")</f>
        <v>November</v>
      </c>
      <c r="AH878" s="4">
        <f>YEAR(B878)</f>
        <v>2024</v>
      </c>
      <c r="AI878" s="2" t="str">
        <f t="shared" si="27"/>
        <v>Clean</v>
      </c>
      <c r="AJ878">
        <f>COUNTIFS($A$2:$A$1000,A878,$B$2:$B$1000,B878,$C$2:$C$1000,C878,$D$2:$D$1000,D878,$E$2:$E$1000,E878,$F$2:$F$1000,F878)</f>
        <v>1</v>
      </c>
      <c r="AK878">
        <f>COUNTIF($A$2:$A$1000, A878)</f>
        <v>1</v>
      </c>
    </row>
    <row r="879" spans="1:37">
      <c r="A879" t="s">
        <v>2695</v>
      </c>
      <c r="B879" s="5">
        <v>45895</v>
      </c>
      <c r="C879" s="5">
        <v>45903</v>
      </c>
      <c r="D879" s="6">
        <f>IF(AND(C879&lt;&gt;"",B879&lt;&gt;""), C879-B879, "Missing Date")</f>
        <v>8</v>
      </c>
      <c r="E879" s="6" t="str">
        <f>IF(OR(B879="",C879=""), "Missing Date",
    IF(C879&lt;B879, "Invalid: Ship before Order",
      "OK"))</f>
        <v>OK</v>
      </c>
      <c r="F879" t="s">
        <v>2696</v>
      </c>
      <c r="G879" t="s">
        <v>128</v>
      </c>
      <c r="H879" t="s">
        <v>24</v>
      </c>
      <c r="I879" t="s">
        <v>63</v>
      </c>
      <c r="J879" t="s">
        <v>26</v>
      </c>
      <c r="K879" t="s">
        <v>109</v>
      </c>
      <c r="L879" t="s">
        <v>28</v>
      </c>
      <c r="M879" t="s">
        <v>124</v>
      </c>
      <c r="N879" t="s">
        <v>2697</v>
      </c>
      <c r="O879" t="s">
        <v>31</v>
      </c>
      <c r="P879">
        <v>6</v>
      </c>
      <c r="Q879">
        <v>674.36</v>
      </c>
      <c r="R879">
        <v>0.1</v>
      </c>
      <c r="S879">
        <v>3641.54</v>
      </c>
      <c r="T879">
        <v>2690.37</v>
      </c>
      <c r="U879">
        <v>951.17</v>
      </c>
      <c r="V879" t="s">
        <v>32</v>
      </c>
      <c r="W879" t="s">
        <v>33</v>
      </c>
      <c r="X879" t="str">
        <f>_xlfn.TEXTJOIN("|", TRUE, A879:W879)</f>
        <v>ORD-2025-10878|45895|45903|8|OK|CUST-7146|Aarav Sharma|Consumer|West|Rajasthan|Udaipur|Office Supplies|Storage|Max Storage 438|Second Class|6|674.36|0.1|3641.54|2690.37|951.17|Paid|Completed</v>
      </c>
      <c r="Y879">
        <f>COUNTIF($X$2:$X$1000, X879)</f>
        <v>1</v>
      </c>
      <c r="Z879">
        <f>COUNTIF($A$2:$A$1000, A879)</f>
        <v>1</v>
      </c>
      <c r="AA879" t="str">
        <f>IF(Y879&gt;1, "Exact Duplicate",
  IF(Z879&gt;1, "Conflicting Duplicate - Review",
    "Unique"))</f>
        <v>Unique</v>
      </c>
      <c r="AB879" s="2">
        <f>IF(ISBLANK(R879), 0, IF(ISTEXT(R879), VALUE(SUBSTITUTE(R879, "%", ""))/100, IF(OR(R879&lt;0, R879&gt;1), "Invalid", R879)))</f>
        <v>0.1</v>
      </c>
      <c r="AC879" s="4">
        <f>IF(AB879="Invalid", "Error", P879 * Q879 * (1 - AB879))</f>
        <v>3641.5439999999999</v>
      </c>
      <c r="AD879" s="4">
        <f>IF(AC879="Error", "Error", AC879 - T879)</f>
        <v>951.17399999999998</v>
      </c>
      <c r="AE879" s="2">
        <f>IF(AC879="Error", "Error", IF(AC879=0, 0, AD879 / AC879))</f>
        <v>0.26120074342092253</v>
      </c>
      <c r="AF879" s="7">
        <f>C879-B879</f>
        <v>8</v>
      </c>
      <c r="AG879" s="2" t="str">
        <f>TEXT(B879, "mmmm")</f>
        <v>August</v>
      </c>
      <c r="AH879" s="4">
        <f>YEAR(B879)</f>
        <v>2025</v>
      </c>
      <c r="AI879" s="2" t="str">
        <f t="shared" si="27"/>
        <v>Clean</v>
      </c>
      <c r="AJ879">
        <f>COUNTIFS($A$2:$A$1000,A879,$B$2:$B$1000,B879,$C$2:$C$1000,C879,$D$2:$D$1000,D879,$E$2:$E$1000,E879,$F$2:$F$1000,F879)</f>
        <v>1</v>
      </c>
      <c r="AK879">
        <f>COUNTIF($A$2:$A$1000, A879)</f>
        <v>1</v>
      </c>
    </row>
    <row r="880" spans="1:37">
      <c r="A880" t="s">
        <v>2698</v>
      </c>
      <c r="B880" s="5">
        <v>45313</v>
      </c>
      <c r="C880" s="5">
        <v>45313</v>
      </c>
      <c r="D880" s="6">
        <f>IF(AND(C880&lt;&gt;"",B880&lt;&gt;""), C880-B880, "Missing Date")</f>
        <v>0</v>
      </c>
      <c r="E880" s="6" t="str">
        <f>IF(OR(B880="",C880=""), "Missing Date",
    IF(C880&lt;B880, "Invalid: Ship before Order",
      "OK"))</f>
        <v>OK</v>
      </c>
      <c r="F880" t="s">
        <v>2699</v>
      </c>
      <c r="G880" t="s">
        <v>23</v>
      </c>
      <c r="H880" t="s">
        <v>90</v>
      </c>
      <c r="I880" t="s">
        <v>38</v>
      </c>
      <c r="J880" t="s">
        <v>99</v>
      </c>
      <c r="K880" t="s">
        <v>100</v>
      </c>
      <c r="L880" t="s">
        <v>28</v>
      </c>
      <c r="M880" t="s">
        <v>29</v>
      </c>
      <c r="N880" t="s">
        <v>2700</v>
      </c>
      <c r="O880" t="s">
        <v>50</v>
      </c>
      <c r="P880">
        <v>8</v>
      </c>
      <c r="Q880">
        <v>1557.21</v>
      </c>
      <c r="R880">
        <v>0.05</v>
      </c>
      <c r="S880">
        <v>11834.8</v>
      </c>
      <c r="T880">
        <v>9322.36</v>
      </c>
      <c r="U880">
        <v>2512.44</v>
      </c>
      <c r="V880" t="s">
        <v>32</v>
      </c>
      <c r="W880" t="s">
        <v>33</v>
      </c>
      <c r="X880" t="str">
        <f>_xlfn.TEXTJOIN("|", TRUE, A880:W880)</f>
        <v>ORD-2024-10879|45313|45313|0|OK|CUST-8534|Karan Malhotra|Corporate|East|West Bengal|Kolkata|Office Supplies|Paper|Basic Paper 904|First Class|8|1557.21|0.05|11834.8|9322.36|2512.44|Paid|Completed</v>
      </c>
      <c r="Y880">
        <f>COUNTIF($X$2:$X$1000, X880)</f>
        <v>1</v>
      </c>
      <c r="Z880">
        <f>COUNTIF($A$2:$A$1000, A880)</f>
        <v>1</v>
      </c>
      <c r="AA880" t="str">
        <f>IF(Y880&gt;1, "Exact Duplicate",
  IF(Z880&gt;1, "Conflicting Duplicate - Review",
    "Unique"))</f>
        <v>Unique</v>
      </c>
      <c r="AB880" s="2">
        <f>IF(ISBLANK(R880), 0, IF(ISTEXT(R880), VALUE(SUBSTITUTE(R880, "%", ""))/100, IF(OR(R880&lt;0, R880&gt;1), "Invalid", R880)))</f>
        <v>0.05</v>
      </c>
      <c r="AC880" s="4">
        <f>IF(AB880="Invalid", "Error", P880 * Q880 * (1 - AB880))</f>
        <v>11834.796</v>
      </c>
      <c r="AD880" s="4">
        <f>IF(AC880="Error", "Error", AC880 - T880)</f>
        <v>2512.4359999999997</v>
      </c>
      <c r="AE880" s="2">
        <f>IF(AC880="Error", "Error", IF(AC880=0, 0, AD880 / AC880))</f>
        <v>0.21229229468763125</v>
      </c>
      <c r="AF880" s="7">
        <f>C880-B880</f>
        <v>0</v>
      </c>
      <c r="AG880" s="2" t="str">
        <f>TEXT(B880, "mmmm")</f>
        <v>January</v>
      </c>
      <c r="AH880" s="4">
        <f>YEAR(B880)</f>
        <v>2024</v>
      </c>
      <c r="AI880" s="2" t="str">
        <f t="shared" si="27"/>
        <v>Clean</v>
      </c>
      <c r="AJ880">
        <f>COUNTIFS($A$2:$A$1000,A880,$B$2:$B$1000,B880,$C$2:$C$1000,C880,$D$2:$D$1000,D880,$E$2:$E$1000,E880,$F$2:$F$1000,F880)</f>
        <v>1</v>
      </c>
      <c r="AK880">
        <f>COUNTIF($A$2:$A$1000, A880)</f>
        <v>1</v>
      </c>
    </row>
    <row r="881" spans="1:37">
      <c r="A881" t="s">
        <v>2701</v>
      </c>
      <c r="B881" s="5">
        <v>45896</v>
      </c>
      <c r="C881" s="5">
        <v>45897</v>
      </c>
      <c r="D881" s="6">
        <f>IF(AND(C881&lt;&gt;"",B881&lt;&gt;""), C881-B881, "Missing Date")</f>
        <v>1</v>
      </c>
      <c r="E881" s="6" t="str">
        <f>IF(OR(B881="",C881=""), "Missing Date",
    IF(C881&lt;B881, "Invalid: Ship before Order",
      "OK"))</f>
        <v>OK</v>
      </c>
      <c r="F881" t="s">
        <v>2702</v>
      </c>
      <c r="G881" t="s">
        <v>62</v>
      </c>
      <c r="H881" t="s">
        <v>95</v>
      </c>
      <c r="I881" t="s">
        <v>25</v>
      </c>
      <c r="J881" t="s">
        <v>136</v>
      </c>
      <c r="K881" t="s">
        <v>137</v>
      </c>
      <c r="L881" t="s">
        <v>28</v>
      </c>
      <c r="M881" t="s">
        <v>48</v>
      </c>
      <c r="N881" t="s">
        <v>2703</v>
      </c>
      <c r="O881" t="s">
        <v>59</v>
      </c>
      <c r="P881">
        <v>6</v>
      </c>
      <c r="Q881">
        <v>1182.03</v>
      </c>
      <c r="R881">
        <v>0.15</v>
      </c>
      <c r="S881">
        <v>6028.35</v>
      </c>
      <c r="T881">
        <v>4433.63</v>
      </c>
      <c r="U881">
        <v>1594.72</v>
      </c>
      <c r="V881" t="s">
        <v>32</v>
      </c>
      <c r="W881" t="s">
        <v>33</v>
      </c>
      <c r="X881" t="str">
        <f>_xlfn.TEXTJOIN("|", TRUE, A881:W881)</f>
        <v>ORD-2025-10880|45896|45897|1|OK|CUST-4486|Ananya Rao|Home Office|North|Uttar Pradesh|Noida|Office Supplies|Art|Smart Art 990|Standard Class|6|1182.03|0.15|6028.35|4433.63|1594.72|Paid|Completed</v>
      </c>
      <c r="Y881">
        <f>COUNTIF($X$2:$X$1000, X881)</f>
        <v>1</v>
      </c>
      <c r="Z881">
        <f>COUNTIF($A$2:$A$1000, A881)</f>
        <v>1</v>
      </c>
      <c r="AA881" t="str">
        <f>IF(Y881&gt;1, "Exact Duplicate",
  IF(Z881&gt;1, "Conflicting Duplicate - Review",
    "Unique"))</f>
        <v>Unique</v>
      </c>
      <c r="AB881" s="2">
        <f>IF(ISBLANK(R881), 0, IF(ISTEXT(R881), VALUE(SUBSTITUTE(R881, "%", ""))/100, IF(OR(R881&lt;0, R881&gt;1), "Invalid", R881)))</f>
        <v>0.15</v>
      </c>
      <c r="AC881" s="4">
        <f>IF(AB881="Invalid", "Error", P881 * Q881 * (1 - AB881))</f>
        <v>6028.3530000000001</v>
      </c>
      <c r="AD881" s="4">
        <f>IF(AC881="Error", "Error", AC881 - T881)</f>
        <v>1594.723</v>
      </c>
      <c r="AE881" s="2">
        <f>IF(AC881="Error", "Error", IF(AC881=0, 0, AD881 / AC881))</f>
        <v>0.26453709661660491</v>
      </c>
      <c r="AF881" s="7">
        <f>C881-B881</f>
        <v>1</v>
      </c>
      <c r="AG881" s="2" t="str">
        <f>TEXT(B881, "mmmm")</f>
        <v>August</v>
      </c>
      <c r="AH881" s="4">
        <f>YEAR(B881)</f>
        <v>2025</v>
      </c>
      <c r="AI881" s="2" t="str">
        <f t="shared" si="27"/>
        <v>Clean</v>
      </c>
      <c r="AJ881">
        <f>COUNTIFS($A$2:$A$1000,A881,$B$2:$B$1000,B881,$C$2:$C$1000,C881,$D$2:$D$1000,D881,$E$2:$E$1000,E881,$F$2:$F$1000,F881)</f>
        <v>1</v>
      </c>
      <c r="AK881">
        <f>COUNTIF($A$2:$A$1000, A881)</f>
        <v>1</v>
      </c>
    </row>
    <row r="882" spans="1:37">
      <c r="A882" t="s">
        <v>2704</v>
      </c>
      <c r="B882" s="5">
        <v>45359</v>
      </c>
      <c r="C882" s="5">
        <v>45366</v>
      </c>
      <c r="D882" s="6">
        <f>IF(AND(C882&lt;&gt;"",B882&lt;&gt;""), C882-B882, "Missing Date")</f>
        <v>7</v>
      </c>
      <c r="E882" s="6" t="str">
        <f>IF(OR(B882="",C882=""), "Missing Date",
    IF(C882&lt;B882, "Invalid: Ship before Order",
      "OK"))</f>
        <v>OK</v>
      </c>
      <c r="F882" t="s">
        <v>2705</v>
      </c>
      <c r="G882" t="s">
        <v>128</v>
      </c>
      <c r="H882" t="s">
        <v>37</v>
      </c>
      <c r="I882" t="s">
        <v>2762</v>
      </c>
      <c r="J882" t="s">
        <v>122</v>
      </c>
      <c r="K882" t="s">
        <v>123</v>
      </c>
      <c r="L882" t="s">
        <v>41</v>
      </c>
      <c r="M882" t="s">
        <v>66</v>
      </c>
      <c r="N882" t="s">
        <v>2706</v>
      </c>
      <c r="O882" t="s">
        <v>50</v>
      </c>
      <c r="P882">
        <v>5</v>
      </c>
      <c r="Q882">
        <v>3234.77</v>
      </c>
      <c r="R882">
        <v>0</v>
      </c>
      <c r="S882">
        <v>16173.85</v>
      </c>
      <c r="T882">
        <v>13636.34</v>
      </c>
      <c r="U882">
        <v>2537.5100000000002</v>
      </c>
      <c r="V882" t="s">
        <v>32</v>
      </c>
      <c r="W882" t="s">
        <v>33</v>
      </c>
      <c r="X882" t="str">
        <f>_xlfn.TEXTJOIN("|", TRUE, A882:W882)</f>
        <v>ORD-2024-10881|45359|45366|7|OK|CUST-5287|Aarav Sharma|Small Business|Unknown|Punjab|Ludhiana|Furniture|Chairs|Basic Chairs 327|First Class|5|3234.77|0|16173.85|13636.34|2537.51|Paid|Completed</v>
      </c>
      <c r="Y882">
        <f>COUNTIF($X$2:$X$1000, X882)</f>
        <v>1</v>
      </c>
      <c r="Z882">
        <f>COUNTIF($A$2:$A$1000, A882)</f>
        <v>1</v>
      </c>
      <c r="AA882" t="str">
        <f>IF(Y882&gt;1, "Exact Duplicate",
  IF(Z882&gt;1, "Conflicting Duplicate - Review",
    "Unique"))</f>
        <v>Unique</v>
      </c>
      <c r="AB882" s="2">
        <f>IF(ISBLANK(R882), 0, IF(ISTEXT(R882), VALUE(SUBSTITUTE(R882, "%", ""))/100, IF(OR(R882&lt;0, R882&gt;1), "Invalid", R882)))</f>
        <v>0</v>
      </c>
      <c r="AC882" s="4">
        <f>IF(AB882="Invalid", "Error", P882 * Q882 * (1 - AB882))</f>
        <v>16173.85</v>
      </c>
      <c r="AD882" s="4">
        <f>IF(AC882="Error", "Error", AC882 - T882)</f>
        <v>2537.5100000000002</v>
      </c>
      <c r="AE882" s="2">
        <f>IF(AC882="Error", "Error", IF(AC882=0, 0, AD882 / AC882))</f>
        <v>0.15688967067210344</v>
      </c>
      <c r="AF882" s="7">
        <f>C882-B882</f>
        <v>7</v>
      </c>
      <c r="AG882" s="2" t="str">
        <f>TEXT(B882, "mmmm")</f>
        <v>March</v>
      </c>
      <c r="AH882" s="4">
        <f>YEAR(B882)</f>
        <v>2024</v>
      </c>
      <c r="AI882" s="2" t="str">
        <f t="shared" si="27"/>
        <v>Warning: Missing Region</v>
      </c>
      <c r="AJ882">
        <f>COUNTIFS($A$2:$A$1000,A882,$B$2:$B$1000,B882,$C$2:$C$1000,C882,$D$2:$D$1000,D882,$E$2:$E$1000,E882,$F$2:$F$1000,F882)</f>
        <v>1</v>
      </c>
      <c r="AK882">
        <f>COUNTIF($A$2:$A$1000, A882)</f>
        <v>1</v>
      </c>
    </row>
    <row r="883" spans="1:37">
      <c r="A883" t="s">
        <v>2707</v>
      </c>
      <c r="B883" s="5">
        <v>45627</v>
      </c>
      <c r="C883" s="5">
        <v>45631</v>
      </c>
      <c r="D883" s="6">
        <f>IF(AND(C883&lt;&gt;"",B883&lt;&gt;""), C883-B883, "Missing Date")</f>
        <v>4</v>
      </c>
      <c r="E883" s="6" t="str">
        <f>IF(OR(B883="",C883=""), "Missing Date",
    IF(C883&lt;B883, "Invalid: Ship before Order",
      "OK"))</f>
        <v>OK</v>
      </c>
      <c r="F883" t="s">
        <v>2708</v>
      </c>
      <c r="G883" t="s">
        <v>62</v>
      </c>
      <c r="H883" t="s">
        <v>37</v>
      </c>
      <c r="I883" t="s">
        <v>54</v>
      </c>
      <c r="J883" t="s">
        <v>84</v>
      </c>
      <c r="K883" t="s">
        <v>85</v>
      </c>
      <c r="L883" t="s">
        <v>74</v>
      </c>
      <c r="M883" t="s">
        <v>80</v>
      </c>
      <c r="N883" t="s">
        <v>2709</v>
      </c>
      <c r="O883" t="s">
        <v>31</v>
      </c>
      <c r="P883">
        <v>9</v>
      </c>
      <c r="Q883">
        <v>3726.75</v>
      </c>
      <c r="R883">
        <v>0.25</v>
      </c>
      <c r="S883">
        <v>25155.56</v>
      </c>
      <c r="T883">
        <v>17592.689999999999</v>
      </c>
      <c r="U883">
        <v>7562.87</v>
      </c>
      <c r="V883" t="s">
        <v>32</v>
      </c>
      <c r="W883" t="s">
        <v>33</v>
      </c>
      <c r="X883" t="str">
        <f>_xlfn.TEXTJOIN("|", TRUE, A883:W883)</f>
        <v>ORD-2024-10882|45627|45631|4|OK|CUST-3445|Ananya Rao|Small Business|South|Andhra Pradesh|Vijayawada|Technology|Copiers|Eco Copiers 987|Second Class|9|3726.75|0.25|25155.56|17592.69|7562.87|Paid|Completed</v>
      </c>
      <c r="Y883">
        <f>COUNTIF($X$2:$X$1000, X883)</f>
        <v>1</v>
      </c>
      <c r="Z883">
        <f>COUNTIF($A$2:$A$1000, A883)</f>
        <v>1</v>
      </c>
      <c r="AA883" t="str">
        <f>IF(Y883&gt;1, "Exact Duplicate",
  IF(Z883&gt;1, "Conflicting Duplicate - Review",
    "Unique"))</f>
        <v>Unique</v>
      </c>
      <c r="AB883" s="2">
        <f>IF(ISBLANK(R883), 0, IF(ISTEXT(R883), VALUE(SUBSTITUTE(R883, "%", ""))/100, IF(OR(R883&lt;0, R883&gt;1), "Invalid", R883)))</f>
        <v>0.25</v>
      </c>
      <c r="AC883" s="4">
        <f>IF(AB883="Invalid", "Error", P883 * Q883 * (1 - AB883))</f>
        <v>25155.5625</v>
      </c>
      <c r="AD883" s="4">
        <f>IF(AC883="Error", "Error", AC883 - T883)</f>
        <v>7562.8725000000013</v>
      </c>
      <c r="AE883" s="2">
        <f>IF(AC883="Error", "Error", IF(AC883=0, 0, AD883 / AC883))</f>
        <v>0.30064414182747856</v>
      </c>
      <c r="AF883" s="7">
        <f>C883-B883</f>
        <v>4</v>
      </c>
      <c r="AG883" s="2" t="str">
        <f>TEXT(B883, "mmmm")</f>
        <v>December</v>
      </c>
      <c r="AH883" s="4">
        <f>YEAR(B883)</f>
        <v>2024</v>
      </c>
      <c r="AI883" s="2" t="str">
        <f t="shared" si="27"/>
        <v>Clean</v>
      </c>
      <c r="AJ883">
        <f>COUNTIFS($A$2:$A$1000,A883,$B$2:$B$1000,B883,$C$2:$C$1000,C883,$D$2:$D$1000,D883,$E$2:$E$1000,E883,$F$2:$F$1000,F883)</f>
        <v>1</v>
      </c>
      <c r="AK883">
        <f>COUNTIF($A$2:$A$1000, A883)</f>
        <v>1</v>
      </c>
    </row>
    <row r="884" spans="1:37">
      <c r="A884" t="s">
        <v>2710</v>
      </c>
      <c r="B884" s="5">
        <v>45690</v>
      </c>
      <c r="C884" s="5">
        <v>45932</v>
      </c>
      <c r="D884" s="6">
        <f>IF(AND(C884&lt;&gt;"",B884&lt;&gt;""), C884-B884, "Missing Date")</f>
        <v>242</v>
      </c>
      <c r="E884" s="6" t="str">
        <f>IF(OR(B884="",C884=""), "Missing Date",
    IF(C884&lt;B884, "Invalid: Ship before Order",
      "OK"))</f>
        <v>OK</v>
      </c>
      <c r="F884" t="s">
        <v>2711</v>
      </c>
      <c r="G884" t="s">
        <v>132</v>
      </c>
      <c r="H884" t="s">
        <v>90</v>
      </c>
      <c r="I884" t="s">
        <v>38</v>
      </c>
      <c r="J884" t="s">
        <v>145</v>
      </c>
      <c r="K884" t="s">
        <v>146</v>
      </c>
      <c r="L884" t="s">
        <v>74</v>
      </c>
      <c r="M884" t="s">
        <v>75</v>
      </c>
      <c r="N884" t="s">
        <v>2712</v>
      </c>
      <c r="O884" t="s">
        <v>59</v>
      </c>
      <c r="P884">
        <v>4</v>
      </c>
      <c r="Q884">
        <v>1912.45</v>
      </c>
      <c r="R884">
        <v>0</v>
      </c>
      <c r="S884">
        <v>7649.8</v>
      </c>
      <c r="T884">
        <v>4894.53</v>
      </c>
      <c r="U884">
        <v>2755.27</v>
      </c>
      <c r="V884" t="s">
        <v>111</v>
      </c>
      <c r="W884" t="s">
        <v>103</v>
      </c>
      <c r="X884" t="str">
        <f>_xlfn.TEXTJOIN("|", TRUE, A884:W884)</f>
        <v>ORD-2025-10883|45690|45932|242|OK|CUST-4983|Sneha Kapoor|Corporate|East|Bihar|Patna|Technology|Accessories|Basic Accessories 607|Standard Class|4|1912.45|0|7649.8|4894.53|2755.27|Pending|Returned</v>
      </c>
      <c r="Y884">
        <f>COUNTIF($X$2:$X$1000, X884)</f>
        <v>1</v>
      </c>
      <c r="Z884">
        <f>COUNTIF($A$2:$A$1000, A884)</f>
        <v>1</v>
      </c>
      <c r="AA884" t="str">
        <f>IF(Y884&gt;1, "Exact Duplicate",
  IF(Z884&gt;1, "Conflicting Duplicate - Review",
    "Unique"))</f>
        <v>Unique</v>
      </c>
      <c r="AB884" s="2">
        <f>IF(ISBLANK(R884), 0, IF(ISTEXT(R884), VALUE(SUBSTITUTE(R884, "%", ""))/100, IF(OR(R884&lt;0, R884&gt;1), "Invalid", R884)))</f>
        <v>0</v>
      </c>
      <c r="AC884" s="4">
        <f>IF(AB884="Invalid", "Error", P884 * Q884 * (1 - AB884))</f>
        <v>7649.8</v>
      </c>
      <c r="AD884" s="4">
        <f>IF(AC884="Error", "Error", AC884 - T884)</f>
        <v>2755.2700000000004</v>
      </c>
      <c r="AE884" s="2">
        <f>IF(AC884="Error", "Error", IF(AC884=0, 0, AD884 / AC884))</f>
        <v>0.36017542942299152</v>
      </c>
      <c r="AF884" s="7">
        <f>C884-B884</f>
        <v>242</v>
      </c>
      <c r="AG884" s="2" t="str">
        <f>TEXT(B884, "mmmm")</f>
        <v>February</v>
      </c>
      <c r="AH884" s="4">
        <f>YEAR(B884)</f>
        <v>2025</v>
      </c>
      <c r="AI884" s="2" t="str">
        <f t="shared" si="27"/>
        <v>Clean</v>
      </c>
      <c r="AJ884">
        <f>COUNTIFS($A$2:$A$1000,A884,$B$2:$B$1000,B884,$C$2:$C$1000,C884,$D$2:$D$1000,D884,$E$2:$E$1000,E884,$F$2:$F$1000,F884)</f>
        <v>1</v>
      </c>
      <c r="AK884">
        <f>COUNTIF($A$2:$A$1000, A884)</f>
        <v>1</v>
      </c>
    </row>
    <row r="885" spans="1:37">
      <c r="A885" t="s">
        <v>2713</v>
      </c>
      <c r="B885" s="5">
        <v>45775</v>
      </c>
      <c r="C885" s="5">
        <v>45662</v>
      </c>
      <c r="D885" s="6">
        <f>IF(AND(C885&lt;&gt;"",B885&lt;&gt;""), C885-B885, "Missing Date")</f>
        <v>-113</v>
      </c>
      <c r="E885" s="6" t="str">
        <f>IF(OR(B885="",C885=""), "Missing Date",
    IF(C885&lt;B885, "Invalid: Ship before Order",
      "OK"))</f>
        <v>Invalid: Ship before Order</v>
      </c>
      <c r="F885" t="s">
        <v>2714</v>
      </c>
      <c r="G885" t="s">
        <v>128</v>
      </c>
      <c r="H885" t="s">
        <v>37</v>
      </c>
      <c r="I885" t="s">
        <v>63</v>
      </c>
      <c r="J885" t="s">
        <v>190</v>
      </c>
      <c r="K885" t="s">
        <v>191</v>
      </c>
      <c r="L885" t="s">
        <v>28</v>
      </c>
      <c r="M885" t="s">
        <v>124</v>
      </c>
      <c r="N885" t="s">
        <v>2715</v>
      </c>
      <c r="O885" t="s">
        <v>44</v>
      </c>
      <c r="P885">
        <v>1</v>
      </c>
      <c r="Q885">
        <v>1620.87</v>
      </c>
      <c r="R885">
        <v>0</v>
      </c>
      <c r="S885">
        <v>1620.87</v>
      </c>
      <c r="T885">
        <v>1103.6099999999999</v>
      </c>
      <c r="U885">
        <v>517.26</v>
      </c>
      <c r="V885" t="s">
        <v>32</v>
      </c>
      <c r="W885" t="s">
        <v>33</v>
      </c>
      <c r="X885" t="str">
        <f>_xlfn.TEXTJOIN("|", TRUE, A885:W885)</f>
        <v>ORD-2025-10884|45775|45662|-113|Invalid: Ship before Order|CUST-2597|Aarav Sharma|Small Business|West|Goa|Panaji|Office Supplies|Storage|Classic Storage 211|Same Day|1|1620.87|0|1620.87|1103.61|517.26|Paid|Completed</v>
      </c>
      <c r="Y885">
        <f>COUNTIF($X$2:$X$1000, X885)</f>
        <v>1</v>
      </c>
      <c r="Z885">
        <f>COUNTIF($A$2:$A$1000, A885)</f>
        <v>1</v>
      </c>
      <c r="AA885" t="str">
        <f>IF(Y885&gt;1, "Exact Duplicate",
  IF(Z885&gt;1, "Conflicting Duplicate - Review",
    "Unique"))</f>
        <v>Unique</v>
      </c>
      <c r="AB885" s="2">
        <f>IF(ISBLANK(R885), 0, IF(ISTEXT(R885), VALUE(SUBSTITUTE(R885, "%", ""))/100, IF(OR(R885&lt;0, R885&gt;1), "Invalid", R885)))</f>
        <v>0</v>
      </c>
      <c r="AC885" s="4">
        <f>IF(AB885="Invalid", "Error", P885 * Q885 * (1 - AB885))</f>
        <v>1620.87</v>
      </c>
      <c r="AD885" s="4">
        <f>IF(AC885="Error", "Error", AC885 - T885)</f>
        <v>517.26</v>
      </c>
      <c r="AE885" s="2">
        <f>IF(AC885="Error", "Error", IF(AC885=0, 0, AD885 / AC885))</f>
        <v>0.31912491439782342</v>
      </c>
      <c r="AF885" s="7">
        <f>C885-B885</f>
        <v>-113</v>
      </c>
      <c r="AG885" s="2" t="str">
        <f>TEXT(B885, "mmmm")</f>
        <v>April</v>
      </c>
      <c r="AH885" s="4">
        <f>YEAR(B885)</f>
        <v>2025</v>
      </c>
      <c r="AI885" s="2" t="str">
        <f t="shared" si="27"/>
        <v>Invalid Shipping Record</v>
      </c>
      <c r="AJ885">
        <f>COUNTIFS($A$2:$A$1000,A885,$B$2:$B$1000,B885,$C$2:$C$1000,C885,$D$2:$D$1000,D885,$E$2:$E$1000,E885,$F$2:$F$1000,F885)</f>
        <v>1</v>
      </c>
      <c r="AK885">
        <f>COUNTIF($A$2:$A$1000, A885)</f>
        <v>1</v>
      </c>
    </row>
    <row r="886" spans="1:37">
      <c r="A886" t="s">
        <v>2716</v>
      </c>
      <c r="B886" s="5">
        <v>45675</v>
      </c>
      <c r="C886" s="5">
        <v>45682</v>
      </c>
      <c r="D886" s="6">
        <f>IF(AND(C886&lt;&gt;"",B886&lt;&gt;""), C886-B886, "Missing Date")</f>
        <v>7</v>
      </c>
      <c r="E886" s="6" t="str">
        <f>IF(OR(B886="",C886=""), "Missing Date",
    IF(C886&lt;B886, "Invalid: Ship before Order",
      "OK"))</f>
        <v>OK</v>
      </c>
      <c r="F886" t="s">
        <v>2717</v>
      </c>
      <c r="G886" t="s">
        <v>79</v>
      </c>
      <c r="H886" t="s">
        <v>95</v>
      </c>
      <c r="I886" t="s">
        <v>54</v>
      </c>
      <c r="J886" t="s">
        <v>175</v>
      </c>
      <c r="K886" t="s">
        <v>176</v>
      </c>
      <c r="L886" t="s">
        <v>28</v>
      </c>
      <c r="M886" t="s">
        <v>124</v>
      </c>
      <c r="N886" t="s">
        <v>2718</v>
      </c>
      <c r="O886" t="s">
        <v>44</v>
      </c>
      <c r="P886">
        <v>2</v>
      </c>
      <c r="Q886">
        <v>2098.54</v>
      </c>
      <c r="R886">
        <v>0.15</v>
      </c>
      <c r="S886">
        <v>3567.52</v>
      </c>
      <c r="T886">
        <v>2411.8000000000002</v>
      </c>
      <c r="U886">
        <v>1155.72</v>
      </c>
      <c r="V886" t="s">
        <v>32</v>
      </c>
      <c r="W886" t="s">
        <v>33</v>
      </c>
      <c r="X886" t="str">
        <f>_xlfn.TEXTJOIN("|", TRUE, A886:W886)</f>
        <v>ORD-2025-10885|45675|45682|7|OK|CUST-7505|Neha Gupta|Home Office|South|Karnataka|Bengaluru|Office Supplies|Storage|Eco Storage 783|Same Day|2|2098.54|0.15|3567.52|2411.8|1155.72|Paid|Completed</v>
      </c>
      <c r="Y886">
        <f>COUNTIF($X$2:$X$1000, X886)</f>
        <v>1</v>
      </c>
      <c r="Z886">
        <f>COUNTIF($A$2:$A$1000, A886)</f>
        <v>1</v>
      </c>
      <c r="AA886" t="str">
        <f>IF(Y886&gt;1, "Exact Duplicate",
  IF(Z886&gt;1, "Conflicting Duplicate - Review",
    "Unique"))</f>
        <v>Unique</v>
      </c>
      <c r="AB886" s="2">
        <f>IF(ISBLANK(R886), 0, IF(ISTEXT(R886), VALUE(SUBSTITUTE(R886, "%", ""))/100, IF(OR(R886&lt;0, R886&gt;1), "Invalid", R886)))</f>
        <v>0.15</v>
      </c>
      <c r="AC886" s="4">
        <f>IF(AB886="Invalid", "Error", P886 * Q886 * (1 - AB886))</f>
        <v>3567.518</v>
      </c>
      <c r="AD886" s="4">
        <f>IF(AC886="Error", "Error", AC886 - T886)</f>
        <v>1155.7179999999998</v>
      </c>
      <c r="AE886" s="2">
        <f>IF(AC886="Error", "Error", IF(AC886=0, 0, AD886 / AC886))</f>
        <v>0.32395575859743381</v>
      </c>
      <c r="AF886" s="7">
        <f>C886-B886</f>
        <v>7</v>
      </c>
      <c r="AG886" s="2" t="str">
        <f>TEXT(B886, "mmmm")</f>
        <v>January</v>
      </c>
      <c r="AH886" s="4">
        <f>YEAR(B886)</f>
        <v>2025</v>
      </c>
      <c r="AI886" s="2" t="str">
        <f t="shared" si="27"/>
        <v>Clean</v>
      </c>
      <c r="AJ886">
        <f>COUNTIFS($A$2:$A$1000,A886,$B$2:$B$1000,B886,$C$2:$C$1000,C886,$D$2:$D$1000,D886,$E$2:$E$1000,E886,$F$2:$F$1000,F886)</f>
        <v>1</v>
      </c>
      <c r="AK886">
        <f>COUNTIF($A$2:$A$1000, A886)</f>
        <v>1</v>
      </c>
    </row>
    <row r="887" spans="1:37">
      <c r="A887" t="s">
        <v>2719</v>
      </c>
      <c r="B887" s="5">
        <v>45296</v>
      </c>
      <c r="C887" s="5">
        <v>45296</v>
      </c>
      <c r="D887" s="6">
        <f>IF(AND(C887&lt;&gt;"",B887&lt;&gt;""), C887-B887, "Missing Date")</f>
        <v>0</v>
      </c>
      <c r="E887" s="6" t="str">
        <f>IF(OR(B887="",C887=""), "Missing Date",
    IF(C887&lt;B887, "Invalid: Ship before Order",
      "OK"))</f>
        <v>OK</v>
      </c>
      <c r="F887" t="s">
        <v>2720</v>
      </c>
      <c r="G887" t="s">
        <v>162</v>
      </c>
      <c r="H887" t="s">
        <v>24</v>
      </c>
      <c r="I887" t="s">
        <v>25</v>
      </c>
      <c r="J887" t="s">
        <v>26</v>
      </c>
      <c r="K887" t="s">
        <v>27</v>
      </c>
      <c r="L887" t="s">
        <v>41</v>
      </c>
      <c r="M887" t="s">
        <v>42</v>
      </c>
      <c r="N887" t="s">
        <v>2721</v>
      </c>
      <c r="O887" t="s">
        <v>59</v>
      </c>
      <c r="P887">
        <v>1</v>
      </c>
      <c r="Q887">
        <v>2167.08</v>
      </c>
      <c r="R887">
        <v>0.25</v>
      </c>
      <c r="S887">
        <v>1625.31</v>
      </c>
      <c r="T887">
        <v>1157.8900000000001</v>
      </c>
      <c r="U887">
        <v>467.42</v>
      </c>
      <c r="V887" t="s">
        <v>32</v>
      </c>
      <c r="W887" t="s">
        <v>33</v>
      </c>
      <c r="X887" t="str">
        <f>_xlfn.TEXTJOIN("|", TRUE, A887:W887)</f>
        <v>ORD-2024-10886|45296|45296|0|OK|CUST-3446|Diya Patel|Consumer|North|Rajasthan|Jaipur|Furniture|Tables|Pro Tables 866|Standard Class|1|2167.08|0.25|1625.31|1157.89|467.42|Paid|Completed</v>
      </c>
      <c r="Y887">
        <f>COUNTIF($X$2:$X$1000, X887)</f>
        <v>1</v>
      </c>
      <c r="Z887">
        <f>COUNTIF($A$2:$A$1000, A887)</f>
        <v>1</v>
      </c>
      <c r="AA887" t="str">
        <f>IF(Y887&gt;1, "Exact Duplicate",
  IF(Z887&gt;1, "Conflicting Duplicate - Review",
    "Unique"))</f>
        <v>Unique</v>
      </c>
      <c r="AB887" s="2">
        <f>IF(ISBLANK(R887), 0, IF(ISTEXT(R887), VALUE(SUBSTITUTE(R887, "%", ""))/100, IF(OR(R887&lt;0, R887&gt;1), "Invalid", R887)))</f>
        <v>0.25</v>
      </c>
      <c r="AC887" s="4">
        <f>IF(AB887="Invalid", "Error", P887 * Q887 * (1 - AB887))</f>
        <v>1625.31</v>
      </c>
      <c r="AD887" s="4">
        <f>IF(AC887="Error", "Error", AC887 - T887)</f>
        <v>467.41999999999985</v>
      </c>
      <c r="AE887" s="2">
        <f>IF(AC887="Error", "Error", IF(AC887=0, 0, AD887 / AC887))</f>
        <v>0.28758821394072509</v>
      </c>
      <c r="AF887" s="7">
        <f>C887-B887</f>
        <v>0</v>
      </c>
      <c r="AG887" s="2" t="str">
        <f>TEXT(B887, "mmmm")</f>
        <v>January</v>
      </c>
      <c r="AH887" s="4">
        <f>YEAR(B887)</f>
        <v>2024</v>
      </c>
      <c r="AI887" s="2" t="str">
        <f t="shared" si="27"/>
        <v>Clean</v>
      </c>
      <c r="AJ887">
        <f>COUNTIFS($A$2:$A$1000,A887,$B$2:$B$1000,B887,$C$2:$C$1000,C887,$D$2:$D$1000,D887,$E$2:$E$1000,E887,$F$2:$F$1000,F887)</f>
        <v>1</v>
      </c>
      <c r="AK887">
        <f>COUNTIF($A$2:$A$1000, A887)</f>
        <v>1</v>
      </c>
    </row>
    <row r="888" spans="1:37">
      <c r="A888" t="s">
        <v>2722</v>
      </c>
      <c r="B888" s="5">
        <v>45773</v>
      </c>
      <c r="C888" s="5">
        <v>45780</v>
      </c>
      <c r="D888" s="6">
        <f>IF(AND(C888&lt;&gt;"",B888&lt;&gt;""), C888-B888, "Missing Date")</f>
        <v>7</v>
      </c>
      <c r="E888" s="6" t="str">
        <f>IF(OR(B888="",C888=""), "Missing Date",
    IF(C888&lt;B888, "Invalid: Ship before Order",
      "OK"))</f>
        <v>OK</v>
      </c>
      <c r="F888" t="s">
        <v>2723</v>
      </c>
      <c r="G888" t="s">
        <v>53</v>
      </c>
      <c r="H888" t="s">
        <v>95</v>
      </c>
      <c r="I888" t="s">
        <v>54</v>
      </c>
      <c r="J888" t="s">
        <v>247</v>
      </c>
      <c r="K888" t="s">
        <v>248</v>
      </c>
      <c r="L888" t="s">
        <v>74</v>
      </c>
      <c r="M888" t="s">
        <v>75</v>
      </c>
      <c r="N888" t="s">
        <v>2724</v>
      </c>
      <c r="O888" t="s">
        <v>50</v>
      </c>
      <c r="P888">
        <v>7</v>
      </c>
      <c r="Q888">
        <v>3989.9</v>
      </c>
      <c r="R888">
        <v>0.15</v>
      </c>
      <c r="S888">
        <v>23739.9</v>
      </c>
      <c r="T888">
        <v>17716.52</v>
      </c>
      <c r="U888">
        <v>6023.38</v>
      </c>
      <c r="V888" t="s">
        <v>32</v>
      </c>
      <c r="W888" t="s">
        <v>68</v>
      </c>
      <c r="X888" t="str">
        <f>_xlfn.TEXTJOIN("|", TRUE, A888:W888)</f>
        <v>ORD-2025-10887|45773|45780|7|OK|CUST-3549|Arjun Bose|Home Office|South|Tamil Nadu|Chennai|Technology|Accessories|Max Accessories 541|First Class|7|3989.9|0.15|23739.9|17716.52|6023.38|Paid|Cancelled</v>
      </c>
      <c r="Y888">
        <f>COUNTIF($X$2:$X$1000, X888)</f>
        <v>1</v>
      </c>
      <c r="Z888">
        <f>COUNTIF($A$2:$A$1000, A888)</f>
        <v>1</v>
      </c>
      <c r="AA888" t="str">
        <f>IF(Y888&gt;1, "Exact Duplicate",
  IF(Z888&gt;1, "Conflicting Duplicate - Review",
    "Unique"))</f>
        <v>Unique</v>
      </c>
      <c r="AB888" s="2">
        <f>IF(ISBLANK(R888), 0, IF(ISTEXT(R888), VALUE(SUBSTITUTE(R888, "%", ""))/100, IF(OR(R888&lt;0, R888&gt;1), "Invalid", R888)))</f>
        <v>0.15</v>
      </c>
      <c r="AC888" s="4">
        <f>IF(AB888="Invalid", "Error", P888 * Q888 * (1 - AB888))</f>
        <v>23739.904999999999</v>
      </c>
      <c r="AD888" s="4">
        <f>IF(AC888="Error", "Error", AC888 - T888)</f>
        <v>6023.3849999999984</v>
      </c>
      <c r="AE888" s="2">
        <f>IF(AC888="Error", "Error", IF(AC888=0, 0, AD888 / AC888))</f>
        <v>0.25372405660427028</v>
      </c>
      <c r="AF888" s="7">
        <f>C888-B888</f>
        <v>7</v>
      </c>
      <c r="AG888" s="2" t="str">
        <f>TEXT(B888, "mmmm")</f>
        <v>April</v>
      </c>
      <c r="AH888" s="4">
        <f>YEAR(B888)</f>
        <v>2025</v>
      </c>
      <c r="AI888" s="2" t="str">
        <f t="shared" si="27"/>
        <v>Excluded from Sales</v>
      </c>
      <c r="AJ888">
        <f>COUNTIFS($A$2:$A$1000,A888,$B$2:$B$1000,B888,$C$2:$C$1000,C888,$D$2:$D$1000,D888,$E$2:$E$1000,E888,$F$2:$F$1000,F888)</f>
        <v>1</v>
      </c>
      <c r="AK888">
        <f>COUNTIF($A$2:$A$1000, A888)</f>
        <v>1</v>
      </c>
    </row>
    <row r="889" spans="1:37">
      <c r="A889" t="s">
        <v>2725</v>
      </c>
      <c r="B889" s="5">
        <v>45455</v>
      </c>
      <c r="C889" s="5">
        <v>45461</v>
      </c>
      <c r="D889" s="6">
        <f>IF(AND(C889&lt;&gt;"",B889&lt;&gt;""), C889-B889, "Missing Date")</f>
        <v>6</v>
      </c>
      <c r="E889" s="6" t="str">
        <f>IF(OR(B889="",C889=""), "Missing Date",
    IF(C889&lt;B889, "Invalid: Ship before Order",
      "OK"))</f>
        <v>OK</v>
      </c>
      <c r="F889" t="s">
        <v>2726</v>
      </c>
      <c r="G889" t="s">
        <v>128</v>
      </c>
      <c r="H889" t="s">
        <v>37</v>
      </c>
      <c r="I889" t="s">
        <v>54</v>
      </c>
      <c r="J889" t="s">
        <v>84</v>
      </c>
      <c r="K889" t="s">
        <v>85</v>
      </c>
      <c r="L889" t="s">
        <v>28</v>
      </c>
      <c r="M889" t="s">
        <v>48</v>
      </c>
      <c r="N889" t="s">
        <v>2727</v>
      </c>
      <c r="O889" t="s">
        <v>59</v>
      </c>
      <c r="P889">
        <v>4</v>
      </c>
      <c r="Q889">
        <v>4176.13</v>
      </c>
      <c r="R889">
        <v>0</v>
      </c>
      <c r="S889">
        <v>16704.52</v>
      </c>
      <c r="T889">
        <v>10158.280000000001</v>
      </c>
      <c r="U889">
        <v>6546.24</v>
      </c>
      <c r="V889" t="s">
        <v>32</v>
      </c>
      <c r="W889" t="s">
        <v>33</v>
      </c>
      <c r="X889" t="str">
        <f>_xlfn.TEXTJOIN("|", TRUE, A889:W889)</f>
        <v>ORD-2024-10888|45455|45461|6|OK|CUST-2795|Aarav Sharma|Small Business|South|Andhra Pradesh|Vijayawada|Office Supplies|Art|Prime Art 596|Standard Class|4|4176.13|0|16704.52|10158.28|6546.24|Paid|Completed</v>
      </c>
      <c r="Y889">
        <f>COUNTIF($X$2:$X$1000, X889)</f>
        <v>1</v>
      </c>
      <c r="Z889">
        <f>COUNTIF($A$2:$A$1000, A889)</f>
        <v>1</v>
      </c>
      <c r="AA889" t="str">
        <f>IF(Y889&gt;1, "Exact Duplicate",
  IF(Z889&gt;1, "Conflicting Duplicate - Review",
    "Unique"))</f>
        <v>Unique</v>
      </c>
      <c r="AB889" s="2">
        <f>IF(ISBLANK(R889), 0, IF(ISTEXT(R889), VALUE(SUBSTITUTE(R889, "%", ""))/100, IF(OR(R889&lt;0, R889&gt;1), "Invalid", R889)))</f>
        <v>0</v>
      </c>
      <c r="AC889" s="4">
        <f>IF(AB889="Invalid", "Error", P889 * Q889 * (1 - AB889))</f>
        <v>16704.52</v>
      </c>
      <c r="AD889" s="4">
        <f>IF(AC889="Error", "Error", AC889 - T889)</f>
        <v>6546.24</v>
      </c>
      <c r="AE889" s="2">
        <f>IF(AC889="Error", "Error", IF(AC889=0, 0, AD889 / AC889))</f>
        <v>0.39188435225914897</v>
      </c>
      <c r="AF889" s="7">
        <f>C889-B889</f>
        <v>6</v>
      </c>
      <c r="AG889" s="2" t="str">
        <f>TEXT(B889, "mmmm")</f>
        <v>June</v>
      </c>
      <c r="AH889" s="4">
        <f>YEAR(B889)</f>
        <v>2024</v>
      </c>
      <c r="AI889" s="2" t="str">
        <f t="shared" si="27"/>
        <v>Clean</v>
      </c>
      <c r="AJ889">
        <f>COUNTIFS($A$2:$A$1000,A889,$B$2:$B$1000,B889,$C$2:$C$1000,C889,$D$2:$D$1000,D889,$E$2:$E$1000,E889,$F$2:$F$1000,F889)</f>
        <v>1</v>
      </c>
      <c r="AK889">
        <f>COUNTIF($A$2:$A$1000, A889)</f>
        <v>1</v>
      </c>
    </row>
    <row r="890" spans="1:37">
      <c r="A890" t="s">
        <v>2728</v>
      </c>
      <c r="B890" s="5">
        <v>45875</v>
      </c>
      <c r="C890" s="5">
        <v>45876</v>
      </c>
      <c r="D890" s="6">
        <f>IF(AND(C890&lt;&gt;"",B890&lt;&gt;""), C890-B890, "Missing Date")</f>
        <v>1</v>
      </c>
      <c r="E890" s="6" t="str">
        <f>IF(OR(B890="",C890=""), "Missing Date",
    IF(C890&lt;B890, "Invalid: Ship before Order",
      "OK"))</f>
        <v>OK</v>
      </c>
      <c r="F890" t="s">
        <v>2729</v>
      </c>
      <c r="G890" t="s">
        <v>118</v>
      </c>
      <c r="H890" t="s">
        <v>37</v>
      </c>
      <c r="I890" t="s">
        <v>63</v>
      </c>
      <c r="J890" t="s">
        <v>64</v>
      </c>
      <c r="K890" t="s">
        <v>65</v>
      </c>
      <c r="L890" t="s">
        <v>28</v>
      </c>
      <c r="M890" t="s">
        <v>48</v>
      </c>
      <c r="N890" t="s">
        <v>2730</v>
      </c>
      <c r="O890" t="s">
        <v>59</v>
      </c>
      <c r="P890">
        <v>4</v>
      </c>
      <c r="Q890">
        <v>3523.64</v>
      </c>
      <c r="R890">
        <v>0.1</v>
      </c>
      <c r="S890">
        <v>12685.1</v>
      </c>
      <c r="T890">
        <v>10779.56</v>
      </c>
      <c r="U890">
        <v>1905.54</v>
      </c>
      <c r="V890" t="s">
        <v>102</v>
      </c>
      <c r="W890" t="s">
        <v>68</v>
      </c>
      <c r="X890" t="str">
        <f>_xlfn.TEXTJOIN("|", TRUE, A890:W890)</f>
        <v>ORD-2025-10889|45875|45876|1|OK|CUST-1081|Rahul Verma|Small Business|West|Maharashtra|Mumbai|Office Supplies|Art|Pro Art 620|Standard Class|4|3523.64|0.1|12685.1|10779.56|1905.54|Refunded|Cancelled</v>
      </c>
      <c r="Y890">
        <f>COUNTIF($X$2:$X$1000, X890)</f>
        <v>1</v>
      </c>
      <c r="Z890">
        <f>COUNTIF($A$2:$A$1000, A890)</f>
        <v>1</v>
      </c>
      <c r="AA890" t="str">
        <f>IF(Y890&gt;1, "Exact Duplicate",
  IF(Z890&gt;1, "Conflicting Duplicate - Review",
    "Unique"))</f>
        <v>Unique</v>
      </c>
      <c r="AB890" s="2">
        <f>IF(ISBLANK(R890), 0, IF(ISTEXT(R890), VALUE(SUBSTITUTE(R890, "%", ""))/100, IF(OR(R890&lt;0, R890&gt;1), "Invalid", R890)))</f>
        <v>0.1</v>
      </c>
      <c r="AC890" s="4">
        <f>IF(AB890="Invalid", "Error", P890 * Q890 * (1 - AB890))</f>
        <v>12685.103999999999</v>
      </c>
      <c r="AD890" s="4">
        <f>IF(AC890="Error", "Error", AC890 - T890)</f>
        <v>1905.5439999999999</v>
      </c>
      <c r="AE890" s="2">
        <f>IF(AC890="Error", "Error", IF(AC890=0, 0, AD890 / AC890))</f>
        <v>0.15021902855506741</v>
      </c>
      <c r="AF890" s="7">
        <f>C890-B890</f>
        <v>1</v>
      </c>
      <c r="AG890" s="2" t="str">
        <f>TEXT(B890, "mmmm")</f>
        <v>August</v>
      </c>
      <c r="AH890" s="4">
        <f>YEAR(B890)</f>
        <v>2025</v>
      </c>
      <c r="AI890" s="2" t="str">
        <f t="shared" si="27"/>
        <v>Excluded from Sales</v>
      </c>
      <c r="AJ890">
        <f>COUNTIFS($A$2:$A$1000,A890,$B$2:$B$1000,B890,$C$2:$C$1000,C890,$D$2:$D$1000,D890,$E$2:$E$1000,E890,$F$2:$F$1000,F890)</f>
        <v>1</v>
      </c>
      <c r="AK890">
        <f>COUNTIF($A$2:$A$1000, A890)</f>
        <v>1</v>
      </c>
    </row>
    <row r="891" spans="1:37">
      <c r="A891" t="s">
        <v>2731</v>
      </c>
      <c r="B891" s="5">
        <v>45726</v>
      </c>
      <c r="C891" s="5">
        <v>45964</v>
      </c>
      <c r="D891" s="6">
        <f>IF(AND(C891&lt;&gt;"",B891&lt;&gt;""), C891-B891, "Missing Date")</f>
        <v>238</v>
      </c>
      <c r="E891" s="6" t="str">
        <f>IF(OR(B891="",C891=""), "Missing Date",
    IF(C891&lt;B891, "Invalid: Ship before Order",
      "OK"))</f>
        <v>OK</v>
      </c>
      <c r="F891" t="s">
        <v>882</v>
      </c>
      <c r="G891" t="s">
        <v>89</v>
      </c>
      <c r="H891" t="s">
        <v>95</v>
      </c>
      <c r="I891" t="s">
        <v>63</v>
      </c>
      <c r="J891" t="s">
        <v>72</v>
      </c>
      <c r="K891" t="s">
        <v>73</v>
      </c>
      <c r="L891" t="s">
        <v>28</v>
      </c>
      <c r="M891" t="s">
        <v>124</v>
      </c>
      <c r="N891" t="s">
        <v>2732</v>
      </c>
      <c r="O891" t="s">
        <v>50</v>
      </c>
      <c r="P891">
        <v>2</v>
      </c>
      <c r="Q891">
        <v>3922.08</v>
      </c>
      <c r="R891">
        <v>0.25</v>
      </c>
      <c r="S891">
        <v>5883.12</v>
      </c>
      <c r="T891">
        <v>4647.91</v>
      </c>
      <c r="U891">
        <v>1235.21</v>
      </c>
      <c r="V891" t="s">
        <v>32</v>
      </c>
      <c r="W891" t="s">
        <v>103</v>
      </c>
      <c r="X891" t="str">
        <f>_xlfn.TEXTJOIN("|", TRUE, A891:W891)</f>
        <v>ORD-2025-10890|45726|45964|238|OK|CUST-8467|Aditi Sen|Home Office|West|Madhya Pradesh|Indore|Office Supplies|Storage|Prime Storage 806|First Class|2|3922.08|0.25|5883.12|4647.91|1235.21|Paid|Returned</v>
      </c>
      <c r="Y891">
        <f>COUNTIF($X$2:$X$1000, X891)</f>
        <v>1</v>
      </c>
      <c r="Z891">
        <f>COUNTIF($A$2:$A$1000, A891)</f>
        <v>1</v>
      </c>
      <c r="AA891" t="str">
        <f>IF(Y891&gt;1, "Exact Duplicate",
  IF(Z891&gt;1, "Conflicting Duplicate - Review",
    "Unique"))</f>
        <v>Unique</v>
      </c>
      <c r="AB891" s="2">
        <f>IF(ISBLANK(R891), 0, IF(ISTEXT(R891), VALUE(SUBSTITUTE(R891, "%", ""))/100, IF(OR(R891&lt;0, R891&gt;1), "Invalid", R891)))</f>
        <v>0.25</v>
      </c>
      <c r="AC891" s="4">
        <f>IF(AB891="Invalid", "Error", P891 * Q891 * (1 - AB891))</f>
        <v>5883.12</v>
      </c>
      <c r="AD891" s="4">
        <f>IF(AC891="Error", "Error", AC891 - T891)</f>
        <v>1235.21</v>
      </c>
      <c r="AE891" s="2">
        <f>IF(AC891="Error", "Error", IF(AC891=0, 0, AD891 / AC891))</f>
        <v>0.20995832143488491</v>
      </c>
      <c r="AF891" s="7">
        <f>C891-B891</f>
        <v>238</v>
      </c>
      <c r="AG891" s="2" t="str">
        <f>TEXT(B891, "mmmm")</f>
        <v>March</v>
      </c>
      <c r="AH891" s="4">
        <f>YEAR(B891)</f>
        <v>2025</v>
      </c>
      <c r="AI891" s="2" t="str">
        <f t="shared" si="27"/>
        <v>Clean</v>
      </c>
      <c r="AJ891">
        <f>COUNTIFS($A$2:$A$1000,A891,$B$2:$B$1000,B891,$C$2:$C$1000,C891,$D$2:$D$1000,D891,$E$2:$E$1000,E891,$F$2:$F$1000,F891)</f>
        <v>1</v>
      </c>
      <c r="AK891">
        <f>COUNTIF($A$2:$A$1000, A891)</f>
        <v>1</v>
      </c>
    </row>
    <row r="892" spans="1:37">
      <c r="A892" t="s">
        <v>2733</v>
      </c>
      <c r="B892" s="5">
        <v>45427</v>
      </c>
      <c r="C892" s="5">
        <v>45433</v>
      </c>
      <c r="D892" s="6">
        <f>IF(AND(C892&lt;&gt;"",B892&lt;&gt;""), C892-B892, "Missing Date")</f>
        <v>6</v>
      </c>
      <c r="E892" s="6" t="str">
        <f>IF(OR(B892="",C892=""), "Missing Date",
    IF(C892&lt;B892, "Invalid: Ship before Order",
      "OK"))</f>
        <v>OK</v>
      </c>
      <c r="F892" t="s">
        <v>2734</v>
      </c>
      <c r="G892" t="s">
        <v>23</v>
      </c>
      <c r="H892" t="s">
        <v>24</v>
      </c>
      <c r="I892" t="s">
        <v>63</v>
      </c>
      <c r="J892" t="s">
        <v>190</v>
      </c>
      <c r="K892" t="s">
        <v>191</v>
      </c>
      <c r="L892" t="s">
        <v>28</v>
      </c>
      <c r="M892" t="s">
        <v>124</v>
      </c>
      <c r="N892" t="s">
        <v>2735</v>
      </c>
      <c r="O892" t="s">
        <v>59</v>
      </c>
      <c r="P892">
        <v>6</v>
      </c>
      <c r="Q892">
        <v>2909.56</v>
      </c>
      <c r="R892">
        <v>0.2</v>
      </c>
      <c r="S892">
        <v>13965.89</v>
      </c>
      <c r="T892">
        <v>11646.12</v>
      </c>
      <c r="U892">
        <v>2319.77</v>
      </c>
      <c r="V892" t="s">
        <v>32</v>
      </c>
      <c r="W892" t="s">
        <v>33</v>
      </c>
      <c r="X892" t="str">
        <f>_xlfn.TEXTJOIN("|", TRUE, A892:W892)</f>
        <v>ORD-2024-10891|45427|45433|6|OK|CUST-3992|Karan Malhotra|Consumer|West|Goa|Panaji|Office Supplies|Storage|Smart Storage 288|Standard Class|6|2909.56|0.2|13965.89|11646.12|2319.77|Paid|Completed</v>
      </c>
      <c r="Y892">
        <f>COUNTIF($X$2:$X$1000, X892)</f>
        <v>1</v>
      </c>
      <c r="Z892">
        <f>COUNTIF($A$2:$A$1000, A892)</f>
        <v>1</v>
      </c>
      <c r="AA892" t="str">
        <f>IF(Y892&gt;1, "Exact Duplicate",
  IF(Z892&gt;1, "Conflicting Duplicate - Review",
    "Unique"))</f>
        <v>Unique</v>
      </c>
      <c r="AB892" s="2">
        <f>IF(ISBLANK(R892), 0, IF(ISTEXT(R892), VALUE(SUBSTITUTE(R892, "%", ""))/100, IF(OR(R892&lt;0, R892&gt;1), "Invalid", R892)))</f>
        <v>0.2</v>
      </c>
      <c r="AC892" s="4">
        <f>IF(AB892="Invalid", "Error", P892 * Q892 * (1 - AB892))</f>
        <v>13965.888000000001</v>
      </c>
      <c r="AD892" s="4">
        <f>IF(AC892="Error", "Error", AC892 - T892)</f>
        <v>2319.768</v>
      </c>
      <c r="AE892" s="2">
        <f>IF(AC892="Error", "Error", IF(AC892=0, 0, AD892 / AC892))</f>
        <v>0.16610243473239938</v>
      </c>
      <c r="AF892" s="7">
        <f>C892-B892</f>
        <v>6</v>
      </c>
      <c r="AG892" s="2" t="str">
        <f>TEXT(B892, "mmmm")</f>
        <v>May</v>
      </c>
      <c r="AH892" s="4">
        <f>YEAR(B892)</f>
        <v>2024</v>
      </c>
      <c r="AI892" s="2" t="str">
        <f t="shared" si="27"/>
        <v>Clean</v>
      </c>
      <c r="AJ892">
        <f>COUNTIFS($A$2:$A$1000,A892,$B$2:$B$1000,B892,$C$2:$C$1000,C892,$D$2:$D$1000,D892,$E$2:$E$1000,E892,$F$2:$F$1000,F892)</f>
        <v>1</v>
      </c>
      <c r="AK892">
        <f>COUNTIF($A$2:$A$1000, A892)</f>
        <v>1</v>
      </c>
    </row>
    <row r="893" spans="1:37">
      <c r="A893" t="s">
        <v>2736</v>
      </c>
      <c r="B893" s="5">
        <v>45573</v>
      </c>
      <c r="C893" s="5">
        <v>45574</v>
      </c>
      <c r="D893" s="6">
        <f>IF(AND(C893&lt;&gt;"",B893&lt;&gt;""), C893-B893, "Missing Date")</f>
        <v>1</v>
      </c>
      <c r="E893" s="6" t="str">
        <f>IF(OR(B893="",C893=""), "Missing Date",
    IF(C893&lt;B893, "Invalid: Ship before Order",
      "OK"))</f>
        <v>OK</v>
      </c>
      <c r="F893" t="s">
        <v>2737</v>
      </c>
      <c r="G893" t="s">
        <v>264</v>
      </c>
      <c r="H893" t="s">
        <v>90</v>
      </c>
      <c r="I893" t="s">
        <v>54</v>
      </c>
      <c r="J893" t="s">
        <v>247</v>
      </c>
      <c r="K893" t="s">
        <v>248</v>
      </c>
      <c r="L893" t="s">
        <v>74</v>
      </c>
      <c r="M893" t="s">
        <v>274</v>
      </c>
      <c r="N893" t="s">
        <v>2738</v>
      </c>
      <c r="O893" t="s">
        <v>44</v>
      </c>
      <c r="P893">
        <v>5</v>
      </c>
      <c r="Q893">
        <v>2407.9699999999998</v>
      </c>
      <c r="R893">
        <v>0.1</v>
      </c>
      <c r="S893">
        <v>10835.86</v>
      </c>
      <c r="T893">
        <v>6419.92</v>
      </c>
      <c r="U893">
        <v>4415.9399999999996</v>
      </c>
      <c r="V893" t="s">
        <v>155</v>
      </c>
      <c r="W893" t="s">
        <v>68</v>
      </c>
      <c r="X893" t="str">
        <f>_xlfn.TEXTJOIN("|", TRUE, A893:W893)</f>
        <v>ORD-2024-10892|45573|45574|1|OK|CUST-6647|Kabir Singh|Corporate|South|Tamil Nadu|Chennai|Technology|Machines|Elite Machines 281|Same Day|5|2407.97|0.1|10835.86|6419.92|4415.94|Failed|Cancelled</v>
      </c>
      <c r="Y893">
        <f>COUNTIF($X$2:$X$1000, X893)</f>
        <v>1</v>
      </c>
      <c r="Z893">
        <f>COUNTIF($A$2:$A$1000, A893)</f>
        <v>1</v>
      </c>
      <c r="AA893" t="str">
        <f>IF(Y893&gt;1, "Exact Duplicate",
  IF(Z893&gt;1, "Conflicting Duplicate - Review",
    "Unique"))</f>
        <v>Unique</v>
      </c>
      <c r="AB893" s="2">
        <f>IF(ISBLANK(R893), 0, IF(ISTEXT(R893), VALUE(SUBSTITUTE(R893, "%", ""))/100, IF(OR(R893&lt;0, R893&gt;1), "Invalid", R893)))</f>
        <v>0.1</v>
      </c>
      <c r="AC893" s="4">
        <f>IF(AB893="Invalid", "Error", P893 * Q893 * (1 - AB893))</f>
        <v>10835.865</v>
      </c>
      <c r="AD893" s="4">
        <f>IF(AC893="Error", "Error", AC893 - T893)</f>
        <v>4415.9449999999997</v>
      </c>
      <c r="AE893" s="2">
        <f>IF(AC893="Error", "Error", IF(AC893=0, 0, AD893 / AC893))</f>
        <v>0.40753045557507406</v>
      </c>
      <c r="AF893" s="7">
        <f>C893-B893</f>
        <v>1</v>
      </c>
      <c r="AG893" s="2" t="str">
        <f>TEXT(B893, "mmmm")</f>
        <v>October</v>
      </c>
      <c r="AH893" s="4">
        <f>YEAR(B893)</f>
        <v>2024</v>
      </c>
      <c r="AI893" s="2" t="str">
        <f t="shared" si="27"/>
        <v>Excluded from Sales</v>
      </c>
      <c r="AJ893">
        <f>COUNTIFS($A$2:$A$1000,A893,$B$2:$B$1000,B893,$C$2:$C$1000,C893,$D$2:$D$1000,D893,$E$2:$E$1000,E893,$F$2:$F$1000,F893)</f>
        <v>1</v>
      </c>
      <c r="AK893">
        <f>COUNTIF($A$2:$A$1000, A893)</f>
        <v>1</v>
      </c>
    </row>
    <row r="894" spans="1:37">
      <c r="A894" t="s">
        <v>2739</v>
      </c>
      <c r="B894" s="5">
        <v>45995</v>
      </c>
      <c r="C894" s="5">
        <v>45765</v>
      </c>
      <c r="D894" s="6">
        <f>IF(AND(C894&lt;&gt;"",B894&lt;&gt;""), C894-B894, "Missing Date")</f>
        <v>-230</v>
      </c>
      <c r="E894" s="6" t="str">
        <f>IF(OR(B894="",C894=""), "Missing Date",
    IF(C894&lt;B894, "Invalid: Ship before Order",
      "OK"))</f>
        <v>Invalid: Ship before Order</v>
      </c>
      <c r="F894" t="s">
        <v>2740</v>
      </c>
      <c r="G894" t="s">
        <v>47</v>
      </c>
      <c r="H894" t="s">
        <v>37</v>
      </c>
      <c r="I894" t="s">
        <v>38</v>
      </c>
      <c r="J894" t="s">
        <v>228</v>
      </c>
      <c r="K894" t="s">
        <v>229</v>
      </c>
      <c r="L894" t="s">
        <v>74</v>
      </c>
      <c r="M894" t="s">
        <v>80</v>
      </c>
      <c r="N894" t="s">
        <v>2741</v>
      </c>
      <c r="O894" t="s">
        <v>44</v>
      </c>
      <c r="P894">
        <v>1</v>
      </c>
      <c r="Q894">
        <v>726.89</v>
      </c>
      <c r="R894">
        <v>0.2</v>
      </c>
      <c r="S894">
        <v>581.51</v>
      </c>
      <c r="T894">
        <v>423.86</v>
      </c>
      <c r="U894">
        <v>157.65</v>
      </c>
      <c r="V894" t="s">
        <v>32</v>
      </c>
      <c r="W894" t="s">
        <v>33</v>
      </c>
      <c r="X894" t="str">
        <f>_xlfn.TEXTJOIN("|", TRUE, A894:W894)</f>
        <v>ORD-2025-10893|45995|45765|-230|Invalid: Ship before Order|CUST-5087|Isha Nair|Small Business|East|Jharkhand|Ranchi|Technology|Copiers|Elite Copiers 221|Same Day|1|726.89|0.2|581.51|423.86|157.65|Paid|Completed</v>
      </c>
      <c r="Y894">
        <f>COUNTIF($X$2:$X$1000, X894)</f>
        <v>1</v>
      </c>
      <c r="Z894">
        <f>COUNTIF($A$2:$A$1000, A894)</f>
        <v>1</v>
      </c>
      <c r="AA894" t="str">
        <f>IF(Y894&gt;1, "Exact Duplicate",
  IF(Z894&gt;1, "Conflicting Duplicate - Review",
    "Unique"))</f>
        <v>Unique</v>
      </c>
      <c r="AB894" s="2">
        <f>IF(ISBLANK(R894), 0, IF(ISTEXT(R894), VALUE(SUBSTITUTE(R894, "%", ""))/100, IF(OR(R894&lt;0, R894&gt;1), "Invalid", R894)))</f>
        <v>0.2</v>
      </c>
      <c r="AC894" s="4">
        <f>IF(AB894="Invalid", "Error", P894 * Q894 * (1 - AB894))</f>
        <v>581.51200000000006</v>
      </c>
      <c r="AD894" s="4">
        <f>IF(AC894="Error", "Error", AC894 - T894)</f>
        <v>157.65200000000004</v>
      </c>
      <c r="AE894" s="2">
        <f>IF(AC894="Error", "Error", IF(AC894=0, 0, AD894 / AC894))</f>
        <v>0.27110704508247468</v>
      </c>
      <c r="AF894" s="7">
        <f>C894-B894</f>
        <v>-230</v>
      </c>
      <c r="AG894" s="2" t="str">
        <f>TEXT(B894, "mmmm")</f>
        <v>December</v>
      </c>
      <c r="AH894" s="4">
        <f>YEAR(B894)</f>
        <v>2025</v>
      </c>
      <c r="AI894" s="2" t="str">
        <f t="shared" si="27"/>
        <v>Invalid Shipping Record</v>
      </c>
      <c r="AJ894">
        <f>COUNTIFS($A$2:$A$1000,A894,$B$2:$B$1000,B894,$C$2:$C$1000,C894,$D$2:$D$1000,D894,$E$2:$E$1000,E894,$F$2:$F$1000,F894)</f>
        <v>1</v>
      </c>
      <c r="AK894">
        <f>COUNTIF($A$2:$A$1000, A894)</f>
        <v>1</v>
      </c>
    </row>
    <row r="895" spans="1:37">
      <c r="A895" t="s">
        <v>2742</v>
      </c>
      <c r="B895" s="5">
        <v>45449</v>
      </c>
      <c r="C895" s="5">
        <v>45451</v>
      </c>
      <c r="D895" s="6">
        <f>IF(AND(C895&lt;&gt;"",B895&lt;&gt;""), C895-B895, "Missing Date")</f>
        <v>2</v>
      </c>
      <c r="E895" s="6" t="str">
        <f>IF(OR(B895="",C895=""), "Missing Date",
    IF(C895&lt;B895, "Invalid: Ship before Order",
      "OK"))</f>
        <v>OK</v>
      </c>
      <c r="F895" t="s">
        <v>2743</v>
      </c>
      <c r="G895" t="s">
        <v>128</v>
      </c>
      <c r="H895" t="s">
        <v>90</v>
      </c>
      <c r="I895" t="s">
        <v>54</v>
      </c>
      <c r="J895" t="s">
        <v>175</v>
      </c>
      <c r="K895" t="s">
        <v>176</v>
      </c>
      <c r="L895" t="s">
        <v>41</v>
      </c>
      <c r="M895" t="s">
        <v>42</v>
      </c>
      <c r="N895" t="s">
        <v>2744</v>
      </c>
      <c r="O895" t="s">
        <v>31</v>
      </c>
      <c r="P895">
        <v>3</v>
      </c>
      <c r="Q895">
        <v>395.49</v>
      </c>
      <c r="R895">
        <v>0.05</v>
      </c>
      <c r="S895">
        <v>1127.1500000000001</v>
      </c>
      <c r="T895">
        <v>845.62</v>
      </c>
      <c r="U895">
        <v>281.52999999999997</v>
      </c>
      <c r="V895" t="s">
        <v>32</v>
      </c>
      <c r="W895" t="s">
        <v>103</v>
      </c>
      <c r="X895" t="str">
        <f>_xlfn.TEXTJOIN("|", TRUE, A895:W895)</f>
        <v>ORD-2024-10894|45449|45451|2|OK|CUST-9297|Aarav Sharma|Corporate|South|Karnataka|Bengaluru|Furniture|Tables|Max Tables 291|Second Class|3|395.49|0.05|1127.15|845.62|281.53|Paid|Returned</v>
      </c>
      <c r="Y895">
        <f>COUNTIF($X$2:$X$1000, X895)</f>
        <v>1</v>
      </c>
      <c r="Z895">
        <f>COUNTIF($A$2:$A$1000, A895)</f>
        <v>1</v>
      </c>
      <c r="AA895" t="str">
        <f>IF(Y895&gt;1, "Exact Duplicate",
  IF(Z895&gt;1, "Conflicting Duplicate - Review",
    "Unique"))</f>
        <v>Unique</v>
      </c>
      <c r="AB895" s="2">
        <f>IF(ISBLANK(R895), 0, IF(ISTEXT(R895), VALUE(SUBSTITUTE(R895, "%", ""))/100, IF(OR(R895&lt;0, R895&gt;1), "Invalid", R895)))</f>
        <v>0.05</v>
      </c>
      <c r="AC895" s="4">
        <f>IF(AB895="Invalid", "Error", P895 * Q895 * (1 - AB895))</f>
        <v>1127.1465000000001</v>
      </c>
      <c r="AD895" s="4">
        <f>IF(AC895="Error", "Error", AC895 - T895)</f>
        <v>281.52650000000006</v>
      </c>
      <c r="AE895" s="2">
        <f>IF(AC895="Error", "Error", IF(AC895=0, 0, AD895 / AC895))</f>
        <v>0.24976921810962466</v>
      </c>
      <c r="AF895" s="7">
        <f>C895-B895</f>
        <v>2</v>
      </c>
      <c r="AG895" s="2" t="str">
        <f>TEXT(B895, "mmmm")</f>
        <v>June</v>
      </c>
      <c r="AH895" s="4">
        <f>YEAR(B895)</f>
        <v>2024</v>
      </c>
      <c r="AI895" s="2" t="str">
        <f t="shared" si="27"/>
        <v>Clean</v>
      </c>
      <c r="AJ895">
        <f>COUNTIFS($A$2:$A$1000,A895,$B$2:$B$1000,B895,$C$2:$C$1000,C895,$D$2:$D$1000,D895,$E$2:$E$1000,E895,$F$2:$F$1000,F895)</f>
        <v>1</v>
      </c>
      <c r="AK895">
        <f>COUNTIF($A$2:$A$1000, A895)</f>
        <v>1</v>
      </c>
    </row>
    <row r="896" spans="1:37">
      <c r="A896" t="s">
        <v>2745</v>
      </c>
      <c r="B896" s="5">
        <v>45344</v>
      </c>
      <c r="C896" s="5">
        <v>45351</v>
      </c>
      <c r="D896" s="6">
        <f>IF(AND(C896&lt;&gt;"",B896&lt;&gt;""), C896-B896, "Missing Date")</f>
        <v>7</v>
      </c>
      <c r="E896" s="6" t="str">
        <f>IF(OR(B896="",C896=""), "Missing Date",
    IF(C896&lt;B896, "Invalid: Ship before Order",
      "OK"))</f>
        <v>OK</v>
      </c>
      <c r="F896" t="s">
        <v>2746</v>
      </c>
      <c r="G896" t="s">
        <v>47</v>
      </c>
      <c r="H896" t="s">
        <v>95</v>
      </c>
      <c r="I896" t="s">
        <v>54</v>
      </c>
      <c r="J896" t="s">
        <v>55</v>
      </c>
      <c r="K896" t="s">
        <v>56</v>
      </c>
      <c r="L896" t="s">
        <v>41</v>
      </c>
      <c r="M896" t="s">
        <v>42</v>
      </c>
      <c r="N896" t="s">
        <v>2747</v>
      </c>
      <c r="O896" t="s">
        <v>50</v>
      </c>
      <c r="P896">
        <v>6</v>
      </c>
      <c r="Q896">
        <v>4254.05</v>
      </c>
      <c r="R896">
        <v>0</v>
      </c>
      <c r="S896">
        <v>25524.3</v>
      </c>
      <c r="T896">
        <v>16711.93</v>
      </c>
      <c r="U896">
        <v>8812.3700000000008</v>
      </c>
      <c r="V896" t="s">
        <v>32</v>
      </c>
      <c r="W896" t="s">
        <v>33</v>
      </c>
      <c r="X896" t="str">
        <f>_xlfn.TEXTJOIN("|", TRUE, A896:W896)</f>
        <v>ORD-2024-10895|45344|45351|7|OK|CUST-7996|Isha Nair|Home Office|South|Telangana|Hyderabad|Furniture|Tables|Classic Tables 638|First Class|6|4254.05|0|25524.3|16711.93|8812.37|Paid|Completed</v>
      </c>
      <c r="Y896">
        <f>COUNTIF($X$2:$X$1000, X896)</f>
        <v>1</v>
      </c>
      <c r="Z896">
        <f>COUNTIF($A$2:$A$1000, A896)</f>
        <v>1</v>
      </c>
      <c r="AA896" t="str">
        <f>IF(Y896&gt;1, "Exact Duplicate",
  IF(Z896&gt;1, "Conflicting Duplicate - Review",
    "Unique"))</f>
        <v>Unique</v>
      </c>
      <c r="AB896" s="2">
        <f>IF(ISBLANK(R896), 0, IF(ISTEXT(R896), VALUE(SUBSTITUTE(R896, "%", ""))/100, IF(OR(R896&lt;0, R896&gt;1), "Invalid", R896)))</f>
        <v>0</v>
      </c>
      <c r="AC896" s="4">
        <f>IF(AB896="Invalid", "Error", P896 * Q896 * (1 - AB896))</f>
        <v>25524.300000000003</v>
      </c>
      <c r="AD896" s="4">
        <f>IF(AC896="Error", "Error", AC896 - T896)</f>
        <v>8812.3700000000026</v>
      </c>
      <c r="AE896" s="2">
        <f>IF(AC896="Error", "Error", IF(AC896=0, 0, AD896 / AC896))</f>
        <v>0.34525413037771857</v>
      </c>
      <c r="AF896" s="7">
        <f>C896-B896</f>
        <v>7</v>
      </c>
      <c r="AG896" s="2" t="str">
        <f>TEXT(B896, "mmmm")</f>
        <v>February</v>
      </c>
      <c r="AH896" s="4">
        <f>YEAR(B896)</f>
        <v>2024</v>
      </c>
      <c r="AI896" s="2" t="str">
        <f t="shared" si="27"/>
        <v>Clean</v>
      </c>
      <c r="AJ896">
        <f>COUNTIFS($A$2:$A$1000,A896,$B$2:$B$1000,B896,$C$2:$C$1000,C896,$D$2:$D$1000,D896,$E$2:$E$1000,E896,$F$2:$F$1000,F896)</f>
        <v>1</v>
      </c>
      <c r="AK896">
        <f>COUNTIF($A$2:$A$1000, A896)</f>
        <v>1</v>
      </c>
    </row>
    <row r="897" spans="1:37">
      <c r="A897" t="s">
        <v>2748</v>
      </c>
      <c r="B897" s="5">
        <v>45601</v>
      </c>
      <c r="C897" s="5">
        <v>45576</v>
      </c>
      <c r="D897" s="6">
        <f>IF(AND(C897&lt;&gt;"",B897&lt;&gt;""), C897-B897, "Missing Date")</f>
        <v>-25</v>
      </c>
      <c r="E897" s="6" t="str">
        <f>IF(OR(B897="",C897=""), "Missing Date",
    IF(C897&lt;B897, "Invalid: Ship before Order",
      "OK"))</f>
        <v>Invalid: Ship before Order</v>
      </c>
      <c r="F897" t="s">
        <v>2749</v>
      </c>
      <c r="G897" t="s">
        <v>53</v>
      </c>
      <c r="H897" t="s">
        <v>24</v>
      </c>
      <c r="I897" t="s">
        <v>54</v>
      </c>
      <c r="J897" t="s">
        <v>185</v>
      </c>
      <c r="K897" t="s">
        <v>186</v>
      </c>
      <c r="L897" t="s">
        <v>41</v>
      </c>
      <c r="M897" t="s">
        <v>66</v>
      </c>
      <c r="N897" t="s">
        <v>2750</v>
      </c>
      <c r="O897" t="s">
        <v>44</v>
      </c>
      <c r="P897">
        <v>4</v>
      </c>
      <c r="Q897">
        <v>711.18</v>
      </c>
      <c r="R897">
        <v>0.15</v>
      </c>
      <c r="S897">
        <v>2418.0100000000002</v>
      </c>
      <c r="T897">
        <v>1441.89</v>
      </c>
      <c r="U897">
        <v>976.12</v>
      </c>
      <c r="V897" t="s">
        <v>111</v>
      </c>
      <c r="W897" t="s">
        <v>103</v>
      </c>
      <c r="X897" t="str">
        <f>_xlfn.TEXTJOIN("|", TRUE, A897:W897)</f>
        <v>ORD-2024-10896|45601|45576|-25|Invalid: Ship before Order|CUST-4117|Arjun Bose|Consumer|South|Kerala|Kochi|Furniture|Chairs|Basic Chairs 212|Same Day|4|711.18|0.15|2418.01|1441.89|976.12|Pending|Returned</v>
      </c>
      <c r="Y897">
        <f>COUNTIF($X$2:$X$1000, X897)</f>
        <v>1</v>
      </c>
      <c r="Z897">
        <f>COUNTIF($A$2:$A$1000, A897)</f>
        <v>1</v>
      </c>
      <c r="AA897" t="str">
        <f>IF(Y897&gt;1, "Exact Duplicate",
  IF(Z897&gt;1, "Conflicting Duplicate - Review",
    "Unique"))</f>
        <v>Unique</v>
      </c>
      <c r="AB897" s="2">
        <f>IF(ISBLANK(R897), 0, IF(ISTEXT(R897), VALUE(SUBSTITUTE(R897, "%", ""))/100, IF(OR(R897&lt;0, R897&gt;1), "Invalid", R897)))</f>
        <v>0.15</v>
      </c>
      <c r="AC897" s="4">
        <f>IF(AB897="Invalid", "Error", P897 * Q897 * (1 - AB897))</f>
        <v>2418.0119999999997</v>
      </c>
      <c r="AD897" s="4">
        <f>IF(AC897="Error", "Error", AC897 - T897)</f>
        <v>976.12199999999962</v>
      </c>
      <c r="AE897" s="2">
        <f>IF(AC897="Error", "Error", IF(AC897=0, 0, AD897 / AC897))</f>
        <v>0.40368782288921634</v>
      </c>
      <c r="AF897" s="7">
        <f>C897-B897</f>
        <v>-25</v>
      </c>
      <c r="AG897" s="2" t="str">
        <f>TEXT(B897, "mmmm")</f>
        <v>November</v>
      </c>
      <c r="AH897" s="4">
        <f>YEAR(B897)</f>
        <v>2024</v>
      </c>
      <c r="AI897" s="2" t="str">
        <f t="shared" si="27"/>
        <v>Invalid Shipping Record</v>
      </c>
      <c r="AJ897">
        <f>COUNTIFS($A$2:$A$1000,A897,$B$2:$B$1000,B897,$C$2:$C$1000,C897,$D$2:$D$1000,D897,$E$2:$E$1000,E897,$F$2:$F$1000,F897)</f>
        <v>1</v>
      </c>
      <c r="AK897">
        <f>COUNTIF($A$2:$A$1000, A897)</f>
        <v>1</v>
      </c>
    </row>
    <row r="898" spans="1:37">
      <c r="A898" t="s">
        <v>2751</v>
      </c>
      <c r="B898" s="5">
        <v>45650</v>
      </c>
      <c r="C898" s="5">
        <v>45651</v>
      </c>
      <c r="D898" s="6">
        <f>IF(AND(C898&lt;&gt;"",B898&lt;&gt;""), C898-B898, "Missing Date")</f>
        <v>1</v>
      </c>
      <c r="E898" s="6" t="str">
        <f>IF(OR(B898="",C898=""), "Missing Date",
    IF(C898&lt;B898, "Invalid: Ship before Order",
      "OK"))</f>
        <v>OK</v>
      </c>
      <c r="F898" t="s">
        <v>2752</v>
      </c>
      <c r="G898" t="s">
        <v>62</v>
      </c>
      <c r="H898" t="s">
        <v>37</v>
      </c>
      <c r="I898" t="s">
        <v>54</v>
      </c>
      <c r="J898" t="s">
        <v>247</v>
      </c>
      <c r="K898" t="s">
        <v>248</v>
      </c>
      <c r="L898" t="s">
        <v>74</v>
      </c>
      <c r="M898" t="s">
        <v>80</v>
      </c>
      <c r="N898" t="s">
        <v>2753</v>
      </c>
      <c r="O898" t="s">
        <v>31</v>
      </c>
      <c r="P898">
        <v>1</v>
      </c>
      <c r="Q898">
        <v>3693.03</v>
      </c>
      <c r="R898">
        <v>0.05</v>
      </c>
      <c r="S898">
        <v>3508.38</v>
      </c>
      <c r="T898">
        <v>2828.06</v>
      </c>
      <c r="U898">
        <v>680.32</v>
      </c>
      <c r="V898" t="s">
        <v>155</v>
      </c>
      <c r="W898" t="s">
        <v>103</v>
      </c>
      <c r="X898" t="str">
        <f>_xlfn.TEXTJOIN("|", TRUE, A898:W898)</f>
        <v>ORD-2024-10897|45650|45651|1|OK|CUST-4848|Ananya Rao|Small Business|South|Tamil Nadu|Chennai|Technology|Copiers|Max Copiers 121|Second Class|1|3693.03|0.05|3508.38|2828.06|680.32|Failed|Returned</v>
      </c>
      <c r="Y898">
        <f>COUNTIF($X$2:$X$1000, X898)</f>
        <v>1</v>
      </c>
      <c r="Z898">
        <f>COUNTIF($A$2:$A$1000, A898)</f>
        <v>1</v>
      </c>
      <c r="AA898" t="str">
        <f>IF(Y898&gt;1, "Exact Duplicate",
  IF(Z898&gt;1, "Conflicting Duplicate - Review",
    "Unique"))</f>
        <v>Unique</v>
      </c>
      <c r="AB898" s="2">
        <f>IF(ISBLANK(R898), 0, IF(ISTEXT(R898), VALUE(SUBSTITUTE(R898, "%", ""))/100, IF(OR(R898&lt;0, R898&gt;1), "Invalid", R898)))</f>
        <v>0.05</v>
      </c>
      <c r="AC898" s="4">
        <f>IF(AB898="Invalid", "Error", P898 * Q898 * (1 - AB898))</f>
        <v>3508.3784999999998</v>
      </c>
      <c r="AD898" s="4">
        <f>IF(AC898="Error", "Error", AC898 - T898)</f>
        <v>680.31849999999986</v>
      </c>
      <c r="AE898" s="2">
        <f>IF(AC898="Error", "Error", IF(AC898=0, 0, AD898 / AC898))</f>
        <v>0.19391251542557336</v>
      </c>
      <c r="AF898" s="7">
        <f>C898-B898</f>
        <v>1</v>
      </c>
      <c r="AG898" s="2" t="str">
        <f>TEXT(B898, "mmmm")</f>
        <v>December</v>
      </c>
      <c r="AH898" s="4">
        <f>YEAR(B898)</f>
        <v>2024</v>
      </c>
      <c r="AI898" s="2" t="str">
        <f t="shared" si="27"/>
        <v>Excluded from Sales</v>
      </c>
      <c r="AJ898">
        <f>COUNTIFS($A$2:$A$1000,A898,$B$2:$B$1000,B898,$C$2:$C$1000,C898,$D$2:$D$1000,D898,$E$2:$E$1000,E898,$F$2:$F$1000,F898)</f>
        <v>1</v>
      </c>
      <c r="AK898">
        <f>COUNTIF($A$2:$A$1000, A898)</f>
        <v>1</v>
      </c>
    </row>
    <row r="899" spans="1:37">
      <c r="A899" t="s">
        <v>2754</v>
      </c>
      <c r="B899" s="5">
        <v>45776</v>
      </c>
      <c r="C899" s="5">
        <v>45780</v>
      </c>
      <c r="D899" s="6">
        <f>IF(AND(C899&lt;&gt;"",B899&lt;&gt;""), C899-B899, "Missing Date")</f>
        <v>4</v>
      </c>
      <c r="E899" s="6" t="str">
        <f>IF(OR(B899="",C899=""), "Missing Date",
    IF(C899&lt;B899, "Invalid: Ship before Order",
      "OK"))</f>
        <v>OK</v>
      </c>
      <c r="F899" t="s">
        <v>2121</v>
      </c>
      <c r="G899" t="s">
        <v>141</v>
      </c>
      <c r="H899" t="s">
        <v>90</v>
      </c>
      <c r="I899" t="s">
        <v>25</v>
      </c>
      <c r="J899" t="s">
        <v>236</v>
      </c>
      <c r="K899" t="s">
        <v>237</v>
      </c>
      <c r="L899" t="s">
        <v>28</v>
      </c>
      <c r="M899" t="s">
        <v>29</v>
      </c>
      <c r="N899" t="s">
        <v>2755</v>
      </c>
      <c r="O899" t="s">
        <v>50</v>
      </c>
      <c r="P899">
        <v>4</v>
      </c>
      <c r="Q899">
        <v>1786.65</v>
      </c>
      <c r="R899">
        <v>0.05</v>
      </c>
      <c r="S899">
        <v>6789.27</v>
      </c>
      <c r="T899">
        <v>5626.43</v>
      </c>
      <c r="U899">
        <v>1162.8399999999999</v>
      </c>
      <c r="V899" t="s">
        <v>32</v>
      </c>
      <c r="W899" t="s">
        <v>33</v>
      </c>
      <c r="X899" t="str">
        <f>_xlfn.TEXTJOIN("|", TRUE, A899:W899)</f>
        <v>ORD-2025-10898|45776|45780|4|OK|CUST-2897|Rohan Mehta|Corporate|North|Haryana|Gurugram|Office Supplies|Paper|Eco Paper 747|First Class|4|1786.65|0.05|6789.27|5626.43|1162.84|Paid|Completed</v>
      </c>
      <c r="Y899">
        <f>COUNTIF($X$2:$X$1000, X899)</f>
        <v>1</v>
      </c>
      <c r="Z899">
        <f>COUNTIF($A$2:$A$1000, A899)</f>
        <v>1</v>
      </c>
      <c r="AA899" t="str">
        <f>IF(Y899&gt;1, "Exact Duplicate",
  IF(Z899&gt;1, "Conflicting Duplicate - Review",
    "Unique"))</f>
        <v>Unique</v>
      </c>
      <c r="AB899" s="2">
        <f>IF(ISBLANK(R899), 0, IF(ISTEXT(R899), VALUE(SUBSTITUTE(R899, "%", ""))/100, IF(OR(R899&lt;0, R899&gt;1), "Invalid", R899)))</f>
        <v>0.05</v>
      </c>
      <c r="AC899" s="4">
        <f>IF(AB899="Invalid", "Error", P899 * Q899 * (1 - AB899))</f>
        <v>6789.27</v>
      </c>
      <c r="AD899" s="4">
        <f>IF(AC899="Error", "Error", AC899 - T899)</f>
        <v>1162.8400000000001</v>
      </c>
      <c r="AE899" s="2">
        <f>IF(AC899="Error", "Error", IF(AC899=0, 0, AD899 / AC899))</f>
        <v>0.17127614603631908</v>
      </c>
      <c r="AF899" s="7">
        <f>C899-B899</f>
        <v>4</v>
      </c>
      <c r="AG899" s="2" t="str">
        <f>TEXT(B899, "mmmm")</f>
        <v>April</v>
      </c>
      <c r="AH899" s="4">
        <f>YEAR(B899)</f>
        <v>2025</v>
      </c>
      <c r="AI899" s="2" t="str">
        <f t="shared" ref="AI899:AI933" si="28">IF(OR(R899&lt;0,R899&gt;1),"Invalid: Discount",
IF(AND(I899="Unknown",J899&lt;&gt;""),"Warning: Missing Region",
IF(W899="Cancelled","Excluded from Sales",
IF(V899="Failed","Excluded from Sales",
IF(O899="Unknown","Warning: Missing Shipping Mode",
IF(W899="Refunded","Refund – Separate Summary",
IF(C899&lt;B899,"Invalid Shipping Record",
"Clean")))))))</f>
        <v>Clean</v>
      </c>
      <c r="AJ899">
        <f>COUNTIFS($A$2:$A$1000,A899,$B$2:$B$1000,B899,$C$2:$C$1000,C899,$D$2:$D$1000,D899,$E$2:$E$1000,E899,$F$2:$F$1000,F899)</f>
        <v>1</v>
      </c>
      <c r="AK899">
        <f>COUNTIF($A$2:$A$1000, A899)</f>
        <v>1</v>
      </c>
    </row>
    <row r="900" spans="1:37">
      <c r="A900" t="s">
        <v>2756</v>
      </c>
      <c r="B900" s="5">
        <v>45445</v>
      </c>
      <c r="C900" s="5">
        <v>45510</v>
      </c>
      <c r="D900" s="6">
        <f>IF(AND(C900&lt;&gt;"",B900&lt;&gt;""), C900-B900, "Missing Date")</f>
        <v>65</v>
      </c>
      <c r="E900" s="6" t="str">
        <f>IF(OR(B900="",C900=""), "Missing Date",
    IF(C900&lt;B900, "Invalid: Ship before Order",
      "OK"))</f>
        <v>OK</v>
      </c>
      <c r="F900" t="s">
        <v>2757</v>
      </c>
      <c r="G900" t="s">
        <v>71</v>
      </c>
      <c r="H900" t="s">
        <v>24</v>
      </c>
      <c r="I900" t="s">
        <v>25</v>
      </c>
      <c r="J900" t="s">
        <v>350</v>
      </c>
      <c r="K900" t="s">
        <v>351</v>
      </c>
      <c r="L900" t="s">
        <v>41</v>
      </c>
      <c r="M900" t="s">
        <v>42</v>
      </c>
      <c r="N900" t="s">
        <v>2758</v>
      </c>
      <c r="O900" t="s">
        <v>50</v>
      </c>
      <c r="P900">
        <v>4</v>
      </c>
      <c r="Q900">
        <v>1536.7</v>
      </c>
      <c r="R900">
        <v>0.2</v>
      </c>
      <c r="S900">
        <v>4917.4399999999996</v>
      </c>
      <c r="T900">
        <v>3846.77</v>
      </c>
      <c r="U900">
        <v>1070.67</v>
      </c>
      <c r="V900" t="s">
        <v>32</v>
      </c>
      <c r="W900" t="s">
        <v>33</v>
      </c>
      <c r="X900" t="str">
        <f>_xlfn.TEXTJOIN("|", TRUE, A900:W900)</f>
        <v>ORD-2024-10899|45445|45510|65|OK|CUST-6046|Vikram Iyer|Consumer|North|Delhi|New Delhi|Furniture|Tables|Classic Tables 535|First Class|4|1536.7|0.2|4917.44|3846.77|1070.67|Paid|Completed</v>
      </c>
      <c r="Y900">
        <f>COUNTIF($X$2:$X$1000, X900)</f>
        <v>1</v>
      </c>
      <c r="Z900">
        <f>COUNTIF($A$2:$A$1000, A900)</f>
        <v>1</v>
      </c>
      <c r="AA900" t="str">
        <f>IF(Y900&gt;1, "Exact Duplicate",
  IF(Z900&gt;1, "Conflicting Duplicate - Review",
    "Unique"))</f>
        <v>Unique</v>
      </c>
      <c r="AB900" s="2">
        <f>IF(ISBLANK(R900), 0, IF(ISTEXT(R900), VALUE(SUBSTITUTE(R900, "%", ""))/100, IF(OR(R900&lt;0, R900&gt;1), "Invalid", R900)))</f>
        <v>0.2</v>
      </c>
      <c r="AC900" s="4">
        <f>IF(AB900="Invalid", "Error", P900 * Q900 * (1 - AB900))</f>
        <v>4917.4400000000005</v>
      </c>
      <c r="AD900" s="4">
        <f>IF(AC900="Error", "Error", AC900 - T900)</f>
        <v>1070.6700000000005</v>
      </c>
      <c r="AE900" s="2">
        <f>IF(AC900="Error", "Error", IF(AC900=0, 0, AD900 / AC900))</f>
        <v>0.21772914361944434</v>
      </c>
      <c r="AF900" s="7">
        <f>C900-B900</f>
        <v>65</v>
      </c>
      <c r="AG900" s="2" t="str">
        <f>TEXT(B900, "mmmm")</f>
        <v>June</v>
      </c>
      <c r="AH900" s="4">
        <f>YEAR(B900)</f>
        <v>2024</v>
      </c>
      <c r="AI900" s="2" t="str">
        <f t="shared" si="28"/>
        <v>Clean</v>
      </c>
      <c r="AJ900">
        <f>COUNTIFS($A$2:$A$1000,A900,$B$2:$B$1000,B900,$C$2:$C$1000,C900,$D$2:$D$1000,D900,$E$2:$E$1000,E900,$F$2:$F$1000,F900)</f>
        <v>1</v>
      </c>
      <c r="AK900">
        <f>COUNTIF($A$2:$A$1000, A900)</f>
        <v>1</v>
      </c>
    </row>
    <row r="901" spans="1:37">
      <c r="A901" t="s">
        <v>2759</v>
      </c>
      <c r="B901" s="5">
        <v>45804</v>
      </c>
      <c r="C901" s="5">
        <v>45722</v>
      </c>
      <c r="D901" s="6">
        <f>IF(AND(C901&lt;&gt;"",B901&lt;&gt;""), C901-B901, "Missing Date")</f>
        <v>-82</v>
      </c>
      <c r="E901" s="6" t="str">
        <f>IF(OR(B901="",C901=""), "Missing Date",
    IF(C901&lt;B901, "Invalid: Ship before Order",
      "OK"))</f>
        <v>Invalid: Ship before Order</v>
      </c>
      <c r="F901" t="s">
        <v>2760</v>
      </c>
      <c r="G901" t="s">
        <v>23</v>
      </c>
      <c r="H901" t="s">
        <v>24</v>
      </c>
      <c r="I901" t="s">
        <v>25</v>
      </c>
      <c r="J901" t="s">
        <v>122</v>
      </c>
      <c r="K901" t="s">
        <v>123</v>
      </c>
      <c r="L901" t="s">
        <v>41</v>
      </c>
      <c r="M901" t="s">
        <v>66</v>
      </c>
      <c r="N901" t="s">
        <v>2761</v>
      </c>
      <c r="O901" t="s">
        <v>50</v>
      </c>
      <c r="P901">
        <v>5</v>
      </c>
      <c r="Q901">
        <v>881.08</v>
      </c>
      <c r="R901">
        <v>0.25</v>
      </c>
      <c r="S901">
        <v>3304.05</v>
      </c>
      <c r="T901">
        <v>2279.41</v>
      </c>
      <c r="U901">
        <v>1024.6400000000001</v>
      </c>
      <c r="V901" t="s">
        <v>155</v>
      </c>
      <c r="W901" t="s">
        <v>68</v>
      </c>
      <c r="X901" t="str">
        <f>_xlfn.TEXTJOIN("|", TRUE, A901:W901)</f>
        <v>ORD-2025-10900|45804|45722|-82|Invalid: Ship before Order|CUST-3789|Karan Malhotra|Consumer|North|Punjab|Ludhiana|Furniture|Chairs|Elite Chairs 971|First Class|5|881.08|0.25|3304.05|2279.41|1024.64|Failed|Cancelled</v>
      </c>
      <c r="Y901">
        <f>COUNTIF($X$2:$X$1000, X901)</f>
        <v>1</v>
      </c>
      <c r="Z901">
        <f>COUNTIF($A$2:$A$1000, A901)</f>
        <v>1</v>
      </c>
      <c r="AA901" t="str">
        <f>IF(Y901&gt;1, "Exact Duplicate",
  IF(Z901&gt;1, "Conflicting Duplicate - Review",
    "Unique"))</f>
        <v>Unique</v>
      </c>
      <c r="AB901" s="2">
        <f>IF(ISBLANK(R901), 0, IF(ISTEXT(R901), VALUE(SUBSTITUTE(R901, "%", ""))/100, IF(OR(R901&lt;0, R901&gt;1), "Invalid", R901)))</f>
        <v>0.25</v>
      </c>
      <c r="AC901" s="4">
        <f>IF(AB901="Invalid", "Error", P901 * Q901 * (1 - AB901))</f>
        <v>3304.05</v>
      </c>
      <c r="AD901" s="4">
        <f>IF(AC901="Error", "Error", AC901 - T901)</f>
        <v>1024.6400000000003</v>
      </c>
      <c r="AE901" s="2">
        <f>IF(AC901="Error", "Error", IF(AC901=0, 0, AD901 / AC901))</f>
        <v>0.31011637233092726</v>
      </c>
      <c r="AF901" s="7">
        <f>C901-B901</f>
        <v>-82</v>
      </c>
      <c r="AG901" s="2" t="str">
        <f>TEXT(B901, "mmmm")</f>
        <v>May</v>
      </c>
      <c r="AH901" s="4">
        <f>YEAR(B901)</f>
        <v>2025</v>
      </c>
      <c r="AI901" s="2" t="str">
        <f t="shared" si="28"/>
        <v>Excluded from Sales</v>
      </c>
      <c r="AJ901">
        <f>COUNTIFS($A$2:$A$1000,A901,$B$2:$B$1000,B901,$C$2:$C$1000,C901,$D$2:$D$1000,D901,$E$2:$E$1000,E901,$F$2:$F$1000,F901)</f>
        <v>1</v>
      </c>
      <c r="AK901">
        <f>COUNTIF($A$2:$A$1000, A901)</f>
        <v>1</v>
      </c>
    </row>
    <row r="902" spans="1:37">
      <c r="A902" s="8" t="s">
        <v>1605</v>
      </c>
      <c r="B902" s="5">
        <v>45295</v>
      </c>
      <c r="C902" s="5">
        <v>45391</v>
      </c>
      <c r="D902" s="6">
        <f t="shared" ref="D902:D921" si="29">IF(AND(C902&lt;&gt;"",B902&lt;&gt;""), C902-B902, "Missing Date")</f>
        <v>96</v>
      </c>
      <c r="E902" s="6" t="str">
        <f t="shared" ref="E902:E921" si="30">IF(OR(B902="",C902=""), "Missing Date",
    IF(C902&lt;B902, "Invalid: Ship before Order",
      "OK"))</f>
        <v>OK</v>
      </c>
      <c r="F902" s="8" t="s">
        <v>1606</v>
      </c>
      <c r="G902" s="8" t="s">
        <v>114</v>
      </c>
      <c r="H902" s="8" t="s">
        <v>37</v>
      </c>
      <c r="I902" s="8" t="s">
        <v>38</v>
      </c>
      <c r="J902" s="8" t="s">
        <v>39</v>
      </c>
      <c r="K902" s="8" t="s">
        <v>40</v>
      </c>
      <c r="L902" s="8" t="s">
        <v>74</v>
      </c>
      <c r="M902" s="8" t="s">
        <v>80</v>
      </c>
      <c r="N902" s="8" t="s">
        <v>1607</v>
      </c>
      <c r="O902" s="8" t="s">
        <v>31</v>
      </c>
      <c r="P902" s="8">
        <v>6</v>
      </c>
      <c r="Q902" s="8">
        <v>826.93</v>
      </c>
      <c r="R902" s="8">
        <v>0.1</v>
      </c>
      <c r="S902" s="8">
        <v>4465.42</v>
      </c>
      <c r="T902" s="8">
        <v>3377.1</v>
      </c>
      <c r="U902" s="8">
        <v>1088.32</v>
      </c>
      <c r="V902" s="8" t="s">
        <v>32</v>
      </c>
      <c r="W902" s="8" t="s">
        <v>33</v>
      </c>
      <c r="X902" s="8"/>
      <c r="Y902" s="8"/>
      <c r="Z902" s="8"/>
      <c r="AA902" t="str">
        <f t="shared" ref="AA902:AA921" si="31">IF(Y902&gt;1, "Exact Duplicate",
  IF(Z902&gt;1, "Conflicting Duplicate - Review",
    "Unique"))</f>
        <v>Unique</v>
      </c>
      <c r="AB902" s="2">
        <f t="shared" ref="AB902:AB921" si="32">IF(ISBLANK(R902), 0, IF(ISTEXT(R902), VALUE(SUBSTITUTE(R902, "%", ""))/100, IF(OR(R902&lt;0, R902&gt;1), "Invalid", R902)))</f>
        <v>0.1</v>
      </c>
      <c r="AC902" s="3">
        <f t="shared" ref="AC902:AC921" si="33">IF(AB902="Invalid", "Error", P902 * Q902 * (1 - AB902))</f>
        <v>4465.4220000000005</v>
      </c>
      <c r="AD902" s="3">
        <f t="shared" ref="AD902:AD921" si="34">IF(AC902="Error", "Error", AC902 - T902)</f>
        <v>1088.3220000000006</v>
      </c>
      <c r="AE902" s="2">
        <f t="shared" ref="AE902:AE921" si="35">IF(AC902="Error", "Error", IF(AC902=0, 0, AD902 / AC902))</f>
        <v>0.24372209390288319</v>
      </c>
      <c r="AF902" s="7">
        <f t="shared" ref="AF902:AF921" si="36">C902-B902</f>
        <v>96</v>
      </c>
      <c r="AG902" s="2" t="str">
        <f t="shared" ref="AG902:AG921" si="37">TEXT(B902, "mmmm")</f>
        <v>January</v>
      </c>
      <c r="AH902" s="3">
        <f t="shared" ref="AH902:AH921" si="38">YEAR(B902)</f>
        <v>2024</v>
      </c>
      <c r="AI902" s="2" t="str">
        <f t="shared" si="28"/>
        <v>Clean</v>
      </c>
      <c r="AJ902">
        <f t="shared" ref="AJ902:AJ921" si="39">COUNTIFS($A$2:$A$1000,A902,$B$2:$B$1000,B902,$C$2:$C$1000,C902,$D$2:$D$1000,D902,$E$2:$E$1000,E902,$F$2:$F$1000,F902)</f>
        <v>2</v>
      </c>
      <c r="AK902">
        <f t="shared" ref="AK902:AK921" si="40">COUNTIF($A$2:$A$1000, A902)</f>
        <v>2</v>
      </c>
    </row>
    <row r="903" spans="1:37">
      <c r="A903" s="8" t="s">
        <v>1887</v>
      </c>
      <c r="B903" s="5">
        <v>45521</v>
      </c>
      <c r="C903" s="5">
        <v>45528</v>
      </c>
      <c r="D903" s="6">
        <f t="shared" si="29"/>
        <v>7</v>
      </c>
      <c r="E903" s="6" t="str">
        <f t="shared" si="30"/>
        <v>OK</v>
      </c>
      <c r="F903" s="8" t="s">
        <v>1888</v>
      </c>
      <c r="G903" s="8" t="s">
        <v>62</v>
      </c>
      <c r="H903" s="8" t="s">
        <v>90</v>
      </c>
      <c r="I903" s="8" t="s">
        <v>38</v>
      </c>
      <c r="J903" s="8" t="s">
        <v>99</v>
      </c>
      <c r="K903" s="8" t="s">
        <v>100</v>
      </c>
      <c r="L903" s="8" t="s">
        <v>74</v>
      </c>
      <c r="M903" s="8" t="s">
        <v>80</v>
      </c>
      <c r="N903" s="8" t="s">
        <v>1889</v>
      </c>
      <c r="O903" s="8" t="s">
        <v>44</v>
      </c>
      <c r="P903" s="8">
        <v>3</v>
      </c>
      <c r="Q903" s="8">
        <v>1490.69</v>
      </c>
      <c r="R903" s="8">
        <v>0.25</v>
      </c>
      <c r="S903" s="8">
        <v>3354.05</v>
      </c>
      <c r="T903" s="8">
        <v>2672.67</v>
      </c>
      <c r="U903" s="8">
        <v>681.38</v>
      </c>
      <c r="V903" s="8" t="s">
        <v>32</v>
      </c>
      <c r="W903" s="8" t="s">
        <v>33</v>
      </c>
      <c r="X903" s="8"/>
      <c r="Y903" s="8"/>
      <c r="Z903" s="8"/>
      <c r="AA903" t="str">
        <f t="shared" si="31"/>
        <v>Unique</v>
      </c>
      <c r="AB903" s="2">
        <f t="shared" si="32"/>
        <v>0.25</v>
      </c>
      <c r="AC903" s="3">
        <f t="shared" si="33"/>
        <v>3354.0524999999998</v>
      </c>
      <c r="AD903" s="3">
        <f t="shared" si="34"/>
        <v>681.38249999999971</v>
      </c>
      <c r="AE903" s="2">
        <f t="shared" si="35"/>
        <v>0.20315200790685289</v>
      </c>
      <c r="AF903" s="7">
        <f t="shared" si="36"/>
        <v>7</v>
      </c>
      <c r="AG903" s="2" t="str">
        <f t="shared" si="37"/>
        <v>August</v>
      </c>
      <c r="AH903" s="3">
        <f t="shared" si="38"/>
        <v>2024</v>
      </c>
      <c r="AI903" s="2" t="str">
        <f t="shared" si="28"/>
        <v>Clean</v>
      </c>
      <c r="AJ903">
        <f t="shared" si="39"/>
        <v>2</v>
      </c>
      <c r="AK903">
        <f t="shared" si="40"/>
        <v>2</v>
      </c>
    </row>
    <row r="904" spans="1:37">
      <c r="A904" s="8" t="s">
        <v>2164</v>
      </c>
      <c r="B904" s="5">
        <v>45870</v>
      </c>
      <c r="C904" s="5">
        <v>45878</v>
      </c>
      <c r="D904" s="6">
        <f t="shared" si="29"/>
        <v>8</v>
      </c>
      <c r="E904" s="6" t="str">
        <f t="shared" si="30"/>
        <v>OK</v>
      </c>
      <c r="F904" s="8" t="s">
        <v>1136</v>
      </c>
      <c r="G904" s="8" t="s">
        <v>47</v>
      </c>
      <c r="H904" s="8" t="s">
        <v>24</v>
      </c>
      <c r="I904" s="8" t="s">
        <v>54</v>
      </c>
      <c r="J904" s="8" t="s">
        <v>84</v>
      </c>
      <c r="K904" s="8" t="s">
        <v>85</v>
      </c>
      <c r="L904" s="8" t="s">
        <v>28</v>
      </c>
      <c r="M904" s="8" t="s">
        <v>124</v>
      </c>
      <c r="N904" s="8" t="s">
        <v>2165</v>
      </c>
      <c r="O904" s="8" t="s">
        <v>50</v>
      </c>
      <c r="P904" s="8">
        <v>5</v>
      </c>
      <c r="Q904" s="8">
        <v>2736.24</v>
      </c>
      <c r="R904" s="8">
        <v>0.15</v>
      </c>
      <c r="S904" s="8">
        <v>11629.02</v>
      </c>
      <c r="T904" s="8">
        <v>9627.2099999999991</v>
      </c>
      <c r="U904" s="8">
        <v>2001.81</v>
      </c>
      <c r="V904" s="8" t="s">
        <v>32</v>
      </c>
      <c r="W904" s="8" t="s">
        <v>33</v>
      </c>
      <c r="X904" s="8"/>
      <c r="Y904" s="8"/>
      <c r="Z904" s="8"/>
      <c r="AA904" t="str">
        <f t="shared" si="31"/>
        <v>Unique</v>
      </c>
      <c r="AB904" s="2">
        <f t="shared" si="32"/>
        <v>0.15</v>
      </c>
      <c r="AC904" s="3">
        <f t="shared" si="33"/>
        <v>11629.019999999999</v>
      </c>
      <c r="AD904" s="3">
        <f t="shared" si="34"/>
        <v>2001.8099999999995</v>
      </c>
      <c r="AE904" s="2">
        <f t="shared" si="35"/>
        <v>0.17213918283741877</v>
      </c>
      <c r="AF904" s="7">
        <f t="shared" si="36"/>
        <v>8</v>
      </c>
      <c r="AG904" s="2" t="str">
        <f t="shared" si="37"/>
        <v>August</v>
      </c>
      <c r="AH904" s="3">
        <f t="shared" si="38"/>
        <v>2025</v>
      </c>
      <c r="AI904" s="2" t="str">
        <f t="shared" si="28"/>
        <v>Clean</v>
      </c>
      <c r="AJ904">
        <f t="shared" si="39"/>
        <v>2</v>
      </c>
      <c r="AK904">
        <f t="shared" si="40"/>
        <v>2</v>
      </c>
    </row>
    <row r="905" spans="1:37">
      <c r="A905" s="8" t="s">
        <v>2193</v>
      </c>
      <c r="B905" s="5">
        <v>45364</v>
      </c>
      <c r="C905" s="5">
        <v>45371</v>
      </c>
      <c r="D905" s="6">
        <f t="shared" si="29"/>
        <v>7</v>
      </c>
      <c r="E905" s="6" t="str">
        <f t="shared" si="30"/>
        <v>OK</v>
      </c>
      <c r="F905" s="8" t="s">
        <v>2194</v>
      </c>
      <c r="G905" s="8" t="s">
        <v>114</v>
      </c>
      <c r="H905" s="8" t="s">
        <v>95</v>
      </c>
      <c r="I905" s="8" t="s">
        <v>54</v>
      </c>
      <c r="J905" s="8" t="s">
        <v>247</v>
      </c>
      <c r="K905" s="8" t="s">
        <v>248</v>
      </c>
      <c r="L905" s="8" t="s">
        <v>41</v>
      </c>
      <c r="M905" s="8" t="s">
        <v>158</v>
      </c>
      <c r="N905" s="8" t="s">
        <v>2195</v>
      </c>
      <c r="O905" s="8"/>
      <c r="P905" s="8">
        <v>1</v>
      </c>
      <c r="Q905" s="8">
        <v>2825.63</v>
      </c>
      <c r="R905" s="8">
        <v>0.15</v>
      </c>
      <c r="S905" s="8">
        <v>2401.79</v>
      </c>
      <c r="T905" s="8">
        <v>1820.34</v>
      </c>
      <c r="U905" s="8">
        <v>581.45000000000005</v>
      </c>
      <c r="V905" s="8" t="s">
        <v>32</v>
      </c>
      <c r="W905" s="8" t="s">
        <v>33</v>
      </c>
      <c r="X905" s="8"/>
      <c r="Y905" s="8"/>
      <c r="Z905" s="8"/>
      <c r="AA905" t="str">
        <f t="shared" si="31"/>
        <v>Unique</v>
      </c>
      <c r="AB905" s="2">
        <f t="shared" si="32"/>
        <v>0.15</v>
      </c>
      <c r="AC905" s="3">
        <f t="shared" si="33"/>
        <v>2401.7855</v>
      </c>
      <c r="AD905" s="3">
        <f t="shared" si="34"/>
        <v>581.44550000000004</v>
      </c>
      <c r="AE905" s="2">
        <f t="shared" si="35"/>
        <v>0.24208885431276025</v>
      </c>
      <c r="AF905" s="7">
        <f t="shared" si="36"/>
        <v>7</v>
      </c>
      <c r="AG905" s="2" t="str">
        <f t="shared" si="37"/>
        <v>March</v>
      </c>
      <c r="AH905" s="3">
        <f t="shared" si="38"/>
        <v>2024</v>
      </c>
      <c r="AI905" s="2" t="str">
        <f t="shared" si="28"/>
        <v>Clean</v>
      </c>
      <c r="AJ905">
        <f t="shared" si="39"/>
        <v>2</v>
      </c>
      <c r="AK905">
        <f t="shared" si="40"/>
        <v>2</v>
      </c>
    </row>
    <row r="906" spans="1:37">
      <c r="A906" s="8" t="s">
        <v>934</v>
      </c>
      <c r="B906" s="5">
        <v>45313</v>
      </c>
      <c r="C906" s="5">
        <v>45314</v>
      </c>
      <c r="D906" s="6">
        <f t="shared" si="29"/>
        <v>1</v>
      </c>
      <c r="E906" s="6" t="str">
        <f t="shared" si="30"/>
        <v>OK</v>
      </c>
      <c r="F906" s="8" t="s">
        <v>935</v>
      </c>
      <c r="G906" s="8" t="s">
        <v>128</v>
      </c>
      <c r="H906" s="8" t="s">
        <v>37</v>
      </c>
      <c r="I906" s="8"/>
      <c r="J906" s="8" t="s">
        <v>166</v>
      </c>
      <c r="K906" s="8" t="s">
        <v>167</v>
      </c>
      <c r="L906" s="8" t="s">
        <v>41</v>
      </c>
      <c r="M906" s="8" t="s">
        <v>66</v>
      </c>
      <c r="N906" s="8" t="s">
        <v>936</v>
      </c>
      <c r="O906" s="8" t="s">
        <v>31</v>
      </c>
      <c r="P906" s="8">
        <v>6</v>
      </c>
      <c r="Q906" s="8">
        <v>3391.53</v>
      </c>
      <c r="R906" s="8">
        <v>-0.14000000000000001</v>
      </c>
      <c r="S906" s="8">
        <v>15261.89</v>
      </c>
      <c r="T906" s="8">
        <v>8413.5300000000007</v>
      </c>
      <c r="U906" s="8">
        <v>6848.36</v>
      </c>
      <c r="V906" s="8" t="s">
        <v>32</v>
      </c>
      <c r="W906" s="8" t="s">
        <v>33</v>
      </c>
      <c r="X906" s="8"/>
      <c r="Y906" s="8"/>
      <c r="Z906" s="8"/>
      <c r="AA906" t="str">
        <f t="shared" si="31"/>
        <v>Unique</v>
      </c>
      <c r="AB906" s="2" t="str">
        <f t="shared" si="32"/>
        <v>Invalid</v>
      </c>
      <c r="AC906" s="3" t="str">
        <f t="shared" si="33"/>
        <v>Error</v>
      </c>
      <c r="AD906" s="3" t="str">
        <f t="shared" si="34"/>
        <v>Error</v>
      </c>
      <c r="AE906" s="2" t="str">
        <f t="shared" si="35"/>
        <v>Error</v>
      </c>
      <c r="AF906" s="7">
        <f t="shared" si="36"/>
        <v>1</v>
      </c>
      <c r="AG906" s="2" t="str">
        <f t="shared" si="37"/>
        <v>January</v>
      </c>
      <c r="AH906" s="3">
        <f t="shared" si="38"/>
        <v>2024</v>
      </c>
      <c r="AI906" s="2" t="str">
        <f t="shared" si="28"/>
        <v>Invalid: Discount</v>
      </c>
      <c r="AJ906">
        <f t="shared" si="39"/>
        <v>2</v>
      </c>
      <c r="AK906">
        <f t="shared" si="40"/>
        <v>2</v>
      </c>
    </row>
    <row r="907" spans="1:37">
      <c r="A907" s="8" t="s">
        <v>1986</v>
      </c>
      <c r="B907" s="5">
        <v>45762</v>
      </c>
      <c r="C907" s="5">
        <v>45763</v>
      </c>
      <c r="D907" s="6">
        <f t="shared" si="29"/>
        <v>1</v>
      </c>
      <c r="E907" s="6" t="str">
        <f t="shared" si="30"/>
        <v>OK</v>
      </c>
      <c r="F907" s="8" t="s">
        <v>1987</v>
      </c>
      <c r="G907" s="8" t="s">
        <v>132</v>
      </c>
      <c r="H907" s="8" t="s">
        <v>37</v>
      </c>
      <c r="I907" s="8" t="s">
        <v>54</v>
      </c>
      <c r="J907" s="8" t="s">
        <v>175</v>
      </c>
      <c r="K907" s="8" t="s">
        <v>176</v>
      </c>
      <c r="L907" s="8" t="s">
        <v>41</v>
      </c>
      <c r="M907" s="8" t="s">
        <v>57</v>
      </c>
      <c r="N907" s="8" t="s">
        <v>1988</v>
      </c>
      <c r="O907" s="8" t="s">
        <v>50</v>
      </c>
      <c r="P907" s="8">
        <v>5</v>
      </c>
      <c r="Q907" s="8">
        <v>2850.53</v>
      </c>
      <c r="R907" s="8">
        <v>0</v>
      </c>
      <c r="S907" s="8">
        <v>14252.65</v>
      </c>
      <c r="T907" s="8">
        <v>11558.31</v>
      </c>
      <c r="U907" s="8">
        <v>2694.34</v>
      </c>
      <c r="V907" s="8" t="s">
        <v>32</v>
      </c>
      <c r="W907" s="8" t="s">
        <v>33</v>
      </c>
      <c r="X907" s="8"/>
      <c r="Y907" s="8"/>
      <c r="Z907" s="8"/>
      <c r="AA907" t="str">
        <f t="shared" si="31"/>
        <v>Unique</v>
      </c>
      <c r="AB907" s="2">
        <f t="shared" si="32"/>
        <v>0</v>
      </c>
      <c r="AC907" s="3">
        <f t="shared" si="33"/>
        <v>14252.650000000001</v>
      </c>
      <c r="AD907" s="3">
        <f t="shared" si="34"/>
        <v>2694.340000000002</v>
      </c>
      <c r="AE907" s="2">
        <f t="shared" si="35"/>
        <v>0.18904133617257154</v>
      </c>
      <c r="AF907" s="7">
        <f t="shared" si="36"/>
        <v>1</v>
      </c>
      <c r="AG907" s="2" t="str">
        <f t="shared" si="37"/>
        <v>April</v>
      </c>
      <c r="AH907" s="3">
        <f t="shared" si="38"/>
        <v>2025</v>
      </c>
      <c r="AI907" s="2" t="str">
        <f t="shared" si="28"/>
        <v>Clean</v>
      </c>
      <c r="AJ907">
        <f t="shared" si="39"/>
        <v>2</v>
      </c>
      <c r="AK907">
        <f t="shared" si="40"/>
        <v>2</v>
      </c>
    </row>
    <row r="908" spans="1:37">
      <c r="A908" s="8" t="s">
        <v>2266</v>
      </c>
      <c r="B908" s="5">
        <v>45794</v>
      </c>
      <c r="C908" s="5">
        <v>45802</v>
      </c>
      <c r="D908" s="6">
        <f t="shared" si="29"/>
        <v>8</v>
      </c>
      <c r="E908" s="6" t="str">
        <f t="shared" si="30"/>
        <v>OK</v>
      </c>
      <c r="F908" s="8" t="s">
        <v>2267</v>
      </c>
      <c r="G908" s="8" t="s">
        <v>62</v>
      </c>
      <c r="H908" s="8" t="s">
        <v>90</v>
      </c>
      <c r="I908" s="8" t="s">
        <v>54</v>
      </c>
      <c r="J908" s="8" t="s">
        <v>247</v>
      </c>
      <c r="K908" s="8" t="s">
        <v>248</v>
      </c>
      <c r="L908" s="8" t="s">
        <v>74</v>
      </c>
      <c r="M908" s="8" t="s">
        <v>274</v>
      </c>
      <c r="N908" s="8" t="s">
        <v>2268</v>
      </c>
      <c r="O908" s="8" t="s">
        <v>44</v>
      </c>
      <c r="P908" s="8">
        <v>6</v>
      </c>
      <c r="Q908" s="8">
        <v>1810.63</v>
      </c>
      <c r="R908" s="8">
        <v>0.15</v>
      </c>
      <c r="S908" s="8">
        <v>9234.2099999999991</v>
      </c>
      <c r="T908" s="8">
        <v>5516.52</v>
      </c>
      <c r="U908" s="8">
        <v>3717.69</v>
      </c>
      <c r="V908" s="8" t="s">
        <v>32</v>
      </c>
      <c r="W908" s="8" t="s">
        <v>33</v>
      </c>
      <c r="X908" s="8"/>
      <c r="Y908" s="8"/>
      <c r="Z908" s="8"/>
      <c r="AA908" t="str">
        <f t="shared" si="31"/>
        <v>Unique</v>
      </c>
      <c r="AB908" s="2">
        <f t="shared" si="32"/>
        <v>0.15</v>
      </c>
      <c r="AC908" s="3">
        <f t="shared" si="33"/>
        <v>9234.2129999999997</v>
      </c>
      <c r="AD908" s="3">
        <f t="shared" si="34"/>
        <v>3717.6929999999993</v>
      </c>
      <c r="AE908" s="2">
        <f t="shared" si="35"/>
        <v>0.40259987505161504</v>
      </c>
      <c r="AF908" s="7">
        <f t="shared" si="36"/>
        <v>8</v>
      </c>
      <c r="AG908" s="2" t="str">
        <f t="shared" si="37"/>
        <v>May</v>
      </c>
      <c r="AH908" s="3">
        <f t="shared" si="38"/>
        <v>2025</v>
      </c>
      <c r="AI908" s="2" t="str">
        <f t="shared" si="28"/>
        <v>Clean</v>
      </c>
      <c r="AJ908">
        <f t="shared" si="39"/>
        <v>2</v>
      </c>
      <c r="AK908">
        <f t="shared" si="40"/>
        <v>2</v>
      </c>
    </row>
    <row r="909" spans="1:37">
      <c r="A909" s="8" t="s">
        <v>509</v>
      </c>
      <c r="B909" s="5">
        <v>45639</v>
      </c>
      <c r="C909" s="5">
        <v>45644</v>
      </c>
      <c r="D909" s="6">
        <f t="shared" si="29"/>
        <v>5</v>
      </c>
      <c r="E909" s="6" t="str">
        <f t="shared" si="30"/>
        <v>OK</v>
      </c>
      <c r="F909" s="8" t="s">
        <v>510</v>
      </c>
      <c r="G909" s="8" t="s">
        <v>23</v>
      </c>
      <c r="H909" s="8" t="s">
        <v>24</v>
      </c>
      <c r="I909" s="8" t="s">
        <v>63</v>
      </c>
      <c r="J909" s="8" t="s">
        <v>190</v>
      </c>
      <c r="K909" s="8" t="s">
        <v>191</v>
      </c>
      <c r="L909" s="8" t="s">
        <v>74</v>
      </c>
      <c r="M909" s="8" t="s">
        <v>171</v>
      </c>
      <c r="N909" s="8" t="s">
        <v>511</v>
      </c>
      <c r="O909" s="8" t="s">
        <v>31</v>
      </c>
      <c r="P909" s="8">
        <v>8</v>
      </c>
      <c r="Q909" s="8">
        <v>3372.15</v>
      </c>
      <c r="R909" s="8">
        <v>0.15</v>
      </c>
      <c r="S909" s="8">
        <v>22930.62</v>
      </c>
      <c r="T909" s="8">
        <v>16875.55</v>
      </c>
      <c r="U909" s="8">
        <v>6055.07</v>
      </c>
      <c r="V909" s="8" t="s">
        <v>32</v>
      </c>
      <c r="W909" s="8" t="s">
        <v>33</v>
      </c>
      <c r="X909" s="8"/>
      <c r="Y909" s="8"/>
      <c r="Z909" s="8"/>
      <c r="AA909" t="str">
        <f t="shared" si="31"/>
        <v>Unique</v>
      </c>
      <c r="AB909" s="2">
        <f t="shared" si="32"/>
        <v>0.15</v>
      </c>
      <c r="AC909" s="3">
        <f t="shared" si="33"/>
        <v>22930.62</v>
      </c>
      <c r="AD909" s="3">
        <f t="shared" si="34"/>
        <v>6055.07</v>
      </c>
      <c r="AE909" s="2">
        <f t="shared" si="35"/>
        <v>0.26406045715292475</v>
      </c>
      <c r="AF909" s="7">
        <f t="shared" si="36"/>
        <v>5</v>
      </c>
      <c r="AG909" s="2" t="str">
        <f t="shared" si="37"/>
        <v>December</v>
      </c>
      <c r="AH909" s="3">
        <f t="shared" si="38"/>
        <v>2024</v>
      </c>
      <c r="AI909" s="2" t="str">
        <f t="shared" si="28"/>
        <v>Clean</v>
      </c>
      <c r="AJ909">
        <f t="shared" si="39"/>
        <v>2</v>
      </c>
      <c r="AK909">
        <f t="shared" si="40"/>
        <v>2</v>
      </c>
    </row>
    <row r="910" spans="1:37">
      <c r="A910" s="8" t="s">
        <v>2237</v>
      </c>
      <c r="B910" s="5">
        <v>45908</v>
      </c>
      <c r="C910" s="5">
        <v>45909</v>
      </c>
      <c r="D910" s="6">
        <f t="shared" si="29"/>
        <v>1</v>
      </c>
      <c r="E910" s="6" t="str">
        <f t="shared" si="30"/>
        <v>OK</v>
      </c>
      <c r="F910" s="8" t="s">
        <v>144</v>
      </c>
      <c r="G910" s="8" t="s">
        <v>264</v>
      </c>
      <c r="H910" s="8" t="s">
        <v>90</v>
      </c>
      <c r="I910" s="8" t="s">
        <v>63</v>
      </c>
      <c r="J910" s="8" t="s">
        <v>180</v>
      </c>
      <c r="K910" s="8" t="s">
        <v>181</v>
      </c>
      <c r="L910" s="8" t="s">
        <v>28</v>
      </c>
      <c r="M910" s="8" t="s">
        <v>48</v>
      </c>
      <c r="N910" s="8" t="s">
        <v>2238</v>
      </c>
      <c r="O910" s="8" t="s">
        <v>44</v>
      </c>
      <c r="P910" s="8">
        <v>2</v>
      </c>
      <c r="Q910" s="8">
        <v>2372.41</v>
      </c>
      <c r="R910" s="8">
        <v>0.2</v>
      </c>
      <c r="S910" s="8">
        <v>3795.86</v>
      </c>
      <c r="T910" s="8">
        <v>2264.92</v>
      </c>
      <c r="U910" s="8">
        <v>1530.94</v>
      </c>
      <c r="V910" s="8" t="s">
        <v>32</v>
      </c>
      <c r="W910" s="8" t="s">
        <v>33</v>
      </c>
      <c r="X910" s="8"/>
      <c r="Y910" s="8"/>
      <c r="Z910" s="8"/>
      <c r="AA910" t="str">
        <f t="shared" si="31"/>
        <v>Unique</v>
      </c>
      <c r="AB910" s="2">
        <f t="shared" si="32"/>
        <v>0.2</v>
      </c>
      <c r="AC910" s="3">
        <f t="shared" si="33"/>
        <v>3795.8559999999998</v>
      </c>
      <c r="AD910" s="3">
        <f t="shared" si="34"/>
        <v>1530.9359999999997</v>
      </c>
      <c r="AE910" s="2">
        <f t="shared" si="35"/>
        <v>0.40331772332775528</v>
      </c>
      <c r="AF910" s="7">
        <f t="shared" si="36"/>
        <v>1</v>
      </c>
      <c r="AG910" s="2" t="str">
        <f t="shared" si="37"/>
        <v>September</v>
      </c>
      <c r="AH910" s="3">
        <f t="shared" si="38"/>
        <v>2025</v>
      </c>
      <c r="AI910" s="2" t="str">
        <f t="shared" si="28"/>
        <v>Clean</v>
      </c>
      <c r="AJ910">
        <f t="shared" si="39"/>
        <v>2</v>
      </c>
      <c r="AK910">
        <f t="shared" si="40"/>
        <v>2</v>
      </c>
    </row>
    <row r="911" spans="1:37">
      <c r="A911" s="8" t="s">
        <v>1299</v>
      </c>
      <c r="B911" s="5">
        <v>45771</v>
      </c>
      <c r="C911" s="5">
        <v>45776</v>
      </c>
      <c r="D911" s="6">
        <f t="shared" si="29"/>
        <v>5</v>
      </c>
      <c r="E911" s="6" t="str">
        <f t="shared" si="30"/>
        <v>OK</v>
      </c>
      <c r="F911" s="8" t="s">
        <v>1300</v>
      </c>
      <c r="G911" s="8" t="s">
        <v>162</v>
      </c>
      <c r="H911" s="8" t="s">
        <v>37</v>
      </c>
      <c r="I911" s="8" t="s">
        <v>54</v>
      </c>
      <c r="J911" s="8" t="s">
        <v>84</v>
      </c>
      <c r="K911" s="8" t="s">
        <v>85</v>
      </c>
      <c r="L911" s="8" t="s">
        <v>28</v>
      </c>
      <c r="M911" s="8" t="s">
        <v>29</v>
      </c>
      <c r="N911" s="8" t="s">
        <v>1301</v>
      </c>
      <c r="O911" s="8" t="s">
        <v>44</v>
      </c>
      <c r="P911" s="8">
        <v>1</v>
      </c>
      <c r="Q911" s="8">
        <v>4358.5</v>
      </c>
      <c r="R911" s="8">
        <v>0.25</v>
      </c>
      <c r="S911" s="8">
        <v>3268.88</v>
      </c>
      <c r="T911" s="8">
        <v>1993.74</v>
      </c>
      <c r="U911" s="8">
        <v>1275.1400000000001</v>
      </c>
      <c r="V911" s="8" t="s">
        <v>32</v>
      </c>
      <c r="W911" s="8" t="s">
        <v>33</v>
      </c>
      <c r="X911" s="8"/>
      <c r="Y911" s="8"/>
      <c r="Z911" s="8"/>
      <c r="AA911" t="str">
        <f t="shared" si="31"/>
        <v>Unique</v>
      </c>
      <c r="AB911" s="2">
        <f t="shared" si="32"/>
        <v>0.25</v>
      </c>
      <c r="AC911" s="3">
        <f t="shared" si="33"/>
        <v>3268.875</v>
      </c>
      <c r="AD911" s="3">
        <f t="shared" si="34"/>
        <v>1275.135</v>
      </c>
      <c r="AE911" s="2">
        <f t="shared" si="35"/>
        <v>0.39008374440747962</v>
      </c>
      <c r="AF911" s="7">
        <f t="shared" si="36"/>
        <v>5</v>
      </c>
      <c r="AG911" s="2" t="str">
        <f t="shared" si="37"/>
        <v>April</v>
      </c>
      <c r="AH911" s="3">
        <f t="shared" si="38"/>
        <v>2025</v>
      </c>
      <c r="AI911" s="2" t="str">
        <f t="shared" si="28"/>
        <v>Clean</v>
      </c>
      <c r="AJ911">
        <f t="shared" si="39"/>
        <v>2</v>
      </c>
      <c r="AK911">
        <f t="shared" si="40"/>
        <v>2</v>
      </c>
    </row>
    <row r="912" spans="1:37">
      <c r="A912" s="8" t="s">
        <v>478</v>
      </c>
      <c r="B912" s="5">
        <v>45436</v>
      </c>
      <c r="C912" s="5">
        <v>45437</v>
      </c>
      <c r="D912" s="6">
        <f t="shared" si="29"/>
        <v>1</v>
      </c>
      <c r="E912" s="6" t="str">
        <f t="shared" si="30"/>
        <v>OK</v>
      </c>
      <c r="F912" s="8" t="s">
        <v>479</v>
      </c>
      <c r="G912" s="8" t="s">
        <v>132</v>
      </c>
      <c r="H912" s="8" t="s">
        <v>37</v>
      </c>
      <c r="I912" s="8" t="s">
        <v>480</v>
      </c>
      <c r="J912" s="8" t="s">
        <v>122</v>
      </c>
      <c r="K912" s="8" t="s">
        <v>123</v>
      </c>
      <c r="L912" s="8" t="s">
        <v>74</v>
      </c>
      <c r="M912" s="8" t="s">
        <v>80</v>
      </c>
      <c r="N912" s="8" t="s">
        <v>481</v>
      </c>
      <c r="O912" s="8" t="s">
        <v>44</v>
      </c>
      <c r="P912" s="8">
        <v>1</v>
      </c>
      <c r="Q912" s="8">
        <v>634.13</v>
      </c>
      <c r="R912" s="8">
        <v>0</v>
      </c>
      <c r="S912" s="8">
        <v>634.13</v>
      </c>
      <c r="T912" s="8">
        <v>453.35</v>
      </c>
      <c r="U912" s="8">
        <v>180.78</v>
      </c>
      <c r="V912" s="8" t="s">
        <v>102</v>
      </c>
      <c r="W912" s="8" t="s">
        <v>68</v>
      </c>
      <c r="X912" s="8"/>
      <c r="Y912" s="8"/>
      <c r="Z912" s="8"/>
      <c r="AA912" t="str">
        <f t="shared" si="31"/>
        <v>Unique</v>
      </c>
      <c r="AB912" s="2">
        <f t="shared" si="32"/>
        <v>0</v>
      </c>
      <c r="AC912" s="3">
        <f t="shared" si="33"/>
        <v>634.13</v>
      </c>
      <c r="AD912" s="3">
        <f t="shared" si="34"/>
        <v>180.77999999999997</v>
      </c>
      <c r="AE912" s="2">
        <f t="shared" si="35"/>
        <v>0.28508350022865969</v>
      </c>
      <c r="AF912" s="7">
        <f t="shared" si="36"/>
        <v>1</v>
      </c>
      <c r="AG912" s="2" t="str">
        <f t="shared" si="37"/>
        <v>May</v>
      </c>
      <c r="AH912" s="3">
        <f t="shared" si="38"/>
        <v>2024</v>
      </c>
      <c r="AI912" s="2" t="str">
        <f t="shared" si="28"/>
        <v>Excluded from Sales</v>
      </c>
      <c r="AJ912">
        <f t="shared" si="39"/>
        <v>3</v>
      </c>
      <c r="AK912">
        <f t="shared" si="40"/>
        <v>3</v>
      </c>
    </row>
    <row r="913" spans="1:37">
      <c r="A913" s="8" t="s">
        <v>857</v>
      </c>
      <c r="B913" s="5">
        <v>45343</v>
      </c>
      <c r="C913" s="5">
        <v>45349</v>
      </c>
      <c r="D913" s="6">
        <f t="shared" si="29"/>
        <v>6</v>
      </c>
      <c r="E913" s="6" t="str">
        <f t="shared" si="30"/>
        <v>OK</v>
      </c>
      <c r="F913" s="8" t="s">
        <v>858</v>
      </c>
      <c r="G913" s="8" t="s">
        <v>53</v>
      </c>
      <c r="H913" s="8" t="s">
        <v>37</v>
      </c>
      <c r="I913" s="8" t="s">
        <v>38</v>
      </c>
      <c r="J913" s="8" t="s">
        <v>99</v>
      </c>
      <c r="K913" s="8" t="s">
        <v>100</v>
      </c>
      <c r="L913" s="8" t="s">
        <v>41</v>
      </c>
      <c r="M913" s="8" t="s">
        <v>57</v>
      </c>
      <c r="N913" s="8" t="s">
        <v>859</v>
      </c>
      <c r="O913" s="8" t="s">
        <v>59</v>
      </c>
      <c r="P913" s="8">
        <v>5</v>
      </c>
      <c r="Q913" s="8">
        <v>3373.86</v>
      </c>
      <c r="R913" s="8">
        <v>0.15</v>
      </c>
      <c r="S913" s="8">
        <v>14338.9</v>
      </c>
      <c r="T913" s="8">
        <v>11897.65</v>
      </c>
      <c r="U913" s="8">
        <v>2441.25</v>
      </c>
      <c r="V913" s="8" t="s">
        <v>111</v>
      </c>
      <c r="W913" s="8" t="s">
        <v>103</v>
      </c>
      <c r="X913" s="8"/>
      <c r="Y913" s="8"/>
      <c r="Z913" s="8"/>
      <c r="AA913" t="str">
        <f t="shared" si="31"/>
        <v>Unique</v>
      </c>
      <c r="AB913" s="2">
        <f t="shared" si="32"/>
        <v>0.15</v>
      </c>
      <c r="AC913" s="3">
        <f t="shared" si="33"/>
        <v>14338.904999999999</v>
      </c>
      <c r="AD913" s="3">
        <f t="shared" si="34"/>
        <v>2441.2549999999992</v>
      </c>
      <c r="AE913" s="2">
        <f t="shared" si="35"/>
        <v>0.17025393501107647</v>
      </c>
      <c r="AF913" s="7">
        <f t="shared" si="36"/>
        <v>6</v>
      </c>
      <c r="AG913" s="2" t="str">
        <f t="shared" si="37"/>
        <v>February</v>
      </c>
      <c r="AH913" s="3">
        <f t="shared" si="38"/>
        <v>2024</v>
      </c>
      <c r="AI913" s="2" t="str">
        <f t="shared" si="28"/>
        <v>Clean</v>
      </c>
      <c r="AJ913">
        <f t="shared" si="39"/>
        <v>2</v>
      </c>
      <c r="AK913">
        <f t="shared" si="40"/>
        <v>2</v>
      </c>
    </row>
    <row r="914" spans="1:37">
      <c r="A914" s="8" t="s">
        <v>1233</v>
      </c>
      <c r="B914" s="5">
        <v>45801</v>
      </c>
      <c r="C914" s="5">
        <v>45807</v>
      </c>
      <c r="D914" s="6">
        <f t="shared" si="29"/>
        <v>6</v>
      </c>
      <c r="E914" s="6" t="str">
        <f t="shared" si="30"/>
        <v>OK</v>
      </c>
      <c r="F914" s="8" t="s">
        <v>1234</v>
      </c>
      <c r="G914" s="8" t="s">
        <v>264</v>
      </c>
      <c r="H914" s="8" t="s">
        <v>37</v>
      </c>
      <c r="I914" s="8" t="s">
        <v>38</v>
      </c>
      <c r="J914" s="8" t="s">
        <v>39</v>
      </c>
      <c r="K914" s="8" t="s">
        <v>40</v>
      </c>
      <c r="L914" s="8" t="s">
        <v>28</v>
      </c>
      <c r="M914" s="8" t="s">
        <v>1235</v>
      </c>
      <c r="N914" s="8" t="s">
        <v>1236</v>
      </c>
      <c r="O914" s="8" t="s">
        <v>44</v>
      </c>
      <c r="P914" s="8">
        <v>1</v>
      </c>
      <c r="Q914" s="8">
        <v>2564.7399999999998</v>
      </c>
      <c r="R914" s="8">
        <v>0</v>
      </c>
      <c r="S914" s="8">
        <v>2564.7399999999998</v>
      </c>
      <c r="T914" s="8">
        <v>1754.58</v>
      </c>
      <c r="U914" s="8">
        <v>810.16</v>
      </c>
      <c r="V914" s="8" t="s">
        <v>32</v>
      </c>
      <c r="W914" s="8" t="s">
        <v>33</v>
      </c>
      <c r="X914" s="8"/>
      <c r="Y914" s="8"/>
      <c r="Z914" s="8"/>
      <c r="AA914" t="str">
        <f t="shared" si="31"/>
        <v>Unique</v>
      </c>
      <c r="AB914" s="2">
        <f t="shared" si="32"/>
        <v>0</v>
      </c>
      <c r="AC914" s="3">
        <f t="shared" si="33"/>
        <v>2564.7399999999998</v>
      </c>
      <c r="AD914" s="3">
        <f t="shared" si="34"/>
        <v>810.15999999999985</v>
      </c>
      <c r="AE914" s="2">
        <f t="shared" si="35"/>
        <v>0.31588387126960232</v>
      </c>
      <c r="AF914" s="7">
        <f t="shared" si="36"/>
        <v>6</v>
      </c>
      <c r="AG914" s="2" t="str">
        <f t="shared" si="37"/>
        <v>May</v>
      </c>
      <c r="AH914" s="3">
        <f t="shared" si="38"/>
        <v>2025</v>
      </c>
      <c r="AI914" s="2" t="str">
        <f t="shared" si="28"/>
        <v>Clean</v>
      </c>
      <c r="AJ914">
        <f t="shared" si="39"/>
        <v>2</v>
      </c>
      <c r="AK914">
        <f t="shared" si="40"/>
        <v>2</v>
      </c>
    </row>
    <row r="915" spans="1:37">
      <c r="A915" s="8" t="s">
        <v>945</v>
      </c>
      <c r="B915" s="5">
        <v>45649</v>
      </c>
      <c r="C915" s="5">
        <v>45652</v>
      </c>
      <c r="D915" s="6">
        <f t="shared" si="29"/>
        <v>3</v>
      </c>
      <c r="E915" s="6" t="str">
        <f t="shared" si="30"/>
        <v>OK</v>
      </c>
      <c r="F915" s="8" t="s">
        <v>946</v>
      </c>
      <c r="G915" s="8" t="s">
        <v>89</v>
      </c>
      <c r="H915" s="8" t="s">
        <v>24</v>
      </c>
      <c r="I915" s="8" t="s">
        <v>54</v>
      </c>
      <c r="J915" s="8" t="s">
        <v>175</v>
      </c>
      <c r="K915" s="8" t="s">
        <v>176</v>
      </c>
      <c r="L915" s="8" t="s">
        <v>74</v>
      </c>
      <c r="M915" s="8" t="s">
        <v>80</v>
      </c>
      <c r="N915" s="8" t="s">
        <v>947</v>
      </c>
      <c r="O915" s="8" t="s">
        <v>59</v>
      </c>
      <c r="P915" s="8">
        <v>9</v>
      </c>
      <c r="Q915" s="8">
        <v>993.67</v>
      </c>
      <c r="R915" s="8">
        <v>0</v>
      </c>
      <c r="S915" s="8">
        <v>8943.0300000000007</v>
      </c>
      <c r="T915" s="8">
        <v>5165.38</v>
      </c>
      <c r="U915" s="8">
        <v>3777.65</v>
      </c>
      <c r="V915" s="8" t="s">
        <v>32</v>
      </c>
      <c r="W915" s="8" t="s">
        <v>33</v>
      </c>
      <c r="X915" s="8"/>
      <c r="Y915" s="8"/>
      <c r="Z915" s="8"/>
      <c r="AA915" t="str">
        <f t="shared" si="31"/>
        <v>Unique</v>
      </c>
      <c r="AB915" s="2">
        <f t="shared" si="32"/>
        <v>0</v>
      </c>
      <c r="AC915" s="3">
        <f t="shared" si="33"/>
        <v>8943.0299999999988</v>
      </c>
      <c r="AD915" s="3">
        <f t="shared" si="34"/>
        <v>3777.6499999999987</v>
      </c>
      <c r="AE915" s="2">
        <f t="shared" si="35"/>
        <v>0.42241276167026154</v>
      </c>
      <c r="AF915" s="7">
        <f t="shared" si="36"/>
        <v>3</v>
      </c>
      <c r="AG915" s="2" t="str">
        <f t="shared" si="37"/>
        <v>December</v>
      </c>
      <c r="AH915" s="3">
        <f t="shared" si="38"/>
        <v>2024</v>
      </c>
      <c r="AI915" s="2" t="str">
        <f t="shared" si="28"/>
        <v>Clean</v>
      </c>
      <c r="AJ915">
        <f t="shared" si="39"/>
        <v>2</v>
      </c>
      <c r="AK915">
        <f t="shared" si="40"/>
        <v>2</v>
      </c>
    </row>
    <row r="916" spans="1:37">
      <c r="A916" s="8" t="s">
        <v>2217</v>
      </c>
      <c r="B916" s="5">
        <v>45332</v>
      </c>
      <c r="C916" s="5">
        <v>45340</v>
      </c>
      <c r="D916" s="6">
        <f t="shared" si="29"/>
        <v>8</v>
      </c>
      <c r="E916" s="6" t="str">
        <f t="shared" si="30"/>
        <v>OK</v>
      </c>
      <c r="F916" s="8" t="s">
        <v>2218</v>
      </c>
      <c r="G916" s="8" t="s">
        <v>47</v>
      </c>
      <c r="H916" s="8" t="s">
        <v>95</v>
      </c>
      <c r="I916" s="8" t="s">
        <v>63</v>
      </c>
      <c r="J916" s="8" t="s">
        <v>72</v>
      </c>
      <c r="K916" s="8" t="s">
        <v>73</v>
      </c>
      <c r="L916" s="8" t="s">
        <v>41</v>
      </c>
      <c r="M916" s="8" t="s">
        <v>66</v>
      </c>
      <c r="N916" s="8" t="s">
        <v>2219</v>
      </c>
      <c r="O916" s="8" t="s">
        <v>50</v>
      </c>
      <c r="P916" s="8">
        <v>7</v>
      </c>
      <c r="Q916" s="8">
        <v>1382.86</v>
      </c>
      <c r="R916" s="8">
        <v>0</v>
      </c>
      <c r="S916" s="8">
        <v>9680.02</v>
      </c>
      <c r="T916" s="8">
        <v>6876.66</v>
      </c>
      <c r="U916" s="8">
        <v>2803.36</v>
      </c>
      <c r="V916" s="8" t="s">
        <v>32</v>
      </c>
      <c r="W916" s="8" t="s">
        <v>33</v>
      </c>
      <c r="X916" s="8"/>
      <c r="Y916" s="8"/>
      <c r="Z916" s="8"/>
      <c r="AA916" t="str">
        <f t="shared" si="31"/>
        <v>Unique</v>
      </c>
      <c r="AB916" s="2">
        <f t="shared" si="32"/>
        <v>0</v>
      </c>
      <c r="AC916" s="3">
        <f t="shared" si="33"/>
        <v>9680.0199999999986</v>
      </c>
      <c r="AD916" s="3">
        <f t="shared" si="34"/>
        <v>2803.3599999999988</v>
      </c>
      <c r="AE916" s="2">
        <f t="shared" si="35"/>
        <v>0.28960270743242256</v>
      </c>
      <c r="AF916" s="7">
        <f t="shared" si="36"/>
        <v>8</v>
      </c>
      <c r="AG916" s="2" t="str">
        <f t="shared" si="37"/>
        <v>February</v>
      </c>
      <c r="AH916" s="3">
        <f t="shared" si="38"/>
        <v>2024</v>
      </c>
      <c r="AI916" s="2" t="str">
        <f t="shared" si="28"/>
        <v>Clean</v>
      </c>
      <c r="AJ916">
        <f t="shared" si="39"/>
        <v>2</v>
      </c>
      <c r="AK916">
        <f t="shared" si="40"/>
        <v>2</v>
      </c>
    </row>
    <row r="917" spans="1:37">
      <c r="A917" s="8" t="s">
        <v>1744</v>
      </c>
      <c r="B917" s="5">
        <v>45971</v>
      </c>
      <c r="C917" s="5">
        <v>45943</v>
      </c>
      <c r="D917" s="6">
        <f t="shared" si="29"/>
        <v>-28</v>
      </c>
      <c r="E917" s="6" t="str">
        <f t="shared" si="30"/>
        <v>Invalid: Ship before Order</v>
      </c>
      <c r="F917" s="8" t="s">
        <v>1745</v>
      </c>
      <c r="G917" s="8" t="s">
        <v>36</v>
      </c>
      <c r="H917" s="8" t="s">
        <v>90</v>
      </c>
      <c r="I917" s="8" t="s">
        <v>54</v>
      </c>
      <c r="J917" s="8" t="s">
        <v>55</v>
      </c>
      <c r="K917" s="8" t="s">
        <v>56</v>
      </c>
      <c r="L917" s="8" t="s">
        <v>28</v>
      </c>
      <c r="M917" s="8" t="s">
        <v>48</v>
      </c>
      <c r="N917" s="8" t="s">
        <v>1746</v>
      </c>
      <c r="O917" s="8" t="s">
        <v>31</v>
      </c>
      <c r="P917" s="8">
        <v>3</v>
      </c>
      <c r="Q917" s="8">
        <v>3804.27</v>
      </c>
      <c r="R917" s="8">
        <v>0.1</v>
      </c>
      <c r="S917" s="8">
        <v>10271.530000000001</v>
      </c>
      <c r="T917" s="8">
        <v>8272.24</v>
      </c>
      <c r="U917" s="8">
        <v>1999.29</v>
      </c>
      <c r="V917" s="8" t="s">
        <v>32</v>
      </c>
      <c r="W917" s="8" t="s">
        <v>33</v>
      </c>
      <c r="X917" s="8"/>
      <c r="Y917" s="8"/>
      <c r="Z917" s="8"/>
      <c r="AA917" t="str">
        <f t="shared" si="31"/>
        <v>Unique</v>
      </c>
      <c r="AB917" s="2">
        <f t="shared" si="32"/>
        <v>0.1</v>
      </c>
      <c r="AC917" s="3">
        <f t="shared" si="33"/>
        <v>10271.529</v>
      </c>
      <c r="AD917" s="3">
        <f t="shared" si="34"/>
        <v>1999.2890000000007</v>
      </c>
      <c r="AE917" s="2">
        <f t="shared" si="35"/>
        <v>0.19464375751652949</v>
      </c>
      <c r="AF917" s="7">
        <f t="shared" si="36"/>
        <v>-28</v>
      </c>
      <c r="AG917" s="2" t="str">
        <f t="shared" si="37"/>
        <v>November</v>
      </c>
      <c r="AH917" s="3">
        <f t="shared" si="38"/>
        <v>2025</v>
      </c>
      <c r="AI917" s="2" t="str">
        <f t="shared" si="28"/>
        <v>Invalid Shipping Record</v>
      </c>
      <c r="AJ917">
        <f t="shared" si="39"/>
        <v>2</v>
      </c>
      <c r="AK917">
        <f t="shared" si="40"/>
        <v>2</v>
      </c>
    </row>
    <row r="918" spans="1:37">
      <c r="A918" s="8" t="s">
        <v>2618</v>
      </c>
      <c r="B918" s="5">
        <v>45357</v>
      </c>
      <c r="C918" s="5">
        <v>45363</v>
      </c>
      <c r="D918" s="6">
        <f t="shared" si="29"/>
        <v>6</v>
      </c>
      <c r="E918" s="6" t="str">
        <f t="shared" si="30"/>
        <v>OK</v>
      </c>
      <c r="F918" s="8" t="s">
        <v>2619</v>
      </c>
      <c r="G918" s="8" t="s">
        <v>47</v>
      </c>
      <c r="H918" s="8" t="s">
        <v>95</v>
      </c>
      <c r="I918" s="8" t="s">
        <v>63</v>
      </c>
      <c r="J918" s="8" t="s">
        <v>180</v>
      </c>
      <c r="K918" s="8" t="s">
        <v>181</v>
      </c>
      <c r="L918" s="8" t="s">
        <v>41</v>
      </c>
      <c r="M918" s="8" t="s">
        <v>158</v>
      </c>
      <c r="N918" s="8" t="s">
        <v>2620</v>
      </c>
      <c r="O918" s="8" t="s">
        <v>59</v>
      </c>
      <c r="P918" s="8">
        <v>3</v>
      </c>
      <c r="Q918" s="8">
        <v>679.63</v>
      </c>
      <c r="R918" s="8">
        <v>0.2</v>
      </c>
      <c r="S918" s="8">
        <v>1631.11</v>
      </c>
      <c r="T918" s="8">
        <v>898.73</v>
      </c>
      <c r="U918" s="8">
        <v>396.58</v>
      </c>
      <c r="V918" s="8" t="s">
        <v>32</v>
      </c>
      <c r="W918" s="8" t="s">
        <v>33</v>
      </c>
      <c r="X918" s="8"/>
      <c r="Y918" s="8"/>
      <c r="Z918" s="8"/>
      <c r="AA918" t="str">
        <f t="shared" si="31"/>
        <v>Unique</v>
      </c>
      <c r="AB918" s="2">
        <f t="shared" si="32"/>
        <v>0.2</v>
      </c>
      <c r="AC918" s="3">
        <f t="shared" si="33"/>
        <v>1631.1120000000001</v>
      </c>
      <c r="AD918" s="3">
        <f t="shared" si="34"/>
        <v>732.38200000000006</v>
      </c>
      <c r="AE918" s="2">
        <f t="shared" si="35"/>
        <v>0.44900779345624336</v>
      </c>
      <c r="AF918" s="7">
        <f t="shared" si="36"/>
        <v>6</v>
      </c>
      <c r="AG918" s="2" t="str">
        <f t="shared" si="37"/>
        <v>March</v>
      </c>
      <c r="AH918" s="3">
        <f t="shared" si="38"/>
        <v>2024</v>
      </c>
      <c r="AI918" s="2" t="str">
        <f t="shared" si="28"/>
        <v>Clean</v>
      </c>
      <c r="AJ918">
        <f t="shared" si="39"/>
        <v>2</v>
      </c>
      <c r="AK918">
        <f t="shared" si="40"/>
        <v>2</v>
      </c>
    </row>
    <row r="919" spans="1:37">
      <c r="A919" s="8" t="s">
        <v>491</v>
      </c>
      <c r="B919" s="5">
        <v>45687</v>
      </c>
      <c r="C919" s="5">
        <v>45683</v>
      </c>
      <c r="D919" s="6">
        <f t="shared" si="29"/>
        <v>-4</v>
      </c>
      <c r="E919" s="6" t="str">
        <f t="shared" si="30"/>
        <v>Invalid: Ship before Order</v>
      </c>
      <c r="F919" s="8" t="s">
        <v>492</v>
      </c>
      <c r="G919" s="8" t="s">
        <v>114</v>
      </c>
      <c r="H919" s="8" t="s">
        <v>90</v>
      </c>
      <c r="I919" s="8" t="s">
        <v>63</v>
      </c>
      <c r="J919" s="8" t="s">
        <v>72</v>
      </c>
      <c r="K919" s="8" t="s">
        <v>73</v>
      </c>
      <c r="L919" s="8" t="s">
        <v>28</v>
      </c>
      <c r="M919" s="8" t="s">
        <v>124</v>
      </c>
      <c r="N919" s="8" t="s">
        <v>493</v>
      </c>
      <c r="O919" s="8" t="s">
        <v>31</v>
      </c>
      <c r="P919" s="8">
        <v>2</v>
      </c>
      <c r="Q919" s="8">
        <v>3039.3</v>
      </c>
      <c r="R919" s="8">
        <v>0.05</v>
      </c>
      <c r="S919" s="8">
        <v>5774.67</v>
      </c>
      <c r="T919" s="8">
        <v>3518.36</v>
      </c>
      <c r="U919" s="8">
        <v>2256.31</v>
      </c>
      <c r="V919" s="8" t="s">
        <v>32</v>
      </c>
      <c r="W919" s="8" t="s">
        <v>33</v>
      </c>
      <c r="X919" s="8"/>
      <c r="Y919" s="8"/>
      <c r="Z919" s="8"/>
      <c r="AA919" t="str">
        <f t="shared" si="31"/>
        <v>Unique</v>
      </c>
      <c r="AB919" s="2">
        <f t="shared" si="32"/>
        <v>0.05</v>
      </c>
      <c r="AC919" s="3">
        <f t="shared" si="33"/>
        <v>5774.67</v>
      </c>
      <c r="AD919" s="3">
        <f t="shared" si="34"/>
        <v>2256.31</v>
      </c>
      <c r="AE919" s="2">
        <f t="shared" si="35"/>
        <v>0.39072535746631409</v>
      </c>
      <c r="AF919" s="7">
        <f t="shared" si="36"/>
        <v>-4</v>
      </c>
      <c r="AG919" s="2" t="str">
        <f t="shared" si="37"/>
        <v>January</v>
      </c>
      <c r="AH919" s="3">
        <f t="shared" si="38"/>
        <v>2025</v>
      </c>
      <c r="AI919" s="2" t="str">
        <f t="shared" si="28"/>
        <v>Invalid Shipping Record</v>
      </c>
      <c r="AJ919">
        <f t="shared" si="39"/>
        <v>2</v>
      </c>
      <c r="AK919">
        <f t="shared" si="40"/>
        <v>2</v>
      </c>
    </row>
    <row r="920" spans="1:37">
      <c r="A920" s="8" t="s">
        <v>2112</v>
      </c>
      <c r="B920" s="5">
        <v>45970</v>
      </c>
      <c r="C920" s="5">
        <v>45918</v>
      </c>
      <c r="D920" s="6">
        <f t="shared" si="29"/>
        <v>-52</v>
      </c>
      <c r="E920" s="6" t="str">
        <f t="shared" si="30"/>
        <v>Invalid: Ship before Order</v>
      </c>
      <c r="F920" s="8" t="s">
        <v>2113</v>
      </c>
      <c r="G920" s="8" t="s">
        <v>118</v>
      </c>
      <c r="H920" s="8" t="s">
        <v>37</v>
      </c>
      <c r="I920" s="8" t="s">
        <v>25</v>
      </c>
      <c r="J920" s="8" t="s">
        <v>350</v>
      </c>
      <c r="K920" s="8" t="s">
        <v>351</v>
      </c>
      <c r="L920" s="8" t="s">
        <v>74</v>
      </c>
      <c r="M920" s="8" t="s">
        <v>171</v>
      </c>
      <c r="N920" s="8" t="s">
        <v>2114</v>
      </c>
      <c r="O920" s="8" t="s">
        <v>44</v>
      </c>
      <c r="P920" s="8">
        <v>7</v>
      </c>
      <c r="Q920" s="8">
        <v>3411.21</v>
      </c>
      <c r="R920" s="8">
        <v>0.15</v>
      </c>
      <c r="S920" s="8">
        <v>20296.7</v>
      </c>
      <c r="T920" s="8">
        <v>14920.87</v>
      </c>
      <c r="U920" s="8">
        <v>5375.83</v>
      </c>
      <c r="V920" s="8" t="s">
        <v>32</v>
      </c>
      <c r="W920" s="8" t="s">
        <v>33</v>
      </c>
      <c r="X920" s="8"/>
      <c r="Y920" s="8"/>
      <c r="Z920" s="8"/>
      <c r="AA920" t="str">
        <f t="shared" si="31"/>
        <v>Unique</v>
      </c>
      <c r="AB920" s="2">
        <f t="shared" si="32"/>
        <v>0.15</v>
      </c>
      <c r="AC920" s="3">
        <f t="shared" si="33"/>
        <v>20296.699499999999</v>
      </c>
      <c r="AD920" s="3">
        <f t="shared" si="34"/>
        <v>5375.829499999998</v>
      </c>
      <c r="AE920" s="2">
        <f t="shared" si="35"/>
        <v>0.26486225014071862</v>
      </c>
      <c r="AF920" s="7">
        <f t="shared" si="36"/>
        <v>-52</v>
      </c>
      <c r="AG920" s="2" t="str">
        <f t="shared" si="37"/>
        <v>November</v>
      </c>
      <c r="AH920" s="3">
        <f t="shared" si="38"/>
        <v>2025</v>
      </c>
      <c r="AI920" s="2" t="str">
        <f t="shared" si="28"/>
        <v>Invalid Shipping Record</v>
      </c>
      <c r="AJ920">
        <f t="shared" si="39"/>
        <v>2</v>
      </c>
      <c r="AK920">
        <f t="shared" si="40"/>
        <v>2</v>
      </c>
    </row>
    <row r="921" spans="1:37">
      <c r="A921" s="8" t="s">
        <v>77</v>
      </c>
      <c r="B921" s="5">
        <v>45934</v>
      </c>
      <c r="C921" s="5">
        <v>45763</v>
      </c>
      <c r="D921" s="6">
        <f t="shared" si="29"/>
        <v>-171</v>
      </c>
      <c r="E921" s="6" t="str">
        <f t="shared" si="30"/>
        <v>Invalid: Ship before Order</v>
      </c>
      <c r="F921" s="8" t="s">
        <v>78</v>
      </c>
      <c r="G921" s="8" t="s">
        <v>79</v>
      </c>
      <c r="H921" s="8" t="s">
        <v>24</v>
      </c>
      <c r="I921" s="8" t="s">
        <v>38</v>
      </c>
      <c r="J921" s="8" t="s">
        <v>39</v>
      </c>
      <c r="K921" s="8" t="s">
        <v>40</v>
      </c>
      <c r="L921" s="8" t="s">
        <v>74</v>
      </c>
      <c r="M921" s="8" t="s">
        <v>80</v>
      </c>
      <c r="N921" s="8" t="s">
        <v>81</v>
      </c>
      <c r="O921" s="8" t="s">
        <v>59</v>
      </c>
      <c r="P921" s="8">
        <v>4</v>
      </c>
      <c r="Q921" s="8">
        <v>1719.87</v>
      </c>
      <c r="R921" s="8">
        <v>0.15</v>
      </c>
      <c r="S921" s="8">
        <v>5847.56</v>
      </c>
      <c r="T921" s="8">
        <v>4727.25</v>
      </c>
      <c r="U921" s="8">
        <v>1120.31</v>
      </c>
      <c r="V921" s="8" t="s">
        <v>32</v>
      </c>
      <c r="W921" s="8" t="s">
        <v>33</v>
      </c>
      <c r="X921" s="8"/>
      <c r="Y921" s="8"/>
      <c r="Z921" s="8"/>
      <c r="AA921" t="str">
        <f t="shared" si="31"/>
        <v>Unique</v>
      </c>
      <c r="AB921" s="2">
        <f t="shared" si="32"/>
        <v>0.15</v>
      </c>
      <c r="AC921" s="3">
        <f t="shared" si="33"/>
        <v>5847.5579999999991</v>
      </c>
      <c r="AD921" s="3">
        <f t="shared" si="34"/>
        <v>1120.3079999999991</v>
      </c>
      <c r="AE921" s="2">
        <f t="shared" si="35"/>
        <v>0.19158561573908275</v>
      </c>
      <c r="AF921" s="7">
        <f t="shared" si="36"/>
        <v>-171</v>
      </c>
      <c r="AG921" s="2" t="str">
        <f t="shared" si="37"/>
        <v>October</v>
      </c>
      <c r="AH921" s="3">
        <f t="shared" si="38"/>
        <v>2025</v>
      </c>
      <c r="AI921" s="2" t="str">
        <f t="shared" si="28"/>
        <v>Invalid Shipping Record</v>
      </c>
      <c r="AJ921">
        <f t="shared" si="39"/>
        <v>2</v>
      </c>
      <c r="AK921">
        <f t="shared" si="40"/>
        <v>2</v>
      </c>
    </row>
    <row r="922" spans="1:37">
      <c r="A922" t="s">
        <v>1097</v>
      </c>
      <c r="B922" s="5">
        <v>45630</v>
      </c>
      <c r="C922" s="5">
        <v>45632</v>
      </c>
      <c r="D922" s="6">
        <f t="shared" ref="D899:D933" si="41">IF(AND(C922&lt;&gt;"",B922&lt;&gt;""), C922-B922, "Missing Date")</f>
        <v>2</v>
      </c>
      <c r="E922" s="6" t="str">
        <f t="shared" ref="E899:E933" si="42">IF(OR(B922="",C922=""), "Missing Date",
    IF(C922&lt;B922, "Invalid: Ship before Order",
      "OK"))</f>
        <v>OK</v>
      </c>
      <c r="F922" t="s">
        <v>1098</v>
      </c>
      <c r="G922" t="s">
        <v>132</v>
      </c>
      <c r="H922" t="s">
        <v>95</v>
      </c>
      <c r="I922" t="s">
        <v>38</v>
      </c>
      <c r="J922" t="s">
        <v>39</v>
      </c>
      <c r="K922" t="s">
        <v>40</v>
      </c>
      <c r="L922" t="s">
        <v>28</v>
      </c>
      <c r="M922" t="s">
        <v>153</v>
      </c>
      <c r="N922" t="s">
        <v>1099</v>
      </c>
      <c r="O922" t="s">
        <v>31</v>
      </c>
      <c r="P922">
        <v>4</v>
      </c>
      <c r="Q922">
        <v>2685.66</v>
      </c>
      <c r="R922">
        <v>0</v>
      </c>
      <c r="S922">
        <v>10989.89</v>
      </c>
      <c r="T922">
        <v>6477.37</v>
      </c>
      <c r="U922">
        <v>4265.2700000000004</v>
      </c>
      <c r="V922" t="s">
        <v>32</v>
      </c>
      <c r="W922" t="s">
        <v>33</v>
      </c>
      <c r="X922" t="str">
        <f t="shared" ref="X899:X933" si="43">_xlfn.TEXTJOIN("|", TRUE, A922:W922)</f>
        <v>ORD-2024-10332|45630|45632|2|OK|CUST-9346|Sneha Kapoor|Home Office|East|Odisha|Bhubaneswar|Office Supplies|Binders|Smart Binders 939|Second Class|4|2685.66|0|10989.89|6477.37|4265.27|Paid|Completed</v>
      </c>
      <c r="Y922">
        <f t="shared" ref="Y899:Y933" si="44">COUNTIF($X$2:$X$1000, X922)</f>
        <v>1</v>
      </c>
      <c r="Z922">
        <f t="shared" ref="Z899:Z933" si="45">COUNTIF($A$2:$A$1000, A922)</f>
        <v>2</v>
      </c>
      <c r="AA922" t="str">
        <f t="shared" ref="AA899:AA933" si="46">IF(Y922&gt;1, "Exact Duplicate",
  IF(Z922&gt;1, "Conflicting Duplicate - Review",
    "Unique"))</f>
        <v>Conflicting Duplicate - Review</v>
      </c>
      <c r="AB922" s="2">
        <f>IF(ISBLANK(R922), 0, IF(ISTEXT(R922), VALUE(SUBSTITUTE(R922, "%", ""))/100, IF(OR(R922&lt;0, R922&gt;1), "Invalid", R922)))</f>
        <v>0</v>
      </c>
      <c r="AC922" s="4">
        <f t="shared" ref="AC899:AC933" si="47">IF(AB922="Invalid", "Error", P922 * Q922 * (1 - AB922))</f>
        <v>10742.64</v>
      </c>
      <c r="AD922" s="4">
        <f t="shared" ref="AD899:AD933" si="48">IF(AC922="Error", "Error", AC922 - T922)</f>
        <v>4265.2699999999995</v>
      </c>
      <c r="AE922" s="2">
        <f t="shared" ref="AE899:AE933" si="49">IF(AC922="Error", "Error", IF(AC922=0, 0, AD922 / AC922))</f>
        <v>0.39704113700170535</v>
      </c>
      <c r="AF922" s="7">
        <f t="shared" ref="AF899:AF933" si="50">C922-B922</f>
        <v>2</v>
      </c>
      <c r="AG922" s="2" t="str">
        <f t="shared" ref="AG899:AG933" si="51">TEXT(B922, "mmmm")</f>
        <v>December</v>
      </c>
      <c r="AH922" s="4">
        <f t="shared" ref="AH899:AH933" si="52">YEAR(B922)</f>
        <v>2024</v>
      </c>
      <c r="AI922" s="2" t="str">
        <f t="shared" si="28"/>
        <v>Clean</v>
      </c>
      <c r="AJ922">
        <f t="shared" ref="AJ899:AJ933" si="53">COUNTIFS($A$2:$A$1000,A922,$B$2:$B$1000,B922,$C$2:$C$1000,C922,$D$2:$D$1000,D922,$E$2:$E$1000,E922,$F$2:$F$1000,F922)</f>
        <v>2</v>
      </c>
      <c r="AK922">
        <f t="shared" ref="AK899:AK933" si="54">COUNTIF($A$2:$A$1000, A922)</f>
        <v>2</v>
      </c>
    </row>
    <row r="923" spans="1:37">
      <c r="A923" t="s">
        <v>380</v>
      </c>
      <c r="B923" s="5">
        <v>45893</v>
      </c>
      <c r="C923" s="5">
        <v>45898</v>
      </c>
      <c r="D923" s="6">
        <f t="shared" si="41"/>
        <v>5</v>
      </c>
      <c r="E923" s="6" t="str">
        <f t="shared" si="42"/>
        <v>OK</v>
      </c>
      <c r="F923" t="s">
        <v>381</v>
      </c>
      <c r="G923" t="s">
        <v>128</v>
      </c>
      <c r="H923" t="s">
        <v>37</v>
      </c>
      <c r="I923" t="s">
        <v>38</v>
      </c>
      <c r="J923" t="s">
        <v>145</v>
      </c>
      <c r="K923" t="s">
        <v>146</v>
      </c>
      <c r="L923" t="s">
        <v>74</v>
      </c>
      <c r="M923" t="s">
        <v>80</v>
      </c>
      <c r="N923" t="s">
        <v>382</v>
      </c>
      <c r="O923" t="s">
        <v>50</v>
      </c>
      <c r="P923">
        <v>3</v>
      </c>
      <c r="Q923">
        <v>3703.96</v>
      </c>
      <c r="R923">
        <v>0.15</v>
      </c>
      <c r="S923">
        <v>9549.44</v>
      </c>
      <c r="T923">
        <v>5586.28</v>
      </c>
      <c r="U923">
        <v>3858.82</v>
      </c>
      <c r="V923" t="s">
        <v>32</v>
      </c>
      <c r="W923" t="s">
        <v>103</v>
      </c>
      <c r="X923" t="str">
        <f t="shared" si="43"/>
        <v>ORD-2025-10091|45893|45898|5|OK|CUST-5909|Aarav Sharma|Small Business|East|Bihar|Patna|Technology|Copiers|Smart Copiers 556|First Class|3|3703.96|0.15|9549.44|5586.28|3858.82|Paid|Returned</v>
      </c>
      <c r="Y923">
        <f t="shared" si="44"/>
        <v>1</v>
      </c>
      <c r="Z923">
        <f t="shared" si="45"/>
        <v>2</v>
      </c>
      <c r="AA923" t="str">
        <f t="shared" si="46"/>
        <v>Conflicting Duplicate - Review</v>
      </c>
      <c r="AB923" s="2">
        <f>IF(ISBLANK(R923), 0, IF(ISTEXT(R923), VALUE(SUBSTITUTE(R923, "%", ""))/100, IF(OR(R923&lt;0, R923&gt;1), "Invalid", R923)))</f>
        <v>0.15</v>
      </c>
      <c r="AC923" s="4">
        <f t="shared" si="47"/>
        <v>9445.098</v>
      </c>
      <c r="AD923" s="4">
        <f t="shared" si="48"/>
        <v>3858.8180000000002</v>
      </c>
      <c r="AE923" s="2">
        <f t="shared" si="49"/>
        <v>0.40855245758170006</v>
      </c>
      <c r="AF923" s="7">
        <f t="shared" si="50"/>
        <v>5</v>
      </c>
      <c r="AG923" s="2" t="str">
        <f t="shared" si="51"/>
        <v>August</v>
      </c>
      <c r="AH923" s="4">
        <f t="shared" si="52"/>
        <v>2025</v>
      </c>
      <c r="AI923" s="2" t="str">
        <f t="shared" si="28"/>
        <v>Clean</v>
      </c>
      <c r="AJ923">
        <f t="shared" si="53"/>
        <v>2</v>
      </c>
      <c r="AK923">
        <f t="shared" si="54"/>
        <v>2</v>
      </c>
    </row>
    <row r="924" spans="1:37">
      <c r="A924" t="s">
        <v>1221</v>
      </c>
      <c r="B924" s="5">
        <v>45760</v>
      </c>
      <c r="C924" s="5">
        <v>45760</v>
      </c>
      <c r="D924" s="6">
        <f t="shared" si="41"/>
        <v>0</v>
      </c>
      <c r="E924" s="6" t="str">
        <f t="shared" si="42"/>
        <v>OK</v>
      </c>
      <c r="F924" t="s">
        <v>1222</v>
      </c>
      <c r="G924" t="s">
        <v>132</v>
      </c>
      <c r="H924" t="s">
        <v>37</v>
      </c>
      <c r="I924" t="s">
        <v>25</v>
      </c>
      <c r="J924" t="s">
        <v>136</v>
      </c>
      <c r="K924" t="s">
        <v>137</v>
      </c>
      <c r="L924" t="s">
        <v>28</v>
      </c>
      <c r="M924" t="s">
        <v>124</v>
      </c>
      <c r="N924" t="s">
        <v>1223</v>
      </c>
      <c r="O924" t="s">
        <v>31</v>
      </c>
      <c r="P924">
        <v>9</v>
      </c>
      <c r="Q924">
        <v>1118.68</v>
      </c>
      <c r="R924">
        <v>0</v>
      </c>
      <c r="S924">
        <v>10348.43</v>
      </c>
      <c r="T924">
        <v>8595.3700000000008</v>
      </c>
      <c r="U924">
        <v>1472.75</v>
      </c>
      <c r="V924" t="s">
        <v>32</v>
      </c>
      <c r="W924" t="s">
        <v>103</v>
      </c>
      <c r="X924" t="str">
        <f t="shared" si="43"/>
        <v>ORD-2025-10374|45760|45760|0|OK|CUST-8566|Sneha Kapoor|Small Business|North|Uttar Pradesh|Noida|Office Supplies|Storage|Prime Storage 951|Second Class|9|1118.68|0|10348.43|8595.37|1472.75|Paid|Returned</v>
      </c>
      <c r="Y924">
        <f t="shared" si="44"/>
        <v>1</v>
      </c>
      <c r="Z924">
        <f t="shared" si="45"/>
        <v>2</v>
      </c>
      <c r="AA924" t="str">
        <f t="shared" si="46"/>
        <v>Conflicting Duplicate - Review</v>
      </c>
      <c r="AB924" s="2">
        <f>IF(ISBLANK(R924), 0, IF(ISTEXT(R924), VALUE(SUBSTITUTE(R924, "%", ""))/100, IF(OR(R924&lt;0, R924&gt;1), "Invalid", R924)))</f>
        <v>0</v>
      </c>
      <c r="AC924" s="4">
        <f t="shared" si="47"/>
        <v>10068.120000000001</v>
      </c>
      <c r="AD924" s="4">
        <f t="shared" si="48"/>
        <v>1472.75</v>
      </c>
      <c r="AE924" s="2">
        <f t="shared" si="49"/>
        <v>0.14627855051389932</v>
      </c>
      <c r="AF924" s="7">
        <f t="shared" si="50"/>
        <v>0</v>
      </c>
      <c r="AG924" s="2" t="str">
        <f t="shared" si="51"/>
        <v>April</v>
      </c>
      <c r="AH924" s="4">
        <f t="shared" si="52"/>
        <v>2025</v>
      </c>
      <c r="AI924" s="2" t="str">
        <f t="shared" si="28"/>
        <v>Clean</v>
      </c>
      <c r="AJ924">
        <f t="shared" si="53"/>
        <v>2</v>
      </c>
      <c r="AK924">
        <f t="shared" si="54"/>
        <v>2</v>
      </c>
    </row>
    <row r="925" spans="1:37">
      <c r="A925" t="s">
        <v>779</v>
      </c>
      <c r="B925" s="5">
        <v>45698</v>
      </c>
      <c r="C925" s="5">
        <v>45938</v>
      </c>
      <c r="D925" s="6">
        <f t="shared" si="41"/>
        <v>240</v>
      </c>
      <c r="E925" s="6" t="str">
        <f t="shared" si="42"/>
        <v>OK</v>
      </c>
      <c r="F925" t="s">
        <v>780</v>
      </c>
      <c r="G925" t="s">
        <v>47</v>
      </c>
      <c r="H925" t="s">
        <v>37</v>
      </c>
      <c r="I925" t="s">
        <v>25</v>
      </c>
      <c r="J925" t="s">
        <v>122</v>
      </c>
      <c r="K925" t="s">
        <v>123</v>
      </c>
      <c r="L925" t="s">
        <v>41</v>
      </c>
      <c r="M925" t="s">
        <v>57</v>
      </c>
      <c r="N925" t="s">
        <v>781</v>
      </c>
      <c r="O925" t="s">
        <v>59</v>
      </c>
      <c r="P925">
        <v>4</v>
      </c>
      <c r="Q925">
        <v>3944.64</v>
      </c>
      <c r="R925">
        <v>0.25</v>
      </c>
      <c r="S925">
        <v>12116.89</v>
      </c>
      <c r="T925">
        <v>6682.92</v>
      </c>
      <c r="U925">
        <v>5151</v>
      </c>
      <c r="V925" t="s">
        <v>32</v>
      </c>
      <c r="W925" t="s">
        <v>103</v>
      </c>
      <c r="X925" t="str">
        <f t="shared" si="43"/>
        <v>ORD-2025-10225|45698|45938|240|OK|CUST-9871|Isha Nair|Small Business|North|Punjab|Ludhiana|Furniture|Furnishings|Classic Furnishings 109|Standard Class|4|3944.64|0.25|12116.89|6682.92|5151|Paid|Returned</v>
      </c>
      <c r="Y925">
        <f t="shared" si="44"/>
        <v>1</v>
      </c>
      <c r="Z925">
        <f t="shared" si="45"/>
        <v>2</v>
      </c>
      <c r="AA925" t="str">
        <f t="shared" si="46"/>
        <v>Conflicting Duplicate - Review</v>
      </c>
      <c r="AB925" s="2">
        <f>IF(ISBLANK(R925), 0, IF(ISTEXT(R925), VALUE(SUBSTITUTE(R925, "%", ""))/100, IF(OR(R925&lt;0, R925&gt;1), "Invalid", R925)))</f>
        <v>0.25</v>
      </c>
      <c r="AC925" s="4">
        <f t="shared" si="47"/>
        <v>11833.92</v>
      </c>
      <c r="AD925" s="4">
        <f t="shared" si="48"/>
        <v>5151</v>
      </c>
      <c r="AE925" s="2">
        <f t="shared" si="49"/>
        <v>0.43527419485681834</v>
      </c>
      <c r="AF925" s="7">
        <f t="shared" si="50"/>
        <v>240</v>
      </c>
      <c r="AG925" s="2" t="str">
        <f t="shared" si="51"/>
        <v>February</v>
      </c>
      <c r="AH925" s="4">
        <f t="shared" si="52"/>
        <v>2025</v>
      </c>
      <c r="AI925" s="2" t="str">
        <f t="shared" si="28"/>
        <v>Clean</v>
      </c>
      <c r="AJ925">
        <f t="shared" si="53"/>
        <v>2</v>
      </c>
      <c r="AK925">
        <f t="shared" si="54"/>
        <v>2</v>
      </c>
    </row>
    <row r="926" spans="1:37">
      <c r="A926" t="s">
        <v>1047</v>
      </c>
      <c r="B926" s="5">
        <v>45795</v>
      </c>
      <c r="C926" s="5">
        <v>45797</v>
      </c>
      <c r="D926" s="6">
        <f t="shared" si="41"/>
        <v>2</v>
      </c>
      <c r="E926" s="6" t="str">
        <f t="shared" si="42"/>
        <v>OK</v>
      </c>
      <c r="F926" t="s">
        <v>1048</v>
      </c>
      <c r="G926" t="s">
        <v>47</v>
      </c>
      <c r="H926" t="s">
        <v>90</v>
      </c>
      <c r="I926" t="s">
        <v>63</v>
      </c>
      <c r="J926" t="s">
        <v>72</v>
      </c>
      <c r="K926" t="s">
        <v>73</v>
      </c>
      <c r="L926" t="s">
        <v>28</v>
      </c>
      <c r="M926" t="s">
        <v>91</v>
      </c>
      <c r="N926" t="s">
        <v>1049</v>
      </c>
      <c r="O926" t="s">
        <v>59</v>
      </c>
      <c r="P926">
        <v>9</v>
      </c>
      <c r="Q926">
        <v>847.76</v>
      </c>
      <c r="R926">
        <v>0.15</v>
      </c>
      <c r="S926">
        <v>6589.37</v>
      </c>
      <c r="T926">
        <v>5376.17</v>
      </c>
      <c r="U926">
        <v>1109.19</v>
      </c>
      <c r="V926" t="s">
        <v>155</v>
      </c>
      <c r="W926" t="s">
        <v>33</v>
      </c>
      <c r="X926" t="str">
        <f t="shared" si="43"/>
        <v>ORD-2025-10315|45795|45797|2|OK|CUST-1945|Isha Nair|Corporate|West|Madhya Pradesh|Indore|Office Supplies|Labels|Elite Labels 544|Standard Class|9|847.76|0.15|6589.37|5376.17|1109.19|Failed|Completed</v>
      </c>
      <c r="Y926">
        <f t="shared" si="44"/>
        <v>1</v>
      </c>
      <c r="Z926">
        <f t="shared" si="45"/>
        <v>2</v>
      </c>
      <c r="AA926" t="str">
        <f t="shared" si="46"/>
        <v>Conflicting Duplicate - Review</v>
      </c>
      <c r="AB926" s="2">
        <f>IF(ISBLANK(R926), 0, IF(ISTEXT(R926), VALUE(SUBSTITUTE(R926, "%", ""))/100, IF(OR(R926&lt;0, R926&gt;1), "Invalid", R926)))</f>
        <v>0.15</v>
      </c>
      <c r="AC926" s="4">
        <f t="shared" si="47"/>
        <v>6485.3639999999996</v>
      </c>
      <c r="AD926" s="4">
        <f t="shared" si="48"/>
        <v>1109.1939999999995</v>
      </c>
      <c r="AE926" s="2">
        <f t="shared" si="49"/>
        <v>0.17103033846673826</v>
      </c>
      <c r="AF926" s="7">
        <f t="shared" si="50"/>
        <v>2</v>
      </c>
      <c r="AG926" s="2" t="str">
        <f t="shared" si="51"/>
        <v>May</v>
      </c>
      <c r="AH926" s="4">
        <f t="shared" si="52"/>
        <v>2025</v>
      </c>
      <c r="AI926" s="2" t="str">
        <f t="shared" si="28"/>
        <v>Excluded from Sales</v>
      </c>
      <c r="AJ926">
        <f t="shared" si="53"/>
        <v>2</v>
      </c>
      <c r="AK926">
        <f t="shared" si="54"/>
        <v>2</v>
      </c>
    </row>
    <row r="927" spans="1:37">
      <c r="A927" t="s">
        <v>619</v>
      </c>
      <c r="B927" s="5">
        <v>45907</v>
      </c>
      <c r="C927" s="5">
        <v>45915</v>
      </c>
      <c r="D927" s="6">
        <f t="shared" si="41"/>
        <v>8</v>
      </c>
      <c r="E927" s="6" t="str">
        <f t="shared" si="42"/>
        <v>OK</v>
      </c>
      <c r="F927" t="s">
        <v>620</v>
      </c>
      <c r="G927" t="s">
        <v>141</v>
      </c>
      <c r="H927" t="s">
        <v>90</v>
      </c>
      <c r="I927" t="s">
        <v>38</v>
      </c>
      <c r="J927" t="s">
        <v>145</v>
      </c>
      <c r="K927" t="s">
        <v>146</v>
      </c>
      <c r="L927" t="s">
        <v>74</v>
      </c>
      <c r="M927" t="s">
        <v>80</v>
      </c>
      <c r="N927" t="s">
        <v>621</v>
      </c>
      <c r="O927" t="s">
        <v>59</v>
      </c>
      <c r="P927">
        <v>3</v>
      </c>
      <c r="Q927">
        <v>1711.32</v>
      </c>
      <c r="R927">
        <v>0</v>
      </c>
      <c r="S927">
        <v>5206.53</v>
      </c>
      <c r="T927">
        <v>3930</v>
      </c>
      <c r="U927">
        <v>1203.96</v>
      </c>
      <c r="V927" t="s">
        <v>32</v>
      </c>
      <c r="W927" t="s">
        <v>103</v>
      </c>
      <c r="X927" t="str">
        <f t="shared" si="43"/>
        <v>ORD-2025-10171|45907|45915|8|OK|CUST-3734|Rohan Mehta|Corporate|East|Bihar|Patna|Technology|Copiers|Eco Copiers 102|Standard Class|3|1711.32|0|5206.53|3930|1203.96|Paid|Returned</v>
      </c>
      <c r="Y927">
        <f t="shared" si="44"/>
        <v>1</v>
      </c>
      <c r="Z927">
        <f t="shared" si="45"/>
        <v>2</v>
      </c>
      <c r="AA927" t="str">
        <f t="shared" si="46"/>
        <v>Conflicting Duplicate - Review</v>
      </c>
      <c r="AB927" s="2">
        <f>IF(ISBLANK(R927), 0, IF(ISTEXT(R927), VALUE(SUBSTITUTE(R927, "%", ""))/100, IF(OR(R927&lt;0, R927&gt;1), "Invalid", R927)))</f>
        <v>0</v>
      </c>
      <c r="AC927" s="4">
        <f t="shared" si="47"/>
        <v>5133.96</v>
      </c>
      <c r="AD927" s="4">
        <f t="shared" si="48"/>
        <v>1203.96</v>
      </c>
      <c r="AE927" s="2">
        <f t="shared" si="49"/>
        <v>0.23450903396208775</v>
      </c>
      <c r="AF927" s="7">
        <f t="shared" si="50"/>
        <v>8</v>
      </c>
      <c r="AG927" s="2" t="str">
        <f t="shared" si="51"/>
        <v>September</v>
      </c>
      <c r="AH927" s="4">
        <f t="shared" si="52"/>
        <v>2025</v>
      </c>
      <c r="AI927" s="2" t="str">
        <f t="shared" si="28"/>
        <v>Clean</v>
      </c>
      <c r="AJ927">
        <f t="shared" si="53"/>
        <v>2</v>
      </c>
      <c r="AK927">
        <f t="shared" si="54"/>
        <v>2</v>
      </c>
    </row>
    <row r="928" spans="1:37">
      <c r="A928" t="s">
        <v>1371</v>
      </c>
      <c r="B928" s="5">
        <v>45342</v>
      </c>
      <c r="C928" s="5">
        <v>45349</v>
      </c>
      <c r="D928" s="6">
        <f t="shared" si="41"/>
        <v>7</v>
      </c>
      <c r="E928" s="6" t="str">
        <f t="shared" si="42"/>
        <v>OK</v>
      </c>
      <c r="F928" t="s">
        <v>1372</v>
      </c>
      <c r="G928" t="s">
        <v>162</v>
      </c>
      <c r="H928" t="s">
        <v>24</v>
      </c>
      <c r="I928" t="s">
        <v>54</v>
      </c>
      <c r="J928" t="s">
        <v>185</v>
      </c>
      <c r="K928" t="s">
        <v>186</v>
      </c>
      <c r="L928" t="s">
        <v>74</v>
      </c>
      <c r="M928" t="s">
        <v>75</v>
      </c>
      <c r="N928" t="s">
        <v>1373</v>
      </c>
      <c r="O928" t="s">
        <v>50</v>
      </c>
      <c r="P928">
        <v>9</v>
      </c>
      <c r="Q928">
        <v>3779.31</v>
      </c>
      <c r="R928">
        <v>0.2</v>
      </c>
      <c r="S928">
        <v>27322.9</v>
      </c>
      <c r="T928">
        <v>17940.43</v>
      </c>
      <c r="U928">
        <v>9270.6</v>
      </c>
      <c r="V928" t="s">
        <v>32</v>
      </c>
      <c r="W928" t="s">
        <v>103</v>
      </c>
      <c r="X928" t="str">
        <f t="shared" si="43"/>
        <v>ORD-2024-10424|45342|45349|7|OK|CUST-6169|Diya Patel|Consumer|South|Kerala|Kochi|Technology|Accessories|Prime Accessories 236|First Class|9|3779.31|0.2|27322.9|17940.43|9270.6|Paid|Returned</v>
      </c>
      <c r="Y928">
        <f t="shared" si="44"/>
        <v>1</v>
      </c>
      <c r="Z928">
        <f t="shared" si="45"/>
        <v>2</v>
      </c>
      <c r="AA928" t="str">
        <f t="shared" si="46"/>
        <v>Conflicting Duplicate - Review</v>
      </c>
      <c r="AB928" s="2">
        <f>IF(ISBLANK(R928), 0, IF(ISTEXT(R928), VALUE(SUBSTITUTE(R928, "%", ""))/100, IF(OR(R928&lt;0, R928&gt;1), "Invalid", R928)))</f>
        <v>0.2</v>
      </c>
      <c r="AC928" s="4">
        <f t="shared" si="47"/>
        <v>27211.032000000003</v>
      </c>
      <c r="AD928" s="4">
        <f t="shared" si="48"/>
        <v>9270.6020000000026</v>
      </c>
      <c r="AE928" s="2">
        <f t="shared" si="49"/>
        <v>0.34069277490100347</v>
      </c>
      <c r="AF928" s="7">
        <f t="shared" si="50"/>
        <v>7</v>
      </c>
      <c r="AG928" s="2" t="str">
        <f t="shared" si="51"/>
        <v>February</v>
      </c>
      <c r="AH928" s="4">
        <f t="shared" si="52"/>
        <v>2024</v>
      </c>
      <c r="AI928" s="2" t="str">
        <f t="shared" si="28"/>
        <v>Clean</v>
      </c>
      <c r="AJ928">
        <f t="shared" si="53"/>
        <v>2</v>
      </c>
      <c r="AK928">
        <f t="shared" si="54"/>
        <v>2</v>
      </c>
    </row>
    <row r="929" spans="1:37">
      <c r="A929" t="s">
        <v>1809</v>
      </c>
      <c r="B929" s="5">
        <v>45698</v>
      </c>
      <c r="C929" s="5">
        <v>45702</v>
      </c>
      <c r="D929" s="6">
        <f t="shared" si="41"/>
        <v>4</v>
      </c>
      <c r="E929" s="6" t="str">
        <f t="shared" si="42"/>
        <v>OK</v>
      </c>
      <c r="F929" t="s">
        <v>1810</v>
      </c>
      <c r="G929" t="s">
        <v>114</v>
      </c>
      <c r="H929" t="s">
        <v>37</v>
      </c>
      <c r="I929" t="s">
        <v>25</v>
      </c>
      <c r="J929" t="s">
        <v>136</v>
      </c>
      <c r="K929" t="s">
        <v>137</v>
      </c>
      <c r="L929" t="s">
        <v>74</v>
      </c>
      <c r="M929" t="s">
        <v>171</v>
      </c>
      <c r="N929" t="s">
        <v>1811</v>
      </c>
      <c r="O929" t="s">
        <v>2762</v>
      </c>
      <c r="P929">
        <v>5</v>
      </c>
      <c r="Q929">
        <v>4276.29</v>
      </c>
      <c r="R929">
        <v>0</v>
      </c>
      <c r="S929">
        <v>21443.63</v>
      </c>
      <c r="T929">
        <v>13240.21</v>
      </c>
      <c r="U929">
        <v>8141.24</v>
      </c>
      <c r="V929" t="s">
        <v>155</v>
      </c>
      <c r="W929" t="s">
        <v>33</v>
      </c>
      <c r="X929" t="str">
        <f t="shared" si="43"/>
        <v>ORD-2025-10572|45698|45702|4|OK|CUST-3425|Priya Menon|Small Business|North|Uttar Pradesh|Noida|Technology|Phones|Prime Phones 895|Unknown|5|4276.29|0|21443.63|13240.21|8141.24|Failed|Completed</v>
      </c>
      <c r="Y929">
        <f t="shared" si="44"/>
        <v>1</v>
      </c>
      <c r="Z929">
        <f t="shared" si="45"/>
        <v>2</v>
      </c>
      <c r="AA929" t="str">
        <f t="shared" si="46"/>
        <v>Conflicting Duplicate - Review</v>
      </c>
      <c r="AB929" s="2">
        <f>IF(ISBLANK(R929), 0, IF(ISTEXT(R929), VALUE(SUBSTITUTE(R929, "%", ""))/100, IF(OR(R929&lt;0, R929&gt;1), "Invalid", R929)))</f>
        <v>0</v>
      </c>
      <c r="AC929" s="4">
        <f t="shared" si="47"/>
        <v>21381.45</v>
      </c>
      <c r="AD929" s="4">
        <f t="shared" si="48"/>
        <v>8141.2400000000016</v>
      </c>
      <c r="AE929" s="2">
        <f t="shared" si="49"/>
        <v>0.38076182859441249</v>
      </c>
      <c r="AF929" s="7">
        <f t="shared" si="50"/>
        <v>4</v>
      </c>
      <c r="AG929" s="2" t="str">
        <f t="shared" si="51"/>
        <v>February</v>
      </c>
      <c r="AH929" s="4">
        <f t="shared" si="52"/>
        <v>2025</v>
      </c>
      <c r="AI929" s="2" t="str">
        <f t="shared" si="28"/>
        <v>Excluded from Sales</v>
      </c>
      <c r="AJ929">
        <f t="shared" si="53"/>
        <v>2</v>
      </c>
      <c r="AK929">
        <f t="shared" si="54"/>
        <v>2</v>
      </c>
    </row>
    <row r="930" spans="1:37">
      <c r="A930" t="s">
        <v>536</v>
      </c>
      <c r="B930" s="5">
        <v>45381</v>
      </c>
      <c r="C930" s="5">
        <v>45377</v>
      </c>
      <c r="D930" s="6">
        <f t="shared" si="41"/>
        <v>-4</v>
      </c>
      <c r="E930" s="6" t="str">
        <f t="shared" si="42"/>
        <v>Invalid: Ship before Order</v>
      </c>
      <c r="F930" t="s">
        <v>537</v>
      </c>
      <c r="G930" t="s">
        <v>89</v>
      </c>
      <c r="H930" t="s">
        <v>95</v>
      </c>
      <c r="I930" t="s">
        <v>25</v>
      </c>
      <c r="J930" t="s">
        <v>26</v>
      </c>
      <c r="K930" t="s">
        <v>27</v>
      </c>
      <c r="L930" t="s">
        <v>74</v>
      </c>
      <c r="M930" t="s">
        <v>171</v>
      </c>
      <c r="N930" t="s">
        <v>538</v>
      </c>
      <c r="O930" t="s">
        <v>31</v>
      </c>
      <c r="P930">
        <v>5</v>
      </c>
      <c r="Q930">
        <v>907.54</v>
      </c>
      <c r="R930">
        <v>0.15</v>
      </c>
      <c r="S930">
        <v>4099.6899999999996</v>
      </c>
      <c r="T930">
        <v>2769.26</v>
      </c>
      <c r="U930">
        <v>1087.78</v>
      </c>
      <c r="V930" t="s">
        <v>32</v>
      </c>
      <c r="W930" t="s">
        <v>103</v>
      </c>
      <c r="X930" t="str">
        <f t="shared" si="43"/>
        <v>ORD-2024-10143|45381|45377|-4|Invalid: Ship before Order|CUST-8944|Aditi Sen|Home Office|North|Rajasthan|Jaipur|Technology|Phones|Classic Phones 142|Second Class|5|907.54|0.15|4099.69|2769.26|1087.78|Paid|Returned</v>
      </c>
      <c r="Y930">
        <f t="shared" si="44"/>
        <v>1</v>
      </c>
      <c r="Z930">
        <f t="shared" si="45"/>
        <v>2</v>
      </c>
      <c r="AA930" t="str">
        <f t="shared" si="46"/>
        <v>Conflicting Duplicate - Review</v>
      </c>
      <c r="AB930" s="2">
        <f>IF(ISBLANK(R930), 0, IF(ISTEXT(R930), VALUE(SUBSTITUTE(R930, "%", ""))/100, IF(OR(R930&lt;0, R930&gt;1), "Invalid", R930)))</f>
        <v>0.15</v>
      </c>
      <c r="AC930" s="4">
        <f t="shared" si="47"/>
        <v>3857.0449999999996</v>
      </c>
      <c r="AD930" s="4">
        <f t="shared" si="48"/>
        <v>1087.7849999999994</v>
      </c>
      <c r="AE930" s="2">
        <f t="shared" si="49"/>
        <v>0.28202548842442843</v>
      </c>
      <c r="AF930" s="7">
        <f t="shared" si="50"/>
        <v>-4</v>
      </c>
      <c r="AG930" s="2" t="str">
        <f t="shared" si="51"/>
        <v>March</v>
      </c>
      <c r="AH930" s="4">
        <f t="shared" si="52"/>
        <v>2024</v>
      </c>
      <c r="AI930" s="2" t="str">
        <f t="shared" si="28"/>
        <v>Invalid Shipping Record</v>
      </c>
      <c r="AJ930">
        <f t="shared" si="53"/>
        <v>2</v>
      </c>
      <c r="AK930">
        <f t="shared" si="54"/>
        <v>2</v>
      </c>
    </row>
    <row r="931" spans="1:37">
      <c r="A931" t="s">
        <v>922</v>
      </c>
      <c r="B931" s="5">
        <v>45522</v>
      </c>
      <c r="C931" s="5">
        <v>45528</v>
      </c>
      <c r="D931" s="6">
        <f t="shared" si="41"/>
        <v>6</v>
      </c>
      <c r="E931" s="6" t="str">
        <f t="shared" si="42"/>
        <v>OK</v>
      </c>
      <c r="F931" t="s">
        <v>923</v>
      </c>
      <c r="G931" t="s">
        <v>53</v>
      </c>
      <c r="H931" t="s">
        <v>24</v>
      </c>
      <c r="I931" t="s">
        <v>54</v>
      </c>
      <c r="J931" t="s">
        <v>84</v>
      </c>
      <c r="K931" t="s">
        <v>85</v>
      </c>
      <c r="L931" t="s">
        <v>41</v>
      </c>
      <c r="M931" t="s">
        <v>66</v>
      </c>
      <c r="N931" t="s">
        <v>924</v>
      </c>
      <c r="O931" t="s">
        <v>50</v>
      </c>
      <c r="P931">
        <v>7</v>
      </c>
      <c r="Q931">
        <v>557.21</v>
      </c>
      <c r="R931">
        <v>0.1</v>
      </c>
      <c r="S931">
        <v>3797.79</v>
      </c>
      <c r="T931">
        <v>2191.5</v>
      </c>
      <c r="U931">
        <v>1213.48</v>
      </c>
      <c r="V931" t="s">
        <v>32</v>
      </c>
      <c r="W931" t="s">
        <v>103</v>
      </c>
      <c r="X931" t="str">
        <f t="shared" si="43"/>
        <v>ORD-2024-10273|45522|45528|6|OK|CUST-7389|Arjun Bose|Consumer|South|Andhra Pradesh|Vijayawada|Furniture|Chairs|Eco Chairs 314|First Class|7|557.21|0.1|3797.79|2191.5|1213.48|Paid|Returned</v>
      </c>
      <c r="Y931">
        <f t="shared" si="44"/>
        <v>1</v>
      </c>
      <c r="Z931">
        <f t="shared" si="45"/>
        <v>2</v>
      </c>
      <c r="AA931" t="str">
        <f t="shared" si="46"/>
        <v>Conflicting Duplicate - Review</v>
      </c>
      <c r="AB931" s="2">
        <f>IF(ISBLANK(R931), 0, IF(ISTEXT(R931), VALUE(SUBSTITUTE(R931, "%", ""))/100, IF(OR(R931&lt;0, R931&gt;1), "Invalid", R931)))</f>
        <v>0.1</v>
      </c>
      <c r="AC931" s="4">
        <f t="shared" si="47"/>
        <v>3510.4230000000002</v>
      </c>
      <c r="AD931" s="4">
        <f t="shared" si="48"/>
        <v>1318.9230000000002</v>
      </c>
      <c r="AE931" s="2">
        <f t="shared" si="49"/>
        <v>0.37571625983535323</v>
      </c>
      <c r="AF931" s="7">
        <f t="shared" si="50"/>
        <v>6</v>
      </c>
      <c r="AG931" s="2" t="str">
        <f t="shared" si="51"/>
        <v>August</v>
      </c>
      <c r="AH931" s="4">
        <f t="shared" si="52"/>
        <v>2024</v>
      </c>
      <c r="AI931" s="2" t="str">
        <f t="shared" si="28"/>
        <v>Clean</v>
      </c>
      <c r="AJ931">
        <f t="shared" si="53"/>
        <v>2</v>
      </c>
      <c r="AK931">
        <f t="shared" si="54"/>
        <v>2</v>
      </c>
    </row>
    <row r="932" spans="1:37">
      <c r="A932" t="s">
        <v>478</v>
      </c>
      <c r="B932" s="5">
        <v>45436</v>
      </c>
      <c r="C932" s="5">
        <v>45437</v>
      </c>
      <c r="D932" s="6">
        <f t="shared" si="41"/>
        <v>1</v>
      </c>
      <c r="E932" s="6" t="str">
        <f t="shared" si="42"/>
        <v>OK</v>
      </c>
      <c r="F932" t="s">
        <v>479</v>
      </c>
      <c r="G932" t="s">
        <v>132</v>
      </c>
      <c r="H932" t="s">
        <v>37</v>
      </c>
      <c r="I932" t="s">
        <v>25</v>
      </c>
      <c r="J932" t="s">
        <v>122</v>
      </c>
      <c r="K932" t="s">
        <v>123</v>
      </c>
      <c r="L932" t="s">
        <v>74</v>
      </c>
      <c r="M932" t="s">
        <v>80</v>
      </c>
      <c r="N932" t="s">
        <v>481</v>
      </c>
      <c r="O932" t="s">
        <v>44</v>
      </c>
      <c r="P932">
        <v>1</v>
      </c>
      <c r="Q932">
        <v>634.13</v>
      </c>
      <c r="R932">
        <v>0</v>
      </c>
      <c r="S932">
        <v>808.67</v>
      </c>
      <c r="T932">
        <v>453.35</v>
      </c>
      <c r="U932">
        <v>180.78</v>
      </c>
      <c r="V932" t="s">
        <v>102</v>
      </c>
      <c r="W932" t="s">
        <v>103</v>
      </c>
      <c r="X932" t="str">
        <f t="shared" si="43"/>
        <v>ORD-2024-10124|45436|45437|1|OK|CUST-1007|Sneha Kapoor|Small Business|North|Punjab|Ludhiana|Technology|Copiers|Max Copiers 970|Same Day|1|634.13|0|808.67|453.35|180.78|Refunded|Returned</v>
      </c>
      <c r="Y932">
        <f t="shared" si="44"/>
        <v>1</v>
      </c>
      <c r="Z932">
        <f t="shared" si="45"/>
        <v>3</v>
      </c>
      <c r="AA932" t="str">
        <f t="shared" si="46"/>
        <v>Conflicting Duplicate - Review</v>
      </c>
      <c r="AB932" s="2">
        <f>IF(ISBLANK(R932), 0, IF(ISTEXT(R932), VALUE(SUBSTITUTE(R932, "%", ""))/100, IF(OR(R932&lt;0, R932&gt;1), "Invalid", R932)))</f>
        <v>0</v>
      </c>
      <c r="AC932" s="4">
        <f t="shared" si="47"/>
        <v>634.13</v>
      </c>
      <c r="AD932" s="4">
        <f t="shared" si="48"/>
        <v>180.77999999999997</v>
      </c>
      <c r="AE932" s="2">
        <f t="shared" si="49"/>
        <v>0.28508350022865969</v>
      </c>
      <c r="AF932" s="7">
        <f t="shared" si="50"/>
        <v>1</v>
      </c>
      <c r="AG932" s="2" t="str">
        <f t="shared" si="51"/>
        <v>May</v>
      </c>
      <c r="AH932" s="4">
        <f t="shared" si="52"/>
        <v>2024</v>
      </c>
      <c r="AI932" s="2" t="str">
        <f t="shared" si="28"/>
        <v>Clean</v>
      </c>
      <c r="AJ932">
        <f t="shared" si="53"/>
        <v>3</v>
      </c>
      <c r="AK932">
        <f t="shared" si="54"/>
        <v>3</v>
      </c>
    </row>
    <row r="933" spans="1:37">
      <c r="A933" t="s">
        <v>1109</v>
      </c>
      <c r="B933" s="5">
        <v>45824</v>
      </c>
      <c r="C933" s="5">
        <v>45826</v>
      </c>
      <c r="D933" s="6">
        <f t="shared" si="41"/>
        <v>2</v>
      </c>
      <c r="E933" s="6" t="str">
        <f t="shared" si="42"/>
        <v>OK</v>
      </c>
      <c r="F933" t="s">
        <v>1110</v>
      </c>
      <c r="G933" t="s">
        <v>118</v>
      </c>
      <c r="H933" t="s">
        <v>95</v>
      </c>
      <c r="I933" t="s">
        <v>63</v>
      </c>
      <c r="J933" t="s">
        <v>72</v>
      </c>
      <c r="K933" t="s">
        <v>73</v>
      </c>
      <c r="L933" t="s">
        <v>28</v>
      </c>
      <c r="M933" t="s">
        <v>29</v>
      </c>
      <c r="N933" t="s">
        <v>1111</v>
      </c>
      <c r="O933" t="s">
        <v>50</v>
      </c>
      <c r="P933">
        <v>3</v>
      </c>
      <c r="Q933">
        <v>4289.37</v>
      </c>
      <c r="R933">
        <v>0.1</v>
      </c>
      <c r="S933">
        <v>11778.71</v>
      </c>
      <c r="T933">
        <v>6829.43</v>
      </c>
      <c r="U933">
        <v>4751.87</v>
      </c>
      <c r="V933" t="s">
        <v>32</v>
      </c>
      <c r="W933" t="s">
        <v>103</v>
      </c>
      <c r="X933" t="str">
        <f t="shared" si="43"/>
        <v>ORD-2025-10336|45824|45826|2|OK|CUST-3621|Rahul Verma|Home Office|West|Madhya Pradesh|Indore|Office Supplies|Paper|Prime Paper 559|First Class|3|4289.37|0.1|11778.71|6829.43|4751.87|Paid|Returned</v>
      </c>
      <c r="Y933">
        <f t="shared" si="44"/>
        <v>1</v>
      </c>
      <c r="Z933">
        <f t="shared" si="45"/>
        <v>2</v>
      </c>
      <c r="AA933" t="str">
        <f t="shared" si="46"/>
        <v>Conflicting Duplicate - Review</v>
      </c>
      <c r="AB933" s="2">
        <f>IF(ISBLANK(R933), 0, IF(ISTEXT(R933), VALUE(SUBSTITUTE(R933, "%", ""))/100, IF(OR(R933&lt;0, R933&gt;1), "Invalid", R933)))</f>
        <v>0.1</v>
      </c>
      <c r="AC933" s="4">
        <f t="shared" si="47"/>
        <v>11581.299000000001</v>
      </c>
      <c r="AD933" s="4">
        <f t="shared" si="48"/>
        <v>4751.8690000000006</v>
      </c>
      <c r="AE933" s="2">
        <f t="shared" si="49"/>
        <v>0.41030535521101735</v>
      </c>
      <c r="AF933" s="7">
        <f t="shared" si="50"/>
        <v>2</v>
      </c>
      <c r="AG933" s="2" t="str">
        <f t="shared" si="51"/>
        <v>June</v>
      </c>
      <c r="AH933" s="4">
        <f t="shared" si="52"/>
        <v>2025</v>
      </c>
      <c r="AI933" s="2" t="str">
        <f t="shared" si="28"/>
        <v>Clean</v>
      </c>
      <c r="AJ933">
        <f t="shared" si="53"/>
        <v>2</v>
      </c>
      <c r="AK933">
        <f t="shared" si="54"/>
        <v>2</v>
      </c>
    </row>
  </sheetData>
  <conditionalFormatting sqref="A1:A901 A922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Shitiz Arya</dc:creator>
  <cp:lastModifiedBy>Shitiz Arya</cp:lastModifiedBy>
  <dcterms:created xsi:type="dcterms:W3CDTF">2026-06-19T17:47:14Z</dcterms:created>
  <dcterms:modified xsi:type="dcterms:W3CDTF">2026-06-19T23:31:32Z</dcterms:modified>
</cp:coreProperties>
</file>